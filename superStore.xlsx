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511FB275-3D51-4902-8CFA-69E99A676F1E}" xr6:coauthVersionLast="47" xr6:coauthVersionMax="47" xr10:uidLastSave="{00000000-0000-0000-0000-000000000000}"/>
  <bookViews>
    <workbookView xWindow="-110" yWindow="-110" windowWidth="19420" windowHeight="10300" activeTab="1" xr2:uid="{7EA3AFF6-66B1-45BD-BB0B-F87A0EC0B12D}"/>
  </bookViews>
  <sheets>
    <sheet name="Superstore_Sales" sheetId="2" r:id="rId1"/>
    <sheet name="PivotTables" sheetId="3" r:id="rId2"/>
  </sheets>
  <definedNames>
    <definedName name="_xlcn.WorksheetConnection_superStore.xlsxSuperstore_Sales1" hidden="1">Superstore_Sales[]</definedName>
    <definedName name="ExternalData_1" localSheetId="0" hidden="1">Superstore_Sales!$A$1:$Y$868</definedName>
  </definedNames>
  <calcPr calcId="191029"/>
  <pivotCaches>
    <pivotCache cacheId="2" r:id="rId3"/>
    <pivotCache cacheId="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erstore_Sales" name="Superstore_Sales" connection="WorksheetConnection_superStore.xlsx!Superstore_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Z2" i="2"/>
  <c r="Z3" i="2"/>
  <c r="Z4" i="2"/>
  <c r="Z5" i="2"/>
  <c r="AA5" i="2" s="1"/>
  <c r="Z6" i="2"/>
  <c r="AA6" i="2" s="1"/>
  <c r="Z7" i="2"/>
  <c r="AA7" i="2" s="1"/>
  <c r="Z8" i="2"/>
  <c r="AA8" i="2" s="1"/>
  <c r="Z9" i="2"/>
  <c r="AA9" i="2" s="1"/>
  <c r="Z10" i="2"/>
  <c r="Z11" i="2"/>
  <c r="AA11" i="2" s="1"/>
  <c r="Z12" i="2"/>
  <c r="Z13" i="2"/>
  <c r="Z14" i="2"/>
  <c r="AA14" i="2" s="1"/>
  <c r="Z15" i="2"/>
  <c r="Z16" i="2"/>
  <c r="Z17" i="2"/>
  <c r="Z18" i="2"/>
  <c r="AA18" i="2" s="1"/>
  <c r="Z19" i="2"/>
  <c r="AA19" i="2" s="1"/>
  <c r="Z20" i="2"/>
  <c r="AA20" i="2" s="1"/>
  <c r="Z21" i="2"/>
  <c r="Z22" i="2"/>
  <c r="Z23" i="2"/>
  <c r="AA23" i="2" s="1"/>
  <c r="Z24" i="2"/>
  <c r="Z25" i="2"/>
  <c r="Z26" i="2"/>
  <c r="AA26" i="2" s="1"/>
  <c r="Z27" i="2"/>
  <c r="Z28" i="2"/>
  <c r="AA28" i="2" s="1"/>
  <c r="Z29" i="2"/>
  <c r="AA29" i="2" s="1"/>
  <c r="Z30" i="2"/>
  <c r="Z31" i="2"/>
  <c r="AA31" i="2" s="1"/>
  <c r="Z32" i="2"/>
  <c r="Z33" i="2"/>
  <c r="Z34" i="2"/>
  <c r="AA34" i="2" s="1"/>
  <c r="Z35" i="2"/>
  <c r="AA35" i="2" s="1"/>
  <c r="Z36" i="2"/>
  <c r="AA36" i="2" s="1"/>
  <c r="Z37" i="2"/>
  <c r="Z38" i="2"/>
  <c r="Z39" i="2"/>
  <c r="AA39" i="2" s="1"/>
  <c r="Z40" i="2"/>
  <c r="Z41" i="2"/>
  <c r="Z42" i="2"/>
  <c r="Z43" i="2"/>
  <c r="AA43" i="2" s="1"/>
  <c r="Z44" i="2"/>
  <c r="AA44" i="2" s="1"/>
  <c r="Z45" i="2"/>
  <c r="Z46" i="2"/>
  <c r="AA46" i="2" s="1"/>
  <c r="Z47" i="2"/>
  <c r="AA47" i="2" s="1"/>
  <c r="Z48" i="2"/>
  <c r="Z49" i="2"/>
  <c r="Z50" i="2"/>
  <c r="AA50" i="2" s="1"/>
  <c r="Z51" i="2"/>
  <c r="AA51" i="2" s="1"/>
  <c r="Z52" i="2"/>
  <c r="Z53" i="2"/>
  <c r="Z54" i="2"/>
  <c r="Z55" i="2"/>
  <c r="AA55" i="2" s="1"/>
  <c r="Z56" i="2"/>
  <c r="Z57" i="2"/>
  <c r="Z58" i="2"/>
  <c r="Z59" i="2"/>
  <c r="AA59" i="2" s="1"/>
  <c r="Z60" i="2"/>
  <c r="AA60" i="2" s="1"/>
  <c r="Z61" i="2"/>
  <c r="AA61" i="2" s="1"/>
  <c r="Z62" i="2"/>
  <c r="AA62" i="2" s="1"/>
  <c r="Z63" i="2"/>
  <c r="AA63" i="2" s="1"/>
  <c r="Z64" i="2"/>
  <c r="Z65" i="2"/>
  <c r="Z66" i="2"/>
  <c r="Z67" i="2"/>
  <c r="AA67" i="2" s="1"/>
  <c r="Z68" i="2"/>
  <c r="Z69" i="2"/>
  <c r="Z70" i="2"/>
  <c r="Z71" i="2"/>
  <c r="AA71" i="2" s="1"/>
  <c r="Z72" i="2"/>
  <c r="Z73" i="2"/>
  <c r="Z74" i="2"/>
  <c r="Z75" i="2"/>
  <c r="AA75" i="2" s="1"/>
  <c r="Z76" i="2"/>
  <c r="AA76" i="2" s="1"/>
  <c r="Z77" i="2"/>
  <c r="AA77" i="2" s="1"/>
  <c r="Z78" i="2"/>
  <c r="AA78" i="2" s="1"/>
  <c r="Z79" i="2"/>
  <c r="AA79" i="2" s="1"/>
  <c r="Z80" i="2"/>
  <c r="AA80" i="2" s="1"/>
  <c r="Z81" i="2"/>
  <c r="Z82" i="2"/>
  <c r="Z83" i="2"/>
  <c r="AA83" i="2" s="1"/>
  <c r="Z84" i="2"/>
  <c r="Z85" i="2"/>
  <c r="Z86" i="2"/>
  <c r="Z87" i="2"/>
  <c r="AA87" i="2" s="1"/>
  <c r="Z88" i="2"/>
  <c r="AA88" i="2" s="1"/>
  <c r="Z89" i="2"/>
  <c r="Z90" i="2"/>
  <c r="Z91" i="2"/>
  <c r="AA91" i="2" s="1"/>
  <c r="Z92" i="2"/>
  <c r="AA92" i="2" s="1"/>
  <c r="Z93" i="2"/>
  <c r="AA93" i="2" s="1"/>
  <c r="Z94" i="2"/>
  <c r="AA94" i="2" s="1"/>
  <c r="Z95" i="2"/>
  <c r="AA95" i="2" s="1"/>
  <c r="Z96" i="2"/>
  <c r="AA96" i="2" s="1"/>
  <c r="Z97" i="2"/>
  <c r="Z98" i="2"/>
  <c r="Z99" i="2"/>
  <c r="AA99" i="2" s="1"/>
  <c r="Z100" i="2"/>
  <c r="Z101" i="2"/>
  <c r="Z102" i="2"/>
  <c r="Z103" i="2"/>
  <c r="AA103" i="2" s="1"/>
  <c r="Z104" i="2"/>
  <c r="AA104" i="2" s="1"/>
  <c r="Z105" i="2"/>
  <c r="Z106" i="2"/>
  <c r="Z107" i="2"/>
  <c r="AA107" i="2" s="1"/>
  <c r="Z108" i="2"/>
  <c r="AA108" i="2" s="1"/>
  <c r="Z109" i="2"/>
  <c r="AA109" i="2" s="1"/>
  <c r="Z110" i="2"/>
  <c r="AA110" i="2" s="1"/>
  <c r="Z111" i="2"/>
  <c r="AA111" i="2" s="1"/>
  <c r="Z112" i="2"/>
  <c r="AA112" i="2" s="1"/>
  <c r="Z113" i="2"/>
  <c r="Z114" i="2"/>
  <c r="Z115" i="2"/>
  <c r="AA115" i="2" s="1"/>
  <c r="Z116" i="2"/>
  <c r="Z117" i="2"/>
  <c r="Z118" i="2"/>
  <c r="Z119" i="2"/>
  <c r="AA119" i="2" s="1"/>
  <c r="Z120" i="2"/>
  <c r="AA120" i="2" s="1"/>
  <c r="Z121" i="2"/>
  <c r="Z122" i="2"/>
  <c r="Z123" i="2"/>
  <c r="AA123" i="2" s="1"/>
  <c r="Z124" i="2"/>
  <c r="AA124" i="2" s="1"/>
  <c r="Z125" i="2"/>
  <c r="AA125" i="2" s="1"/>
  <c r="Z126" i="2"/>
  <c r="Z127" i="2"/>
  <c r="AA127" i="2" s="1"/>
  <c r="Z128" i="2"/>
  <c r="AA128" i="2" s="1"/>
  <c r="Z129" i="2"/>
  <c r="Z130" i="2"/>
  <c r="Z131" i="2"/>
  <c r="AA131" i="2" s="1"/>
  <c r="Z132" i="2"/>
  <c r="AA132" i="2" s="1"/>
  <c r="Z133" i="2"/>
  <c r="Z134" i="2"/>
  <c r="Z135" i="2"/>
  <c r="AA135" i="2" s="1"/>
  <c r="Z136" i="2"/>
  <c r="AA136" i="2" s="1"/>
  <c r="Z137" i="2"/>
  <c r="Z138" i="2"/>
  <c r="Z139" i="2"/>
  <c r="Z140" i="2"/>
  <c r="AA140" i="2" s="1"/>
  <c r="Z141" i="2"/>
  <c r="Z142" i="2"/>
  <c r="Z143" i="2"/>
  <c r="AA143" i="2" s="1"/>
  <c r="Z144" i="2"/>
  <c r="AA144" i="2" s="1"/>
  <c r="Z145" i="2"/>
  <c r="Z146" i="2"/>
  <c r="Z147" i="2"/>
  <c r="AA147" i="2" s="1"/>
  <c r="Z148" i="2"/>
  <c r="AA148" i="2" s="1"/>
  <c r="Z149" i="2"/>
  <c r="AA149" i="2" s="1"/>
  <c r="Z150" i="2"/>
  <c r="Z151" i="2"/>
  <c r="AA151" i="2" s="1"/>
  <c r="Z152" i="2"/>
  <c r="AA152" i="2" s="1"/>
  <c r="Z153" i="2"/>
  <c r="Z154" i="2"/>
  <c r="Z155" i="2"/>
  <c r="AA155" i="2" s="1"/>
  <c r="Z156" i="2"/>
  <c r="Z157" i="2"/>
  <c r="Z158" i="2"/>
  <c r="Z159" i="2"/>
  <c r="AA159" i="2" s="1"/>
  <c r="Z160" i="2"/>
  <c r="AA160" i="2" s="1"/>
  <c r="Z161" i="2"/>
  <c r="Z162" i="2"/>
  <c r="Z163" i="2"/>
  <c r="Z164" i="2"/>
  <c r="AA164" i="2" s="1"/>
  <c r="Z165" i="2"/>
  <c r="AA165" i="2" s="1"/>
  <c r="Z166" i="2"/>
  <c r="Z167" i="2"/>
  <c r="AA167" i="2" s="1"/>
  <c r="Z168" i="2"/>
  <c r="AA168" i="2" s="1"/>
  <c r="Z169" i="2"/>
  <c r="Z170" i="2"/>
  <c r="Z171" i="2"/>
  <c r="AA171" i="2" s="1"/>
  <c r="Z172" i="2"/>
  <c r="AA172" i="2" s="1"/>
  <c r="Z173" i="2"/>
  <c r="Z174" i="2"/>
  <c r="Z175" i="2"/>
  <c r="AA175" i="2" s="1"/>
  <c r="Z176" i="2"/>
  <c r="AA176" i="2" s="1"/>
  <c r="Z177" i="2"/>
  <c r="Z178" i="2"/>
  <c r="Z179" i="2"/>
  <c r="AA179" i="2" s="1"/>
  <c r="Z180" i="2"/>
  <c r="Z181" i="2"/>
  <c r="Z182" i="2"/>
  <c r="Z183" i="2"/>
  <c r="AA183" i="2" s="1"/>
  <c r="Z184" i="2"/>
  <c r="AA184" i="2" s="1"/>
  <c r="Z185" i="2"/>
  <c r="Z186" i="2"/>
  <c r="Z187" i="2"/>
  <c r="Z188" i="2"/>
  <c r="AA188" i="2" s="1"/>
  <c r="Z189" i="2"/>
  <c r="AA189" i="2" s="1"/>
  <c r="Z190" i="2"/>
  <c r="Z191" i="2"/>
  <c r="AA191" i="2" s="1"/>
  <c r="Z192" i="2"/>
  <c r="AA192" i="2" s="1"/>
  <c r="Z193" i="2"/>
  <c r="Z194" i="2"/>
  <c r="Z195" i="2"/>
  <c r="Z196" i="2"/>
  <c r="Z197" i="2"/>
  <c r="AA197" i="2" s="1"/>
  <c r="Z198" i="2"/>
  <c r="Z199" i="2"/>
  <c r="AA199" i="2" s="1"/>
  <c r="Z200" i="2"/>
  <c r="AA200" i="2" s="1"/>
  <c r="Z201" i="2"/>
  <c r="Z202" i="2"/>
  <c r="AA202" i="2" s="1"/>
  <c r="Z203" i="2"/>
  <c r="Z204" i="2"/>
  <c r="Z205" i="2"/>
  <c r="Z206" i="2"/>
  <c r="Z207" i="2"/>
  <c r="AA207" i="2" s="1"/>
  <c r="Z208" i="2"/>
  <c r="AA208" i="2" s="1"/>
  <c r="Z209" i="2"/>
  <c r="Z210" i="2"/>
  <c r="AA210" i="2" s="1"/>
  <c r="Z211" i="2"/>
  <c r="Z212" i="2"/>
  <c r="Z213" i="2"/>
  <c r="Z214" i="2"/>
  <c r="Z215" i="2"/>
  <c r="AA215" i="2" s="1"/>
  <c r="Z216" i="2"/>
  <c r="AA216" i="2" s="1"/>
  <c r="Z217" i="2"/>
  <c r="Z218" i="2"/>
  <c r="Z219" i="2"/>
  <c r="Z220" i="2"/>
  <c r="AA220" i="2" s="1"/>
  <c r="Z221" i="2"/>
  <c r="AA221" i="2" s="1"/>
  <c r="Z222" i="2"/>
  <c r="Z223" i="2"/>
  <c r="AA223" i="2" s="1"/>
  <c r="Z224" i="2"/>
  <c r="AA224" i="2" s="1"/>
  <c r="Z225" i="2"/>
  <c r="Z226" i="2"/>
  <c r="Z227" i="2"/>
  <c r="Z228" i="2"/>
  <c r="Z229" i="2"/>
  <c r="AA229" i="2" s="1"/>
  <c r="Z230" i="2"/>
  <c r="Z231" i="2"/>
  <c r="AA231" i="2" s="1"/>
  <c r="Z232" i="2"/>
  <c r="AA232" i="2" s="1"/>
  <c r="Z233" i="2"/>
  <c r="Z234" i="2"/>
  <c r="AA234" i="2" s="1"/>
  <c r="Z235" i="2"/>
  <c r="Z236" i="2"/>
  <c r="Z237" i="2"/>
  <c r="Z238" i="2"/>
  <c r="Z239" i="2"/>
  <c r="AA239" i="2" s="1"/>
  <c r="Z240" i="2"/>
  <c r="AA240" i="2" s="1"/>
  <c r="Z241" i="2"/>
  <c r="Z242" i="2"/>
  <c r="AA242" i="2" s="1"/>
  <c r="Z243" i="2"/>
  <c r="Z244" i="2"/>
  <c r="Z245" i="2"/>
  <c r="Z246" i="2"/>
  <c r="Z247" i="2"/>
  <c r="AA247" i="2" s="1"/>
  <c r="Z248" i="2"/>
  <c r="AA248" i="2" s="1"/>
  <c r="Z249" i="2"/>
  <c r="Z250" i="2"/>
  <c r="Z251" i="2"/>
  <c r="Z252" i="2"/>
  <c r="AA252" i="2" s="1"/>
  <c r="Z253" i="2"/>
  <c r="Z254" i="2"/>
  <c r="Z255" i="2"/>
  <c r="AA255" i="2" s="1"/>
  <c r="Z256" i="2"/>
  <c r="AA256" i="2" s="1"/>
  <c r="Z257" i="2"/>
  <c r="Z258" i="2"/>
  <c r="Z259" i="2"/>
  <c r="Z260" i="2"/>
  <c r="Z261" i="2"/>
  <c r="AA261" i="2" s="1"/>
  <c r="Z262" i="2"/>
  <c r="AA262" i="2" s="1"/>
  <c r="Z263" i="2"/>
  <c r="AA263" i="2" s="1"/>
  <c r="Z264" i="2"/>
  <c r="AA264" i="2" s="1"/>
  <c r="Z265" i="2"/>
  <c r="Z266" i="2"/>
  <c r="AA266" i="2" s="1"/>
  <c r="Z267" i="2"/>
  <c r="Z268" i="2"/>
  <c r="Z269" i="2"/>
  <c r="Z270" i="2"/>
  <c r="Z271" i="2"/>
  <c r="AA271" i="2" s="1"/>
  <c r="Z272" i="2"/>
  <c r="AA272" i="2" s="1"/>
  <c r="Z273" i="2"/>
  <c r="Z274" i="2"/>
  <c r="AA274" i="2" s="1"/>
  <c r="Z275" i="2"/>
  <c r="Z276" i="2"/>
  <c r="Z277" i="2"/>
  <c r="Z278" i="2"/>
  <c r="Z279" i="2"/>
  <c r="AA279" i="2" s="1"/>
  <c r="Z280" i="2"/>
  <c r="AA280" i="2" s="1"/>
  <c r="Z281" i="2"/>
  <c r="Z282" i="2"/>
  <c r="Z283" i="2"/>
  <c r="Z284" i="2"/>
  <c r="AA284" i="2" s="1"/>
  <c r="Z285" i="2"/>
  <c r="AA285" i="2" s="1"/>
  <c r="Z286" i="2"/>
  <c r="Z287" i="2"/>
  <c r="AA287" i="2" s="1"/>
  <c r="Z288" i="2"/>
  <c r="AA288" i="2" s="1"/>
  <c r="Z289" i="2"/>
  <c r="Z290" i="2"/>
  <c r="Z291" i="2"/>
  <c r="Z292" i="2"/>
  <c r="Z293" i="2"/>
  <c r="Z294" i="2"/>
  <c r="AA294" i="2" s="1"/>
  <c r="Z295" i="2"/>
  <c r="AA295" i="2" s="1"/>
  <c r="Z296" i="2"/>
  <c r="AA296" i="2" s="1"/>
  <c r="Z297" i="2"/>
  <c r="Z298" i="2"/>
  <c r="Z299" i="2"/>
  <c r="Z300" i="2"/>
  <c r="Z301" i="2"/>
  <c r="Z302" i="2"/>
  <c r="Z303" i="2"/>
  <c r="AA303" i="2" s="1"/>
  <c r="Z304" i="2"/>
  <c r="AA304" i="2" s="1"/>
  <c r="Z305" i="2"/>
  <c r="Z306" i="2"/>
  <c r="AA306" i="2" s="1"/>
  <c r="Z307" i="2"/>
  <c r="Z308" i="2"/>
  <c r="AA308" i="2" s="1"/>
  <c r="Z309" i="2"/>
  <c r="Z310" i="2"/>
  <c r="Z311" i="2"/>
  <c r="AA311" i="2" s="1"/>
  <c r="Z312" i="2"/>
  <c r="AA312" i="2" s="1"/>
  <c r="Z313" i="2"/>
  <c r="Z314" i="2"/>
  <c r="AA314" i="2" s="1"/>
  <c r="Z315" i="2"/>
  <c r="Z316" i="2"/>
  <c r="Z317" i="2"/>
  <c r="Z318" i="2"/>
  <c r="Z319" i="2"/>
  <c r="AA319" i="2" s="1"/>
  <c r="Z320" i="2"/>
  <c r="AA320" i="2" s="1"/>
  <c r="Z321" i="2"/>
  <c r="Z322" i="2"/>
  <c r="Z323" i="2"/>
  <c r="Z324" i="2"/>
  <c r="Z325" i="2"/>
  <c r="AA325" i="2" s="1"/>
  <c r="Z326" i="2"/>
  <c r="Z327" i="2"/>
  <c r="AA327" i="2" s="1"/>
  <c r="Z328" i="2"/>
  <c r="AA328" i="2" s="1"/>
  <c r="Z329" i="2"/>
  <c r="Z330" i="2"/>
  <c r="Z331" i="2"/>
  <c r="Z332" i="2"/>
  <c r="Z333" i="2"/>
  <c r="Z334" i="2"/>
  <c r="Z335" i="2"/>
  <c r="AA335" i="2" s="1"/>
  <c r="Z336" i="2"/>
  <c r="AA336" i="2" s="1"/>
  <c r="Z337" i="2"/>
  <c r="Z338" i="2"/>
  <c r="AA338" i="2" s="1"/>
  <c r="Z339" i="2"/>
  <c r="Z340" i="2"/>
  <c r="AA340" i="2" s="1"/>
  <c r="Z341" i="2"/>
  <c r="Z342" i="2"/>
  <c r="Z343" i="2"/>
  <c r="AA343" i="2" s="1"/>
  <c r="Z344" i="2"/>
  <c r="AA344" i="2" s="1"/>
  <c r="Z345" i="2"/>
  <c r="Z346" i="2"/>
  <c r="AA346" i="2" s="1"/>
  <c r="Z347" i="2"/>
  <c r="Z348" i="2"/>
  <c r="Z349" i="2"/>
  <c r="Z350" i="2"/>
  <c r="Z351" i="2"/>
  <c r="AA351" i="2" s="1"/>
  <c r="Z352" i="2"/>
  <c r="AA352" i="2" s="1"/>
  <c r="Z353" i="2"/>
  <c r="Z354" i="2"/>
  <c r="Z355" i="2"/>
  <c r="Z356" i="2"/>
  <c r="Z357" i="2"/>
  <c r="Z358" i="2"/>
  <c r="AA358" i="2" s="1"/>
  <c r="Z359" i="2"/>
  <c r="AA359" i="2" s="1"/>
  <c r="Z360" i="2"/>
  <c r="AA360" i="2" s="1"/>
  <c r="Z361" i="2"/>
  <c r="Z362" i="2"/>
  <c r="Z363" i="2"/>
  <c r="Z364" i="2"/>
  <c r="Z365" i="2"/>
  <c r="Z366" i="2"/>
  <c r="Z367" i="2"/>
  <c r="AA367" i="2" s="1"/>
  <c r="Z368" i="2"/>
  <c r="AA368" i="2" s="1"/>
  <c r="Z369" i="2"/>
  <c r="Z370" i="2"/>
  <c r="AA370" i="2" s="1"/>
  <c r="Z371" i="2"/>
  <c r="Z372" i="2"/>
  <c r="AA372" i="2" s="1"/>
  <c r="Z373" i="2"/>
  <c r="Z374" i="2"/>
  <c r="Z375" i="2"/>
  <c r="AA375" i="2" s="1"/>
  <c r="Z376" i="2"/>
  <c r="AA376" i="2" s="1"/>
  <c r="Z377" i="2"/>
  <c r="Z378" i="2"/>
  <c r="AA378" i="2" s="1"/>
  <c r="Z379" i="2"/>
  <c r="Z380" i="2"/>
  <c r="AA380" i="2" s="1"/>
  <c r="Z381" i="2"/>
  <c r="Z382" i="2"/>
  <c r="Z383" i="2"/>
  <c r="AA383" i="2" s="1"/>
  <c r="Z384" i="2"/>
  <c r="AA384" i="2" s="1"/>
  <c r="Z385" i="2"/>
  <c r="Z386" i="2"/>
  <c r="Z387" i="2"/>
  <c r="Z388" i="2"/>
  <c r="Z389" i="2"/>
  <c r="Z390" i="2"/>
  <c r="Z391" i="2"/>
  <c r="AA391" i="2" s="1"/>
  <c r="Z392" i="2"/>
  <c r="AA392" i="2" s="1"/>
  <c r="Z393" i="2"/>
  <c r="Z394" i="2"/>
  <c r="Z395" i="2"/>
  <c r="Z396" i="2"/>
  <c r="Z397" i="2"/>
  <c r="Z398" i="2"/>
  <c r="Z399" i="2"/>
  <c r="AA399" i="2" s="1"/>
  <c r="Z400" i="2"/>
  <c r="AA400" i="2" s="1"/>
  <c r="Z401" i="2"/>
  <c r="Z402" i="2"/>
  <c r="AA402" i="2" s="1"/>
  <c r="Z403" i="2"/>
  <c r="Z404" i="2"/>
  <c r="AA404" i="2" s="1"/>
  <c r="Z405" i="2"/>
  <c r="Z406" i="2"/>
  <c r="Z407" i="2"/>
  <c r="AA407" i="2" s="1"/>
  <c r="Z408" i="2"/>
  <c r="AA408" i="2" s="1"/>
  <c r="Z409" i="2"/>
  <c r="Z410" i="2"/>
  <c r="AA410" i="2" s="1"/>
  <c r="Z411" i="2"/>
  <c r="Z412" i="2"/>
  <c r="AA412" i="2" s="1"/>
  <c r="Z413" i="2"/>
  <c r="Z414" i="2"/>
  <c r="Z415" i="2"/>
  <c r="AA415" i="2" s="1"/>
  <c r="Z416" i="2"/>
  <c r="AA416" i="2" s="1"/>
  <c r="Z417" i="2"/>
  <c r="Z418" i="2"/>
  <c r="Z419" i="2"/>
  <c r="Z420" i="2"/>
  <c r="Z421" i="2"/>
  <c r="Z422" i="2"/>
  <c r="Z423" i="2"/>
  <c r="AA423" i="2" s="1"/>
  <c r="Z424" i="2"/>
  <c r="AA424" i="2" s="1"/>
  <c r="Z425" i="2"/>
  <c r="Z426" i="2"/>
  <c r="Z427" i="2"/>
  <c r="Z428" i="2"/>
  <c r="Z429" i="2"/>
  <c r="Z430" i="2"/>
  <c r="Z431" i="2"/>
  <c r="AA431" i="2" s="1"/>
  <c r="Z432" i="2"/>
  <c r="AA432" i="2" s="1"/>
  <c r="Z433" i="2"/>
  <c r="Z434" i="2"/>
  <c r="AA434" i="2" s="1"/>
  <c r="Z435" i="2"/>
  <c r="Z436" i="2"/>
  <c r="Z437" i="2"/>
  <c r="Z438" i="2"/>
  <c r="Z439" i="2"/>
  <c r="AA439" i="2" s="1"/>
  <c r="Z440" i="2"/>
  <c r="AA440" i="2" s="1"/>
  <c r="Z441" i="2"/>
  <c r="Z442" i="2"/>
  <c r="AA442" i="2" s="1"/>
  <c r="Z443" i="2"/>
  <c r="Z444" i="2"/>
  <c r="AA444" i="2" s="1"/>
  <c r="Z445" i="2"/>
  <c r="AA445" i="2" s="1"/>
  <c r="Z446" i="2"/>
  <c r="Z447" i="2"/>
  <c r="AA447" i="2" s="1"/>
  <c r="Z448" i="2"/>
  <c r="AA448" i="2" s="1"/>
  <c r="Z449" i="2"/>
  <c r="Z450" i="2"/>
  <c r="Z451" i="2"/>
  <c r="Z452" i="2"/>
  <c r="Z453" i="2"/>
  <c r="Z454" i="2"/>
  <c r="Z455" i="2"/>
  <c r="AA455" i="2" s="1"/>
  <c r="Z456" i="2"/>
  <c r="AA456" i="2" s="1"/>
  <c r="Z457" i="2"/>
  <c r="Z458" i="2"/>
  <c r="Z459" i="2"/>
  <c r="Z460" i="2"/>
  <c r="Z461" i="2"/>
  <c r="Z462" i="2"/>
  <c r="Z463" i="2"/>
  <c r="AA463" i="2" s="1"/>
  <c r="Z464" i="2"/>
  <c r="AA464" i="2" s="1"/>
  <c r="Z465" i="2"/>
  <c r="Z466" i="2"/>
  <c r="AA466" i="2" s="1"/>
  <c r="Z467" i="2"/>
  <c r="Z468" i="2"/>
  <c r="Z469" i="2"/>
  <c r="Z470" i="2"/>
  <c r="Z471" i="2"/>
  <c r="AA471" i="2" s="1"/>
  <c r="Z472" i="2"/>
  <c r="AA472" i="2" s="1"/>
  <c r="Z473" i="2"/>
  <c r="Z474" i="2"/>
  <c r="AA474" i="2" s="1"/>
  <c r="Z475" i="2"/>
  <c r="Z476" i="2"/>
  <c r="Z477" i="2"/>
  <c r="Z478" i="2"/>
  <c r="Z479" i="2"/>
  <c r="AA479" i="2" s="1"/>
  <c r="Z480" i="2"/>
  <c r="AA480" i="2" s="1"/>
  <c r="Z481" i="2"/>
  <c r="Z482" i="2"/>
  <c r="Z483" i="2"/>
  <c r="Z484" i="2"/>
  <c r="Z485" i="2"/>
  <c r="Z486" i="2"/>
  <c r="AA486" i="2" s="1"/>
  <c r="Z487" i="2"/>
  <c r="Z488" i="2"/>
  <c r="AA488" i="2" s="1"/>
  <c r="Z489" i="2"/>
  <c r="Z490" i="2"/>
  <c r="Z491" i="2"/>
  <c r="Z492" i="2"/>
  <c r="Z493" i="2"/>
  <c r="Z494" i="2"/>
  <c r="Z495" i="2"/>
  <c r="AA495" i="2" s="1"/>
  <c r="Z496" i="2"/>
  <c r="AA496" i="2" s="1"/>
  <c r="Z497" i="2"/>
  <c r="Z498" i="2"/>
  <c r="AA498" i="2" s="1"/>
  <c r="Z499" i="2"/>
  <c r="Z500" i="2"/>
  <c r="AA500" i="2" s="1"/>
  <c r="Z501" i="2"/>
  <c r="Z502" i="2"/>
  <c r="Z503" i="2"/>
  <c r="AA503" i="2" s="1"/>
  <c r="Z504" i="2"/>
  <c r="AA504" i="2" s="1"/>
  <c r="Z505" i="2"/>
  <c r="Z506" i="2"/>
  <c r="AA506" i="2" s="1"/>
  <c r="Z507" i="2"/>
  <c r="Z508" i="2"/>
  <c r="Z509" i="2"/>
  <c r="Z510" i="2"/>
  <c r="Z511" i="2"/>
  <c r="AA511" i="2" s="1"/>
  <c r="Z512" i="2"/>
  <c r="AA512" i="2" s="1"/>
  <c r="Z513" i="2"/>
  <c r="Z514" i="2"/>
  <c r="Z515" i="2"/>
  <c r="Z516" i="2"/>
  <c r="Z517" i="2"/>
  <c r="Z518" i="2"/>
  <c r="AA518" i="2" s="1"/>
  <c r="Z519" i="2"/>
  <c r="AA519" i="2" s="1"/>
  <c r="Z520" i="2"/>
  <c r="AA520" i="2" s="1"/>
  <c r="Z521" i="2"/>
  <c r="Z522" i="2"/>
  <c r="Z523" i="2"/>
  <c r="Z524" i="2"/>
  <c r="Z525" i="2"/>
  <c r="Z526" i="2"/>
  <c r="Z527" i="2"/>
  <c r="AA527" i="2" s="1"/>
  <c r="Z528" i="2"/>
  <c r="AA528" i="2" s="1"/>
  <c r="Z529" i="2"/>
  <c r="Z530" i="2"/>
  <c r="AA530" i="2" s="1"/>
  <c r="Z531" i="2"/>
  <c r="Z532" i="2"/>
  <c r="AA532" i="2" s="1"/>
  <c r="Z533" i="2"/>
  <c r="Z534" i="2"/>
  <c r="Z535" i="2"/>
  <c r="AA535" i="2" s="1"/>
  <c r="Z536" i="2"/>
  <c r="AA536" i="2" s="1"/>
  <c r="Z537" i="2"/>
  <c r="Z538" i="2"/>
  <c r="AA538" i="2" s="1"/>
  <c r="Z539" i="2"/>
  <c r="Z540" i="2"/>
  <c r="Z541" i="2"/>
  <c r="Z542" i="2"/>
  <c r="Z543" i="2"/>
  <c r="AA543" i="2" s="1"/>
  <c r="Z544" i="2"/>
  <c r="AA544" i="2" s="1"/>
  <c r="Z545" i="2"/>
  <c r="Z546" i="2"/>
  <c r="Z547" i="2"/>
  <c r="Z548" i="2"/>
  <c r="Z549" i="2"/>
  <c r="Z550" i="2"/>
  <c r="Z551" i="2"/>
  <c r="AA551" i="2" s="1"/>
  <c r="Z552" i="2"/>
  <c r="AA552" i="2" s="1"/>
  <c r="Z553" i="2"/>
  <c r="Z554" i="2"/>
  <c r="Z555" i="2"/>
  <c r="Z556" i="2"/>
  <c r="Z557" i="2"/>
  <c r="Z558" i="2"/>
  <c r="Z559" i="2"/>
  <c r="AA559" i="2" s="1"/>
  <c r="Z560" i="2"/>
  <c r="AA560" i="2" s="1"/>
  <c r="Z561" i="2"/>
  <c r="Z562" i="2"/>
  <c r="AA562" i="2" s="1"/>
  <c r="Z563" i="2"/>
  <c r="Z564" i="2"/>
  <c r="AA564" i="2" s="1"/>
  <c r="Z565" i="2"/>
  <c r="Z566" i="2"/>
  <c r="Z567" i="2"/>
  <c r="AA567" i="2" s="1"/>
  <c r="Z568" i="2"/>
  <c r="AA568" i="2" s="1"/>
  <c r="Z569" i="2"/>
  <c r="Z570" i="2"/>
  <c r="AA570" i="2" s="1"/>
  <c r="Z571" i="2"/>
  <c r="Z572" i="2"/>
  <c r="AA572" i="2" s="1"/>
  <c r="Z573" i="2"/>
  <c r="Z574" i="2"/>
  <c r="Z575" i="2"/>
  <c r="AA575" i="2" s="1"/>
  <c r="Z576" i="2"/>
  <c r="AA576" i="2" s="1"/>
  <c r="Z577" i="2"/>
  <c r="Z578" i="2"/>
  <c r="Z579" i="2"/>
  <c r="Z580" i="2"/>
  <c r="Z581" i="2"/>
  <c r="Z582" i="2"/>
  <c r="Z583" i="2"/>
  <c r="AA583" i="2" s="1"/>
  <c r="Z584" i="2"/>
  <c r="AA584" i="2" s="1"/>
  <c r="Z585" i="2"/>
  <c r="Z586" i="2"/>
  <c r="Z587" i="2"/>
  <c r="Z588" i="2"/>
  <c r="Z589" i="2"/>
  <c r="Z590" i="2"/>
  <c r="Z591" i="2"/>
  <c r="AA591" i="2" s="1"/>
  <c r="Z592" i="2"/>
  <c r="AA592" i="2" s="1"/>
  <c r="Z593" i="2"/>
  <c r="Z594" i="2"/>
  <c r="AA594" i="2" s="1"/>
  <c r="Z595" i="2"/>
  <c r="Z596" i="2"/>
  <c r="Z597" i="2"/>
  <c r="Z598" i="2"/>
  <c r="Z599" i="2"/>
  <c r="AA599" i="2" s="1"/>
  <c r="Z600" i="2"/>
  <c r="AA600" i="2" s="1"/>
  <c r="Z601" i="2"/>
  <c r="Z602" i="2"/>
  <c r="AA602" i="2" s="1"/>
  <c r="Z603" i="2"/>
  <c r="Z604" i="2"/>
  <c r="AA604" i="2" s="1"/>
  <c r="Z605" i="2"/>
  <c r="Z606" i="2"/>
  <c r="Z607" i="2"/>
  <c r="AA607" i="2" s="1"/>
  <c r="Z608" i="2"/>
  <c r="AA608" i="2" s="1"/>
  <c r="Z609" i="2"/>
  <c r="Z610" i="2"/>
  <c r="Z611" i="2"/>
  <c r="Z612" i="2"/>
  <c r="Z613" i="2"/>
  <c r="Z614" i="2"/>
  <c r="AA614" i="2" s="1"/>
  <c r="Z615" i="2"/>
  <c r="AA615" i="2" s="1"/>
  <c r="Z616" i="2"/>
  <c r="AA616" i="2" s="1"/>
  <c r="Z617" i="2"/>
  <c r="Z618" i="2"/>
  <c r="Z619" i="2"/>
  <c r="Z620" i="2"/>
  <c r="Z621" i="2"/>
  <c r="Z622" i="2"/>
  <c r="Z623" i="2"/>
  <c r="AA623" i="2" s="1"/>
  <c r="Z624" i="2"/>
  <c r="AA624" i="2" s="1"/>
  <c r="Z625" i="2"/>
  <c r="Z626" i="2"/>
  <c r="AA626" i="2" s="1"/>
  <c r="Z627" i="2"/>
  <c r="Z628" i="2"/>
  <c r="Z629" i="2"/>
  <c r="Z630" i="2"/>
  <c r="Z631" i="2"/>
  <c r="AA631" i="2" s="1"/>
  <c r="Z632" i="2"/>
  <c r="AA632" i="2" s="1"/>
  <c r="Z633" i="2"/>
  <c r="Z634" i="2"/>
  <c r="AA634" i="2" s="1"/>
  <c r="Z635" i="2"/>
  <c r="Z636" i="2"/>
  <c r="Z637" i="2"/>
  <c r="AA637" i="2" s="1"/>
  <c r="Z638" i="2"/>
  <c r="Z639" i="2"/>
  <c r="AA639" i="2" s="1"/>
  <c r="Z640" i="2"/>
  <c r="AA640" i="2" s="1"/>
  <c r="Z641" i="2"/>
  <c r="Z642" i="2"/>
  <c r="Z643" i="2"/>
  <c r="Z644" i="2"/>
  <c r="Z645" i="2"/>
  <c r="Z646" i="2"/>
  <c r="AA646" i="2" s="1"/>
  <c r="Z647" i="2"/>
  <c r="AA647" i="2" s="1"/>
  <c r="Z648" i="2"/>
  <c r="AA648" i="2" s="1"/>
  <c r="Z649" i="2"/>
  <c r="Z650" i="2"/>
  <c r="AA650" i="2" s="1"/>
  <c r="Z651" i="2"/>
  <c r="Z652" i="2"/>
  <c r="Z653" i="2"/>
  <c r="Z654" i="2"/>
  <c r="Z655" i="2"/>
  <c r="AA655" i="2" s="1"/>
  <c r="Z656" i="2"/>
  <c r="AA656" i="2" s="1"/>
  <c r="Z657" i="2"/>
  <c r="Z658" i="2"/>
  <c r="AA658" i="2" s="1"/>
  <c r="Z659" i="2"/>
  <c r="Z660" i="2"/>
  <c r="Z661" i="2"/>
  <c r="Z662" i="2"/>
  <c r="Z663" i="2"/>
  <c r="AA663" i="2" s="1"/>
  <c r="Z664" i="2"/>
  <c r="AA664" i="2" s="1"/>
  <c r="Z665" i="2"/>
  <c r="Z666" i="2"/>
  <c r="Z667" i="2"/>
  <c r="Z668" i="2"/>
  <c r="Z669" i="2"/>
  <c r="Z670" i="2"/>
  <c r="Z671" i="2"/>
  <c r="Z672" i="2"/>
  <c r="AA672" i="2" s="1"/>
  <c r="Z673" i="2"/>
  <c r="Z674" i="2"/>
  <c r="AA674" i="2" s="1"/>
  <c r="Z675" i="2"/>
  <c r="Z676" i="2"/>
  <c r="Z677" i="2"/>
  <c r="Z678" i="2"/>
  <c r="Z679" i="2"/>
  <c r="AA679" i="2" s="1"/>
  <c r="Z680" i="2"/>
  <c r="AA680" i="2" s="1"/>
  <c r="Z681" i="2"/>
  <c r="Z682" i="2"/>
  <c r="Z683" i="2"/>
  <c r="Z684" i="2"/>
  <c r="Z685" i="2"/>
  <c r="Z686" i="2"/>
  <c r="Z687" i="2"/>
  <c r="AA687" i="2" s="1"/>
  <c r="Z688" i="2"/>
  <c r="AA688" i="2" s="1"/>
  <c r="Z689" i="2"/>
  <c r="Z690" i="2"/>
  <c r="Z691" i="2"/>
  <c r="AA691" i="2" s="1"/>
  <c r="Z692" i="2"/>
  <c r="AA692" i="2" s="1"/>
  <c r="Z693" i="2"/>
  <c r="AA693" i="2" s="1"/>
  <c r="Z694" i="2"/>
  <c r="AA694" i="2" s="1"/>
  <c r="Z695" i="2"/>
  <c r="AA695" i="2" s="1"/>
  <c r="Z696" i="2"/>
  <c r="AA696" i="2" s="1"/>
  <c r="Z697" i="2"/>
  <c r="AA697" i="2" s="1"/>
  <c r="Z698" i="2"/>
  <c r="Z699" i="2"/>
  <c r="AA699" i="2" s="1"/>
  <c r="Z700" i="2"/>
  <c r="AA700" i="2" s="1"/>
  <c r="Z701" i="2"/>
  <c r="Z702" i="2"/>
  <c r="AA702" i="2" s="1"/>
  <c r="Z703" i="2"/>
  <c r="AA703" i="2" s="1"/>
  <c r="Z704" i="2"/>
  <c r="AA704" i="2" s="1"/>
  <c r="Z705" i="2"/>
  <c r="AA705" i="2" s="1"/>
  <c r="Z706" i="2"/>
  <c r="AA706" i="2" s="1"/>
  <c r="Z707" i="2"/>
  <c r="AA707" i="2" s="1"/>
  <c r="Z708" i="2"/>
  <c r="AA708" i="2" s="1"/>
  <c r="Z709" i="2"/>
  <c r="AA709" i="2" s="1"/>
  <c r="Z710" i="2"/>
  <c r="Z711" i="2"/>
  <c r="AA711" i="2" s="1"/>
  <c r="Z712" i="2"/>
  <c r="AA712" i="2" s="1"/>
  <c r="Z713" i="2"/>
  <c r="AA713" i="2" s="1"/>
  <c r="Z714" i="2"/>
  <c r="Z715" i="2"/>
  <c r="AA715" i="2" s="1"/>
  <c r="Z716" i="2"/>
  <c r="AA716" i="2" s="1"/>
  <c r="Z717" i="2"/>
  <c r="AA717" i="2" s="1"/>
  <c r="Z718" i="2"/>
  <c r="AA718" i="2" s="1"/>
  <c r="Z719" i="2"/>
  <c r="AA719" i="2" s="1"/>
  <c r="Z720" i="2"/>
  <c r="AA720" i="2" s="1"/>
  <c r="Z721" i="2"/>
  <c r="AA721" i="2" s="1"/>
  <c r="Z722" i="2"/>
  <c r="Z723" i="2"/>
  <c r="AA723" i="2" s="1"/>
  <c r="Z724" i="2"/>
  <c r="AA724" i="2" s="1"/>
  <c r="Z725" i="2"/>
  <c r="AA725" i="2" s="1"/>
  <c r="Z726" i="2"/>
  <c r="AA726" i="2" s="1"/>
  <c r="Z727" i="2"/>
  <c r="AA727" i="2" s="1"/>
  <c r="Z728" i="2"/>
  <c r="AA728" i="2" s="1"/>
  <c r="Z729" i="2"/>
  <c r="AA729" i="2" s="1"/>
  <c r="Z730" i="2"/>
  <c r="AA730" i="2" s="1"/>
  <c r="Z731" i="2"/>
  <c r="AA731" i="2" s="1"/>
  <c r="Z732" i="2"/>
  <c r="AA732" i="2" s="1"/>
  <c r="Z733" i="2"/>
  <c r="AA733" i="2" s="1"/>
  <c r="Z734" i="2"/>
  <c r="AA734" i="2" s="1"/>
  <c r="Z735" i="2"/>
  <c r="AA735" i="2" s="1"/>
  <c r="Z736" i="2"/>
  <c r="AA736" i="2" s="1"/>
  <c r="Z737" i="2"/>
  <c r="AA737" i="2" s="1"/>
  <c r="Z738" i="2"/>
  <c r="Z739" i="2"/>
  <c r="AA739" i="2" s="1"/>
  <c r="Z740" i="2"/>
  <c r="AA740" i="2" s="1"/>
  <c r="Z741" i="2"/>
  <c r="AA741" i="2" s="1"/>
  <c r="Z742" i="2"/>
  <c r="AA742" i="2" s="1"/>
  <c r="Z743" i="2"/>
  <c r="AA743" i="2" s="1"/>
  <c r="Z744" i="2"/>
  <c r="AA744" i="2" s="1"/>
  <c r="Z745" i="2"/>
  <c r="AA745" i="2" s="1"/>
  <c r="Z746" i="2"/>
  <c r="AA746" i="2" s="1"/>
  <c r="Z747" i="2"/>
  <c r="AA747" i="2" s="1"/>
  <c r="Z748" i="2"/>
  <c r="AA748" i="2" s="1"/>
  <c r="Z749" i="2"/>
  <c r="AA749" i="2" s="1"/>
  <c r="Z750" i="2"/>
  <c r="AA750" i="2" s="1"/>
  <c r="Z751" i="2"/>
  <c r="AA751" i="2" s="1"/>
  <c r="Z752" i="2"/>
  <c r="AA752" i="2" s="1"/>
  <c r="Z753" i="2"/>
  <c r="AA753" i="2" s="1"/>
  <c r="Z754" i="2"/>
  <c r="Z755" i="2"/>
  <c r="AA755" i="2" s="1"/>
  <c r="Z756" i="2"/>
  <c r="AA756" i="2" s="1"/>
  <c r="Z757" i="2"/>
  <c r="AA757" i="2" s="1"/>
  <c r="Z758" i="2"/>
  <c r="AA758" i="2" s="1"/>
  <c r="Z759" i="2"/>
  <c r="AA759" i="2" s="1"/>
  <c r="Z760" i="2"/>
  <c r="AA760" i="2" s="1"/>
  <c r="Z761" i="2"/>
  <c r="AA761" i="2" s="1"/>
  <c r="Z762" i="2"/>
  <c r="AA762" i="2" s="1"/>
  <c r="Z763" i="2"/>
  <c r="AA763" i="2" s="1"/>
  <c r="Z764" i="2"/>
  <c r="AA764" i="2" s="1"/>
  <c r="Z765" i="2"/>
  <c r="AA765" i="2" s="1"/>
  <c r="Z766" i="2"/>
  <c r="AA766" i="2" s="1"/>
  <c r="Z767" i="2"/>
  <c r="AA767" i="2" s="1"/>
  <c r="Z768" i="2"/>
  <c r="AA768" i="2" s="1"/>
  <c r="Z769" i="2"/>
  <c r="AA769" i="2" s="1"/>
  <c r="Z770" i="2"/>
  <c r="Z771" i="2"/>
  <c r="AA771" i="2" s="1"/>
  <c r="Z772" i="2"/>
  <c r="AA772" i="2" s="1"/>
  <c r="Z773" i="2"/>
  <c r="AA773" i="2" s="1"/>
  <c r="Z774" i="2"/>
  <c r="AA774" i="2" s="1"/>
  <c r="Z775" i="2"/>
  <c r="AA775" i="2" s="1"/>
  <c r="Z776" i="2"/>
  <c r="AA776" i="2" s="1"/>
  <c r="Z777" i="2"/>
  <c r="AA777" i="2" s="1"/>
  <c r="Z778" i="2"/>
  <c r="AA778" i="2" s="1"/>
  <c r="Z779" i="2"/>
  <c r="AA779" i="2" s="1"/>
  <c r="Z780" i="2"/>
  <c r="AA780" i="2" s="1"/>
  <c r="Z781" i="2"/>
  <c r="AA781" i="2" s="1"/>
  <c r="Z782" i="2"/>
  <c r="AA782" i="2" s="1"/>
  <c r="Z783" i="2"/>
  <c r="AA783" i="2" s="1"/>
  <c r="Z784" i="2"/>
  <c r="AA784" i="2" s="1"/>
  <c r="Z785" i="2"/>
  <c r="AA785" i="2" s="1"/>
  <c r="Z786" i="2"/>
  <c r="Z787" i="2"/>
  <c r="AA787" i="2" s="1"/>
  <c r="Z788" i="2"/>
  <c r="AA788" i="2" s="1"/>
  <c r="Z789" i="2"/>
  <c r="AA789" i="2" s="1"/>
  <c r="Z790" i="2"/>
  <c r="AA790" i="2" s="1"/>
  <c r="Z791" i="2"/>
  <c r="AA791" i="2" s="1"/>
  <c r="Z792" i="2"/>
  <c r="AA792" i="2" s="1"/>
  <c r="Z793" i="2"/>
  <c r="AA793" i="2" s="1"/>
  <c r="Z794" i="2"/>
  <c r="AA794" i="2" s="1"/>
  <c r="Z795" i="2"/>
  <c r="AA795" i="2" s="1"/>
  <c r="Z796" i="2"/>
  <c r="AA796" i="2" s="1"/>
  <c r="Z797" i="2"/>
  <c r="AA797" i="2" s="1"/>
  <c r="Z798" i="2"/>
  <c r="AA798" i="2" s="1"/>
  <c r="Z799" i="2"/>
  <c r="AA799" i="2" s="1"/>
  <c r="Z800" i="2"/>
  <c r="AA800" i="2" s="1"/>
  <c r="Z801" i="2"/>
  <c r="AA801" i="2" s="1"/>
  <c r="Z802" i="2"/>
  <c r="Z803" i="2"/>
  <c r="AA803" i="2" s="1"/>
  <c r="Z804" i="2"/>
  <c r="AA804" i="2" s="1"/>
  <c r="Z805" i="2"/>
  <c r="AA805" i="2" s="1"/>
  <c r="Z806" i="2"/>
  <c r="AA806" i="2" s="1"/>
  <c r="Z807" i="2"/>
  <c r="AA807" i="2" s="1"/>
  <c r="Z808" i="2"/>
  <c r="AA808" i="2" s="1"/>
  <c r="Z809" i="2"/>
  <c r="AA809" i="2" s="1"/>
  <c r="Z810" i="2"/>
  <c r="AA810" i="2" s="1"/>
  <c r="Z811" i="2"/>
  <c r="AA811" i="2" s="1"/>
  <c r="Z812" i="2"/>
  <c r="AA812" i="2" s="1"/>
  <c r="Z813" i="2"/>
  <c r="AA813" i="2" s="1"/>
  <c r="Z814" i="2"/>
  <c r="AA814" i="2" s="1"/>
  <c r="Z815" i="2"/>
  <c r="AA815" i="2" s="1"/>
  <c r="Z816" i="2"/>
  <c r="AA816" i="2" s="1"/>
  <c r="Z817" i="2"/>
  <c r="AA817" i="2" s="1"/>
  <c r="Z818" i="2"/>
  <c r="Z819" i="2"/>
  <c r="AA819" i="2" s="1"/>
  <c r="Z820" i="2"/>
  <c r="AA820" i="2" s="1"/>
  <c r="Z821" i="2"/>
  <c r="AA821" i="2" s="1"/>
  <c r="Z822" i="2"/>
  <c r="AA822" i="2" s="1"/>
  <c r="Z823" i="2"/>
  <c r="AA823" i="2" s="1"/>
  <c r="Z824" i="2"/>
  <c r="AA824" i="2" s="1"/>
  <c r="Z825" i="2"/>
  <c r="AA825" i="2" s="1"/>
  <c r="Z826" i="2"/>
  <c r="AA826" i="2" s="1"/>
  <c r="Z827" i="2"/>
  <c r="AA827" i="2" s="1"/>
  <c r="Z828" i="2"/>
  <c r="AA828" i="2" s="1"/>
  <c r="Z829" i="2"/>
  <c r="AA829" i="2" s="1"/>
  <c r="Z830" i="2"/>
  <c r="AA830" i="2" s="1"/>
  <c r="Z831" i="2"/>
  <c r="AA831" i="2" s="1"/>
  <c r="Z832" i="2"/>
  <c r="AA832" i="2" s="1"/>
  <c r="Z833" i="2"/>
  <c r="AA833" i="2" s="1"/>
  <c r="Z834" i="2"/>
  <c r="Z835" i="2"/>
  <c r="AA835" i="2" s="1"/>
  <c r="Z836" i="2"/>
  <c r="AA836" i="2" s="1"/>
  <c r="Z837" i="2"/>
  <c r="AA837" i="2" s="1"/>
  <c r="Z838" i="2"/>
  <c r="AA838" i="2" s="1"/>
  <c r="Z839" i="2"/>
  <c r="AA839" i="2" s="1"/>
  <c r="Z840" i="2"/>
  <c r="AA840" i="2" s="1"/>
  <c r="Z841" i="2"/>
  <c r="AA841" i="2" s="1"/>
  <c r="Z842" i="2"/>
  <c r="AA842" i="2" s="1"/>
  <c r="Z843" i="2"/>
  <c r="AA843" i="2" s="1"/>
  <c r="Z844" i="2"/>
  <c r="AA844" i="2" s="1"/>
  <c r="Z845" i="2"/>
  <c r="AA845" i="2" s="1"/>
  <c r="Z846" i="2"/>
  <c r="AA846" i="2" s="1"/>
  <c r="Z847" i="2"/>
  <c r="AA847" i="2" s="1"/>
  <c r="Z848" i="2"/>
  <c r="AA848" i="2" s="1"/>
  <c r="Z849" i="2"/>
  <c r="AA849" i="2" s="1"/>
  <c r="Z850" i="2"/>
  <c r="Z851" i="2"/>
  <c r="AA851" i="2" s="1"/>
  <c r="Z852" i="2"/>
  <c r="AA852" i="2" s="1"/>
  <c r="Z853" i="2"/>
  <c r="AA853" i="2" s="1"/>
  <c r="Z854" i="2"/>
  <c r="AA854" i="2" s="1"/>
  <c r="Z855" i="2"/>
  <c r="AA855" i="2" s="1"/>
  <c r="Z856" i="2"/>
  <c r="AA856" i="2" s="1"/>
  <c r="Z857" i="2"/>
  <c r="AA857" i="2" s="1"/>
  <c r="Z858" i="2"/>
  <c r="AA858" i="2" s="1"/>
  <c r="Z859" i="2"/>
  <c r="AA859" i="2" s="1"/>
  <c r="Z860" i="2"/>
  <c r="AA860" i="2" s="1"/>
  <c r="Z861" i="2"/>
  <c r="AA861" i="2" s="1"/>
  <c r="Z862" i="2"/>
  <c r="AA862" i="2" s="1"/>
  <c r="Z863" i="2"/>
  <c r="AA863" i="2" s="1"/>
  <c r="Z864" i="2"/>
  <c r="AA864" i="2" s="1"/>
  <c r="Z865" i="2"/>
  <c r="AA865" i="2" s="1"/>
  <c r="Z866" i="2"/>
  <c r="AA866" i="2" s="1"/>
  <c r="Z867" i="2"/>
  <c r="AA867" i="2" s="1"/>
  <c r="Z868" i="2"/>
  <c r="AA868" i="2" s="1"/>
  <c r="AA689" i="2" l="1"/>
  <c r="AB689" i="2"/>
  <c r="AA681" i="2"/>
  <c r="AB681" i="2" s="1"/>
  <c r="AA673" i="2"/>
  <c r="AB673" i="2" s="1"/>
  <c r="AA665" i="2"/>
  <c r="AB665" i="2" s="1"/>
  <c r="AA657" i="2"/>
  <c r="AB657" i="2"/>
  <c r="AA649" i="2"/>
  <c r="AB649" i="2" s="1"/>
  <c r="AA641" i="2"/>
  <c r="AB641" i="2" s="1"/>
  <c r="AA633" i="2"/>
  <c r="AB633" i="2" s="1"/>
  <c r="AA625" i="2"/>
  <c r="AB625" i="2"/>
  <c r="AA617" i="2"/>
  <c r="AB617" i="2" s="1"/>
  <c r="AA609" i="2"/>
  <c r="AB609" i="2" s="1"/>
  <c r="AA601" i="2"/>
  <c r="AB601" i="2" s="1"/>
  <c r="AA593" i="2"/>
  <c r="AB593" i="2" s="1"/>
  <c r="AA585" i="2"/>
  <c r="AB585" i="2"/>
  <c r="AA577" i="2"/>
  <c r="AB577" i="2" s="1"/>
  <c r="AA569" i="2"/>
  <c r="AB569" i="2" s="1"/>
  <c r="AA561" i="2"/>
  <c r="AB561" i="2" s="1"/>
  <c r="AA553" i="2"/>
  <c r="AB553" i="2" s="1"/>
  <c r="AA545" i="2"/>
  <c r="AB545" i="2" s="1"/>
  <c r="AA537" i="2"/>
  <c r="AB537" i="2" s="1"/>
  <c r="AA529" i="2"/>
  <c r="AB529" i="2"/>
  <c r="AA521" i="2"/>
  <c r="AB521" i="2" s="1"/>
  <c r="AA513" i="2"/>
  <c r="AB513" i="2" s="1"/>
  <c r="AA505" i="2"/>
  <c r="AB505" i="2" s="1"/>
  <c r="AA497" i="2"/>
  <c r="AB497" i="2" s="1"/>
  <c r="AA489" i="2"/>
  <c r="AB489" i="2" s="1"/>
  <c r="AA481" i="2"/>
  <c r="AB481" i="2" s="1"/>
  <c r="AA473" i="2"/>
  <c r="AB473" i="2" s="1"/>
  <c r="AA465" i="2"/>
  <c r="AB465" i="2" s="1"/>
  <c r="AA457" i="2"/>
  <c r="AB457" i="2" s="1"/>
  <c r="AA449" i="2"/>
  <c r="AB449" i="2" s="1"/>
  <c r="AA441" i="2"/>
  <c r="AB441" i="2"/>
  <c r="AA433" i="2"/>
  <c r="AB433" i="2" s="1"/>
  <c r="AA425" i="2"/>
  <c r="AB425" i="2" s="1"/>
  <c r="AA417" i="2"/>
  <c r="AB417" i="2" s="1"/>
  <c r="AA409" i="2"/>
  <c r="AB409" i="2" s="1"/>
  <c r="AA401" i="2"/>
  <c r="AB401" i="2" s="1"/>
  <c r="AA393" i="2"/>
  <c r="AB393" i="2" s="1"/>
  <c r="AA385" i="2"/>
  <c r="AB385" i="2" s="1"/>
  <c r="AA377" i="2"/>
  <c r="AB377" i="2" s="1"/>
  <c r="AA369" i="2"/>
  <c r="AB369" i="2"/>
  <c r="AA361" i="2"/>
  <c r="AB361" i="2"/>
  <c r="AA353" i="2"/>
  <c r="AB353" i="2" s="1"/>
  <c r="AA345" i="2"/>
  <c r="AB345" i="2"/>
  <c r="AA337" i="2"/>
  <c r="AB337" i="2" s="1"/>
  <c r="AA329" i="2"/>
  <c r="AB329" i="2"/>
  <c r="AA321" i="2"/>
  <c r="AB321" i="2" s="1"/>
  <c r="AA313" i="2"/>
  <c r="AB313" i="2" s="1"/>
  <c r="AA305" i="2"/>
  <c r="AB305" i="2" s="1"/>
  <c r="AA297" i="2"/>
  <c r="AB297" i="2"/>
  <c r="AA289" i="2"/>
  <c r="AB289" i="2" s="1"/>
  <c r="AA281" i="2"/>
  <c r="AB281" i="2" s="1"/>
  <c r="AA273" i="2"/>
  <c r="AB273" i="2" s="1"/>
  <c r="AA265" i="2"/>
  <c r="AB265" i="2" s="1"/>
  <c r="AA257" i="2"/>
  <c r="AB257" i="2" s="1"/>
  <c r="AA249" i="2"/>
  <c r="AB249" i="2"/>
  <c r="AA241" i="2"/>
  <c r="AB241" i="2" s="1"/>
  <c r="AA233" i="2"/>
  <c r="AB233" i="2" s="1"/>
  <c r="AA225" i="2"/>
  <c r="AB225" i="2" s="1"/>
  <c r="AA217" i="2"/>
  <c r="AB217" i="2"/>
  <c r="AA209" i="2"/>
  <c r="AB209" i="2" s="1"/>
  <c r="AA201" i="2"/>
  <c r="AB201" i="2"/>
  <c r="AA193" i="2"/>
  <c r="AB193" i="2" s="1"/>
  <c r="AA185" i="2"/>
  <c r="AB185" i="2"/>
  <c r="AA177" i="2"/>
  <c r="AB177" i="2"/>
  <c r="AA169" i="2"/>
  <c r="AB169" i="2" s="1"/>
  <c r="AA161" i="2"/>
  <c r="AB161" i="2" s="1"/>
  <c r="AA153" i="2"/>
  <c r="AB153" i="2" s="1"/>
  <c r="AA145" i="2"/>
  <c r="AB145" i="2"/>
  <c r="AA137" i="2"/>
  <c r="AB137" i="2" s="1"/>
  <c r="AA129" i="2"/>
  <c r="AB129" i="2" s="1"/>
  <c r="AA121" i="2"/>
  <c r="AB121" i="2" s="1"/>
  <c r="AA113" i="2"/>
  <c r="AB113" i="2" s="1"/>
  <c r="AA105" i="2"/>
  <c r="AB105" i="2" s="1"/>
  <c r="AA97" i="2"/>
  <c r="AB97" i="2" s="1"/>
  <c r="AA89" i="2"/>
  <c r="AB89" i="2" s="1"/>
  <c r="AA81" i="2"/>
  <c r="AB81" i="2" s="1"/>
  <c r="AA73" i="2"/>
  <c r="AB73" i="2"/>
  <c r="AA65" i="2"/>
  <c r="AB65" i="2" s="1"/>
  <c r="AA57" i="2"/>
  <c r="AB57" i="2" s="1"/>
  <c r="AA49" i="2"/>
  <c r="AB49" i="2" s="1"/>
  <c r="AA41" i="2"/>
  <c r="AB41" i="2"/>
  <c r="AA33" i="2"/>
  <c r="AB33" i="2" s="1"/>
  <c r="AA25" i="2"/>
  <c r="AB25" i="2" s="1"/>
  <c r="AA17" i="2"/>
  <c r="AB17" i="2" s="1"/>
  <c r="AA2" i="2"/>
  <c r="AB2" i="2" s="1"/>
  <c r="AA701" i="2"/>
  <c r="AB701" i="2" s="1"/>
  <c r="AA802" i="2"/>
  <c r="AB802" i="2" s="1"/>
  <c r="AB6" i="2"/>
  <c r="AB865" i="2"/>
  <c r="AB857" i="2"/>
  <c r="AB849" i="2"/>
  <c r="AB841" i="2"/>
  <c r="AB833" i="2"/>
  <c r="AB825" i="2"/>
  <c r="AB817" i="2"/>
  <c r="AB809" i="2"/>
  <c r="AB801" i="2"/>
  <c r="AB793" i="2"/>
  <c r="AB785" i="2"/>
  <c r="AB777" i="2"/>
  <c r="AB769" i="2"/>
  <c r="AB761" i="2"/>
  <c r="AB753" i="2"/>
  <c r="AB745" i="2"/>
  <c r="AB737" i="2"/>
  <c r="AB729" i="2"/>
  <c r="AB721" i="2"/>
  <c r="AB713" i="2"/>
  <c r="AB705" i="2"/>
  <c r="AB697" i="2"/>
  <c r="AB687" i="2"/>
  <c r="AB655" i="2"/>
  <c r="AB623" i="2"/>
  <c r="AB591" i="2"/>
  <c r="AB559" i="2"/>
  <c r="AB527" i="2"/>
  <c r="AB495" i="2"/>
  <c r="AB463" i="2"/>
  <c r="AB431" i="2"/>
  <c r="AB399" i="2"/>
  <c r="AB367" i="2"/>
  <c r="AB335" i="2"/>
  <c r="AB303" i="2"/>
  <c r="AB271" i="2"/>
  <c r="AB239" i="2"/>
  <c r="AB207" i="2"/>
  <c r="AB175" i="2"/>
  <c r="AB143" i="2"/>
  <c r="AB111" i="2"/>
  <c r="AB79" i="2"/>
  <c r="AA3" i="2"/>
  <c r="AB3" i="2" s="1"/>
  <c r="AA487" i="2"/>
  <c r="AB487" i="2" s="1"/>
  <c r="AA710" i="2"/>
  <c r="AB710" i="2" s="1"/>
  <c r="AA818" i="2"/>
  <c r="AB818" i="2" s="1"/>
  <c r="AB5" i="2"/>
  <c r="AB864" i="2"/>
  <c r="AB856" i="2"/>
  <c r="AB848" i="2"/>
  <c r="AB840" i="2"/>
  <c r="AB832" i="2"/>
  <c r="AB824" i="2"/>
  <c r="AB816" i="2"/>
  <c r="AB808" i="2"/>
  <c r="AB800" i="2"/>
  <c r="AB792" i="2"/>
  <c r="AB784" i="2"/>
  <c r="AB776" i="2"/>
  <c r="AB768" i="2"/>
  <c r="AB760" i="2"/>
  <c r="AB752" i="2"/>
  <c r="AB744" i="2"/>
  <c r="AB736" i="2"/>
  <c r="AB728" i="2"/>
  <c r="AB720" i="2"/>
  <c r="AB712" i="2"/>
  <c r="AB704" i="2"/>
  <c r="AB696" i="2"/>
  <c r="AB680" i="2"/>
  <c r="AB648" i="2"/>
  <c r="AB616" i="2"/>
  <c r="AB584" i="2"/>
  <c r="AB552" i="2"/>
  <c r="AB520" i="2"/>
  <c r="AB488" i="2"/>
  <c r="AB456" i="2"/>
  <c r="AB424" i="2"/>
  <c r="AB392" i="2"/>
  <c r="AB360" i="2"/>
  <c r="AB328" i="2"/>
  <c r="AB296" i="2"/>
  <c r="AB264" i="2"/>
  <c r="AB232" i="2"/>
  <c r="AB200" i="2"/>
  <c r="AB168" i="2"/>
  <c r="AB136" i="2"/>
  <c r="AB104" i="2"/>
  <c r="AB71" i="2"/>
  <c r="AA4" i="2"/>
  <c r="AB4" i="2" s="1"/>
  <c r="AA714" i="2"/>
  <c r="AB714" i="2" s="1"/>
  <c r="AA834" i="2"/>
  <c r="AB834" i="2" s="1"/>
  <c r="AB863" i="2"/>
  <c r="AB855" i="2"/>
  <c r="AB847" i="2"/>
  <c r="AB839" i="2"/>
  <c r="AB831" i="2"/>
  <c r="AB823" i="2"/>
  <c r="AB815" i="2"/>
  <c r="AB807" i="2"/>
  <c r="AB799" i="2"/>
  <c r="AB791" i="2"/>
  <c r="AB783" i="2"/>
  <c r="AB775" i="2"/>
  <c r="AB767" i="2"/>
  <c r="AB759" i="2"/>
  <c r="AB751" i="2"/>
  <c r="AB743" i="2"/>
  <c r="AB735" i="2"/>
  <c r="AB727" i="2"/>
  <c r="AB719" i="2"/>
  <c r="AB711" i="2"/>
  <c r="AB703" i="2"/>
  <c r="AB695" i="2"/>
  <c r="AB679" i="2"/>
  <c r="AB647" i="2"/>
  <c r="AB615" i="2"/>
  <c r="AB583" i="2"/>
  <c r="AB551" i="2"/>
  <c r="AB519" i="2"/>
  <c r="AB455" i="2"/>
  <c r="AB423" i="2"/>
  <c r="AB391" i="2"/>
  <c r="AB359" i="2"/>
  <c r="AB327" i="2"/>
  <c r="AB295" i="2"/>
  <c r="AB263" i="2"/>
  <c r="AB231" i="2"/>
  <c r="AB199" i="2"/>
  <c r="AB167" i="2"/>
  <c r="AB135" i="2"/>
  <c r="AB103" i="2"/>
  <c r="AB63" i="2"/>
  <c r="AA722" i="2"/>
  <c r="AB722" i="2" s="1"/>
  <c r="AA850" i="2"/>
  <c r="AB850" i="2" s="1"/>
  <c r="AB862" i="2"/>
  <c r="AB854" i="2"/>
  <c r="AB846" i="2"/>
  <c r="AB838" i="2"/>
  <c r="AB830" i="2"/>
  <c r="AB822" i="2"/>
  <c r="AB814" i="2"/>
  <c r="AB806" i="2"/>
  <c r="AB798" i="2"/>
  <c r="AB790" i="2"/>
  <c r="AB782" i="2"/>
  <c r="AB774" i="2"/>
  <c r="AB766" i="2"/>
  <c r="AB758" i="2"/>
  <c r="AB750" i="2"/>
  <c r="AB742" i="2"/>
  <c r="AB734" i="2"/>
  <c r="AB726" i="2"/>
  <c r="AB718" i="2"/>
  <c r="AB702" i="2"/>
  <c r="AB694" i="2"/>
  <c r="AB672" i="2"/>
  <c r="AB640" i="2"/>
  <c r="AB608" i="2"/>
  <c r="AB576" i="2"/>
  <c r="AB544" i="2"/>
  <c r="AB512" i="2"/>
  <c r="AB480" i="2"/>
  <c r="AB448" i="2"/>
  <c r="AB416" i="2"/>
  <c r="AB384" i="2"/>
  <c r="AB352" i="2"/>
  <c r="AB320" i="2"/>
  <c r="AB288" i="2"/>
  <c r="AB256" i="2"/>
  <c r="AB224" i="2"/>
  <c r="AB192" i="2"/>
  <c r="AB160" i="2"/>
  <c r="AB128" i="2"/>
  <c r="AB96" i="2"/>
  <c r="AB55" i="2"/>
  <c r="AA32" i="2"/>
  <c r="AB32" i="2" s="1"/>
  <c r="AA662" i="2"/>
  <c r="AB662" i="2"/>
  <c r="AA638" i="2"/>
  <c r="AB638" i="2" s="1"/>
  <c r="AA622" i="2"/>
  <c r="AB622" i="2"/>
  <c r="AA590" i="2"/>
  <c r="AB590" i="2" s="1"/>
  <c r="AA526" i="2"/>
  <c r="AB526" i="2" s="1"/>
  <c r="AA502" i="2"/>
  <c r="AB502" i="2" s="1"/>
  <c r="AA462" i="2"/>
  <c r="AB462" i="2" s="1"/>
  <c r="AA398" i="2"/>
  <c r="AB398" i="2" s="1"/>
  <c r="AA382" i="2"/>
  <c r="AB382" i="2" s="1"/>
  <c r="AA366" i="2"/>
  <c r="AB366" i="2" s="1"/>
  <c r="AA342" i="2"/>
  <c r="AB342" i="2" s="1"/>
  <c r="AB294" i="2"/>
  <c r="AB262" i="2"/>
  <c r="AA238" i="2"/>
  <c r="AB238" i="2" s="1"/>
  <c r="AA222" i="2"/>
  <c r="AB222" i="2" s="1"/>
  <c r="AA206" i="2"/>
  <c r="AB206" i="2" s="1"/>
  <c r="AA198" i="2"/>
  <c r="AB198" i="2" s="1"/>
  <c r="AA190" i="2"/>
  <c r="AB190" i="2" s="1"/>
  <c r="AA182" i="2"/>
  <c r="AB182" i="2" s="1"/>
  <c r="AA174" i="2"/>
  <c r="AB174" i="2" s="1"/>
  <c r="AA166" i="2"/>
  <c r="AB166" i="2" s="1"/>
  <c r="AA158" i="2"/>
  <c r="AB158" i="2"/>
  <c r="AA150" i="2"/>
  <c r="AB150" i="2"/>
  <c r="AA142" i="2"/>
  <c r="AB142" i="2" s="1"/>
  <c r="AB110" i="2"/>
  <c r="AB94" i="2"/>
  <c r="AB78" i="2"/>
  <c r="AB62" i="2"/>
  <c r="AB46" i="2"/>
  <c r="AA30" i="2"/>
  <c r="AB30" i="2" s="1"/>
  <c r="AB14" i="2"/>
  <c r="AA685" i="2"/>
  <c r="AB685" i="2" s="1"/>
  <c r="AA677" i="2"/>
  <c r="AB677" i="2" s="1"/>
  <c r="AA669" i="2"/>
  <c r="AB669" i="2" s="1"/>
  <c r="AA661" i="2"/>
  <c r="AB661" i="2" s="1"/>
  <c r="AA653" i="2"/>
  <c r="AB653" i="2" s="1"/>
  <c r="AA645" i="2"/>
  <c r="AB645" i="2" s="1"/>
  <c r="AB637" i="2"/>
  <c r="AA629" i="2"/>
  <c r="AB629" i="2" s="1"/>
  <c r="AA621" i="2"/>
  <c r="AB621" i="2" s="1"/>
  <c r="AA613" i="2"/>
  <c r="AB613" i="2" s="1"/>
  <c r="AA605" i="2"/>
  <c r="AB605" i="2" s="1"/>
  <c r="AA597" i="2"/>
  <c r="AB597" i="2" s="1"/>
  <c r="AA589" i="2"/>
  <c r="AB589" i="2" s="1"/>
  <c r="AA581" i="2"/>
  <c r="AB581" i="2" s="1"/>
  <c r="AA565" i="2"/>
  <c r="AB565" i="2" s="1"/>
  <c r="AA557" i="2"/>
  <c r="AB557" i="2" s="1"/>
  <c r="AA549" i="2"/>
  <c r="AB549" i="2" s="1"/>
  <c r="AA533" i="2"/>
  <c r="AB533" i="2" s="1"/>
  <c r="AA525" i="2"/>
  <c r="AB525" i="2" s="1"/>
  <c r="AA501" i="2"/>
  <c r="AB501" i="2" s="1"/>
  <c r="AA493" i="2"/>
  <c r="AB493" i="2"/>
  <c r="AA485" i="2"/>
  <c r="AB485" i="2" s="1"/>
  <c r="AA477" i="2"/>
  <c r="AB477" i="2" s="1"/>
  <c r="AA469" i="2"/>
  <c r="AB469" i="2" s="1"/>
  <c r="AA461" i="2"/>
  <c r="AB461" i="2"/>
  <c r="AA453" i="2"/>
  <c r="AB453" i="2"/>
  <c r="AB445" i="2"/>
  <c r="AA437" i="2"/>
  <c r="AB437" i="2"/>
  <c r="AA429" i="2"/>
  <c r="AB429" i="2" s="1"/>
  <c r="AA421" i="2"/>
  <c r="AB421" i="2" s="1"/>
  <c r="AA405" i="2"/>
  <c r="AB405" i="2" s="1"/>
  <c r="AA397" i="2"/>
  <c r="AB397" i="2" s="1"/>
  <c r="AA373" i="2"/>
  <c r="AB373" i="2" s="1"/>
  <c r="AA365" i="2"/>
  <c r="AB365" i="2" s="1"/>
  <c r="AA357" i="2"/>
  <c r="AB357" i="2"/>
  <c r="AA349" i="2"/>
  <c r="AB349" i="2" s="1"/>
  <c r="AA341" i="2"/>
  <c r="AB341" i="2" s="1"/>
  <c r="AA333" i="2"/>
  <c r="AB333" i="2" s="1"/>
  <c r="AB325" i="2"/>
  <c r="AA309" i="2"/>
  <c r="AB309" i="2" s="1"/>
  <c r="AA301" i="2"/>
  <c r="AB301" i="2" s="1"/>
  <c r="AA293" i="2"/>
  <c r="AB293" i="2" s="1"/>
  <c r="AB285" i="2"/>
  <c r="AA277" i="2"/>
  <c r="AB277" i="2"/>
  <c r="AA269" i="2"/>
  <c r="AB269" i="2" s="1"/>
  <c r="AB261" i="2"/>
  <c r="AA253" i="2"/>
  <c r="AB253" i="2" s="1"/>
  <c r="AA245" i="2"/>
  <c r="AB245" i="2" s="1"/>
  <c r="AA237" i="2"/>
  <c r="AB237" i="2" s="1"/>
  <c r="AB229" i="2"/>
  <c r="AB221" i="2"/>
  <c r="AA213" i="2"/>
  <c r="AB213" i="2" s="1"/>
  <c r="AA205" i="2"/>
  <c r="AB205" i="2"/>
  <c r="AB197" i="2"/>
  <c r="AB189" i="2"/>
  <c r="AA181" i="2"/>
  <c r="AB181" i="2" s="1"/>
  <c r="AB173" i="2"/>
  <c r="AB165" i="2"/>
  <c r="AB149" i="2"/>
  <c r="AA141" i="2"/>
  <c r="AB141" i="2" s="1"/>
  <c r="AB125" i="2"/>
  <c r="AB109" i="2"/>
  <c r="AB93" i="2"/>
  <c r="AB77" i="2"/>
  <c r="AB61" i="2"/>
  <c r="AA45" i="2"/>
  <c r="AB45" i="2"/>
  <c r="AB29" i="2"/>
  <c r="AB21" i="2"/>
  <c r="AA10" i="2"/>
  <c r="AB10" i="2" s="1"/>
  <c r="AA21" i="2"/>
  <c r="AA173" i="2"/>
  <c r="AA381" i="2"/>
  <c r="AB381" i="2" s="1"/>
  <c r="AA413" i="2"/>
  <c r="AB413" i="2" s="1"/>
  <c r="AA573" i="2"/>
  <c r="AB573" i="2" s="1"/>
  <c r="AA671" i="2"/>
  <c r="AB671" i="2" s="1"/>
  <c r="AA738" i="2"/>
  <c r="AB738" i="2" s="1"/>
  <c r="AB861" i="2"/>
  <c r="AB853" i="2"/>
  <c r="AB845" i="2"/>
  <c r="AB837" i="2"/>
  <c r="AB829" i="2"/>
  <c r="AB821" i="2"/>
  <c r="AB813" i="2"/>
  <c r="AB805" i="2"/>
  <c r="AB797" i="2"/>
  <c r="AB789" i="2"/>
  <c r="AB781" i="2"/>
  <c r="AB773" i="2"/>
  <c r="AB765" i="2"/>
  <c r="AB757" i="2"/>
  <c r="AB749" i="2"/>
  <c r="AB741" i="2"/>
  <c r="AB733" i="2"/>
  <c r="AB725" i="2"/>
  <c r="AB717" i="2"/>
  <c r="AB709" i="2"/>
  <c r="AB693" i="2"/>
  <c r="AB639" i="2"/>
  <c r="AB607" i="2"/>
  <c r="AB575" i="2"/>
  <c r="AB543" i="2"/>
  <c r="AB511" i="2"/>
  <c r="AB479" i="2"/>
  <c r="AB447" i="2"/>
  <c r="AB415" i="2"/>
  <c r="AB383" i="2"/>
  <c r="AB351" i="2"/>
  <c r="AB319" i="2"/>
  <c r="AB287" i="2"/>
  <c r="AB255" i="2"/>
  <c r="AB223" i="2"/>
  <c r="AB191" i="2"/>
  <c r="AB159" i="2"/>
  <c r="AB127" i="2"/>
  <c r="AB95" i="2"/>
  <c r="AB47" i="2"/>
  <c r="AA64" i="2"/>
  <c r="AB64" i="2" s="1"/>
  <c r="AA56" i="2"/>
  <c r="AB56" i="2" s="1"/>
  <c r="AA48" i="2"/>
  <c r="AB48" i="2" s="1"/>
  <c r="AA16" i="2"/>
  <c r="AB16" i="2" s="1"/>
  <c r="AA15" i="2"/>
  <c r="AB15" i="2" s="1"/>
  <c r="AA678" i="2"/>
  <c r="AB678" i="2" s="1"/>
  <c r="AA670" i="2"/>
  <c r="AB670" i="2" s="1"/>
  <c r="AA654" i="2"/>
  <c r="AB654" i="2" s="1"/>
  <c r="AA630" i="2"/>
  <c r="AB630" i="2" s="1"/>
  <c r="AA606" i="2"/>
  <c r="AB606" i="2"/>
  <c r="AA582" i="2"/>
  <c r="AB582" i="2" s="1"/>
  <c r="AA558" i="2"/>
  <c r="AB558" i="2" s="1"/>
  <c r="AA534" i="2"/>
  <c r="AB534" i="2" s="1"/>
  <c r="AB486" i="2"/>
  <c r="AA470" i="2"/>
  <c r="AB470" i="2" s="1"/>
  <c r="AA446" i="2"/>
  <c r="AB446" i="2" s="1"/>
  <c r="AA430" i="2"/>
  <c r="AB430" i="2" s="1"/>
  <c r="AA414" i="2"/>
  <c r="AB414" i="2" s="1"/>
  <c r="AA374" i="2"/>
  <c r="AB374" i="2" s="1"/>
  <c r="AA350" i="2"/>
  <c r="AB350" i="2" s="1"/>
  <c r="AA326" i="2"/>
  <c r="AB326" i="2" s="1"/>
  <c r="AA310" i="2"/>
  <c r="AB310" i="2"/>
  <c r="AA286" i="2"/>
  <c r="AB286" i="2" s="1"/>
  <c r="AA270" i="2"/>
  <c r="AB270" i="2" s="1"/>
  <c r="AA246" i="2"/>
  <c r="AB246" i="2" s="1"/>
  <c r="AA684" i="2"/>
  <c r="AB684" i="2" s="1"/>
  <c r="AA676" i="2"/>
  <c r="AB676" i="2" s="1"/>
  <c r="AA668" i="2"/>
  <c r="AB668" i="2" s="1"/>
  <c r="AA660" i="2"/>
  <c r="AB660" i="2" s="1"/>
  <c r="AA652" i="2"/>
  <c r="AB652" i="2" s="1"/>
  <c r="AA644" i="2"/>
  <c r="AB644" i="2" s="1"/>
  <c r="AA620" i="2"/>
  <c r="AB620" i="2" s="1"/>
  <c r="AA612" i="2"/>
  <c r="AB612" i="2" s="1"/>
  <c r="AB604" i="2"/>
  <c r="AA588" i="2"/>
  <c r="AB588" i="2"/>
  <c r="AA580" i="2"/>
  <c r="AB580" i="2" s="1"/>
  <c r="AB572" i="2"/>
  <c r="AB564" i="2"/>
  <c r="AA556" i="2"/>
  <c r="AB556" i="2"/>
  <c r="AA548" i="2"/>
  <c r="AB548" i="2"/>
  <c r="AB532" i="2"/>
  <c r="AA524" i="2"/>
  <c r="AB524" i="2" s="1"/>
  <c r="AA516" i="2"/>
  <c r="AB516" i="2" s="1"/>
  <c r="AB500" i="2"/>
  <c r="AA492" i="2"/>
  <c r="AB492" i="2" s="1"/>
  <c r="AA484" i="2"/>
  <c r="AB484" i="2"/>
  <c r="AA460" i="2"/>
  <c r="AB460" i="2" s="1"/>
  <c r="AA452" i="2"/>
  <c r="AB452" i="2" s="1"/>
  <c r="AB444" i="2"/>
  <c r="AA428" i="2"/>
  <c r="AB428" i="2" s="1"/>
  <c r="AA420" i="2"/>
  <c r="AB420" i="2" s="1"/>
  <c r="AB412" i="2"/>
  <c r="AB404" i="2"/>
  <c r="AA396" i="2"/>
  <c r="AB396" i="2" s="1"/>
  <c r="AA388" i="2"/>
  <c r="AB388" i="2" s="1"/>
  <c r="AB380" i="2"/>
  <c r="AB372" i="2"/>
  <c r="AA364" i="2"/>
  <c r="AB364" i="2" s="1"/>
  <c r="AA356" i="2"/>
  <c r="AB356" i="2"/>
  <c r="AB340" i="2"/>
  <c r="AA332" i="2"/>
  <c r="AB332" i="2" s="1"/>
  <c r="AA324" i="2"/>
  <c r="AB324" i="2" s="1"/>
  <c r="AB308" i="2"/>
  <c r="AA300" i="2"/>
  <c r="AB300" i="2"/>
  <c r="AA292" i="2"/>
  <c r="AB292" i="2" s="1"/>
  <c r="AB284" i="2"/>
  <c r="AA268" i="2"/>
  <c r="AB268" i="2"/>
  <c r="AA260" i="2"/>
  <c r="AB260" i="2" s="1"/>
  <c r="AB252" i="2"/>
  <c r="AA236" i="2"/>
  <c r="AB236" i="2" s="1"/>
  <c r="AA228" i="2"/>
  <c r="AB228" i="2" s="1"/>
  <c r="AB220" i="2"/>
  <c r="AA204" i="2"/>
  <c r="AB204" i="2" s="1"/>
  <c r="AA196" i="2"/>
  <c r="AB196" i="2" s="1"/>
  <c r="AB188" i="2"/>
  <c r="AB172" i="2"/>
  <c r="AB164" i="2"/>
  <c r="AB148" i="2"/>
  <c r="AB140" i="2"/>
  <c r="AB132" i="2"/>
  <c r="AB124" i="2"/>
  <c r="AB108" i="2"/>
  <c r="AB92" i="2"/>
  <c r="AB76" i="2"/>
  <c r="AB60" i="2"/>
  <c r="AB44" i="2"/>
  <c r="AB36" i="2"/>
  <c r="AB28" i="2"/>
  <c r="AB20" i="2"/>
  <c r="AA22" i="2"/>
  <c r="AB22" i="2" s="1"/>
  <c r="AA37" i="2"/>
  <c r="AB37" i="2" s="1"/>
  <c r="AA52" i="2"/>
  <c r="AB52" i="2" s="1"/>
  <c r="AA68" i="2"/>
  <c r="AB68" i="2" s="1"/>
  <c r="AA84" i="2"/>
  <c r="AB84" i="2" s="1"/>
  <c r="AA100" i="2"/>
  <c r="AB100" i="2" s="1"/>
  <c r="AA116" i="2"/>
  <c r="AB116" i="2" s="1"/>
  <c r="AA133" i="2"/>
  <c r="AB133" i="2" s="1"/>
  <c r="AA156" i="2"/>
  <c r="AB156" i="2" s="1"/>
  <c r="AA348" i="2"/>
  <c r="AB348" i="2" s="1"/>
  <c r="AA389" i="2"/>
  <c r="AB389" i="2" s="1"/>
  <c r="AA422" i="2"/>
  <c r="AB422" i="2" s="1"/>
  <c r="AA468" i="2"/>
  <c r="AB468" i="2" s="1"/>
  <c r="AA508" i="2"/>
  <c r="AB508" i="2" s="1"/>
  <c r="AA540" i="2"/>
  <c r="AB540" i="2" s="1"/>
  <c r="AA628" i="2"/>
  <c r="AB628" i="2" s="1"/>
  <c r="AA754" i="2"/>
  <c r="AB754" i="2" s="1"/>
  <c r="AB9" i="2"/>
  <c r="AB868" i="2"/>
  <c r="AB860" i="2"/>
  <c r="AB852" i="2"/>
  <c r="AB844" i="2"/>
  <c r="AB836" i="2"/>
  <c r="AB828" i="2"/>
  <c r="AB820" i="2"/>
  <c r="AB812" i="2"/>
  <c r="AB804" i="2"/>
  <c r="AB796" i="2"/>
  <c r="AB788" i="2"/>
  <c r="AB780" i="2"/>
  <c r="AB772" i="2"/>
  <c r="AB764" i="2"/>
  <c r="AB756" i="2"/>
  <c r="AB748" i="2"/>
  <c r="AB740" i="2"/>
  <c r="AB732" i="2"/>
  <c r="AB724" i="2"/>
  <c r="AB716" i="2"/>
  <c r="AB708" i="2"/>
  <c r="AB700" i="2"/>
  <c r="AB692" i="2"/>
  <c r="AB664" i="2"/>
  <c r="AB632" i="2"/>
  <c r="AB600" i="2"/>
  <c r="AB568" i="2"/>
  <c r="AB536" i="2"/>
  <c r="AB504" i="2"/>
  <c r="AB472" i="2"/>
  <c r="AB440" i="2"/>
  <c r="AB408" i="2"/>
  <c r="AB376" i="2"/>
  <c r="AB344" i="2"/>
  <c r="AB312" i="2"/>
  <c r="AB280" i="2"/>
  <c r="AB248" i="2"/>
  <c r="AB216" i="2"/>
  <c r="AB184" i="2"/>
  <c r="AB152" i="2"/>
  <c r="AB120" i="2"/>
  <c r="AB88" i="2"/>
  <c r="AB39" i="2"/>
  <c r="AA40" i="2"/>
  <c r="AB40" i="2"/>
  <c r="AB518" i="2"/>
  <c r="AA683" i="2"/>
  <c r="AB683" i="2"/>
  <c r="AA675" i="2"/>
  <c r="AB675" i="2"/>
  <c r="AA667" i="2"/>
  <c r="AB667" i="2" s="1"/>
  <c r="AA659" i="2"/>
  <c r="AB659" i="2"/>
  <c r="AA651" i="2"/>
  <c r="AB651" i="2" s="1"/>
  <c r="AA643" i="2"/>
  <c r="AB643" i="2"/>
  <c r="AA635" i="2"/>
  <c r="AB635" i="2" s="1"/>
  <c r="AA627" i="2"/>
  <c r="AB627" i="2" s="1"/>
  <c r="AA619" i="2"/>
  <c r="AB619" i="2" s="1"/>
  <c r="AA611" i="2"/>
  <c r="AB611" i="2"/>
  <c r="AA603" i="2"/>
  <c r="AB603" i="2" s="1"/>
  <c r="AA595" i="2"/>
  <c r="AB595" i="2" s="1"/>
  <c r="AA587" i="2"/>
  <c r="AB587" i="2" s="1"/>
  <c r="AA579" i="2"/>
  <c r="AB579" i="2" s="1"/>
  <c r="AA571" i="2"/>
  <c r="AB571" i="2" s="1"/>
  <c r="AA563" i="2"/>
  <c r="AB563" i="2"/>
  <c r="AA555" i="2"/>
  <c r="AB555" i="2" s="1"/>
  <c r="AA547" i="2"/>
  <c r="AB547" i="2" s="1"/>
  <c r="AA539" i="2"/>
  <c r="AB539" i="2" s="1"/>
  <c r="AA531" i="2"/>
  <c r="AB531" i="2"/>
  <c r="AA523" i="2"/>
  <c r="AB523" i="2" s="1"/>
  <c r="AA515" i="2"/>
  <c r="AB515" i="2"/>
  <c r="AA507" i="2"/>
  <c r="AB507" i="2" s="1"/>
  <c r="AA499" i="2"/>
  <c r="AB499" i="2"/>
  <c r="AA491" i="2"/>
  <c r="AB491" i="2"/>
  <c r="AA483" i="2"/>
  <c r="AB483" i="2" s="1"/>
  <c r="AA475" i="2"/>
  <c r="AB475" i="2" s="1"/>
  <c r="AA467" i="2"/>
  <c r="AB467" i="2" s="1"/>
  <c r="AA459" i="2"/>
  <c r="AB459" i="2" s="1"/>
  <c r="AA451" i="2"/>
  <c r="AB451" i="2" s="1"/>
  <c r="AA443" i="2"/>
  <c r="AB443" i="2" s="1"/>
  <c r="AA435" i="2"/>
  <c r="AB435" i="2" s="1"/>
  <c r="AA427" i="2"/>
  <c r="AB427" i="2" s="1"/>
  <c r="AA419" i="2"/>
  <c r="AB419" i="2" s="1"/>
  <c r="AA411" i="2"/>
  <c r="AB411" i="2" s="1"/>
  <c r="AA403" i="2"/>
  <c r="AB403" i="2" s="1"/>
  <c r="AA395" i="2"/>
  <c r="AB395" i="2" s="1"/>
  <c r="AA387" i="2"/>
  <c r="AB387" i="2" s="1"/>
  <c r="AA379" i="2"/>
  <c r="AB379" i="2" s="1"/>
  <c r="AA371" i="2"/>
  <c r="AB371" i="2" s="1"/>
  <c r="AA363" i="2"/>
  <c r="AB363" i="2" s="1"/>
  <c r="AA355" i="2"/>
  <c r="AB355" i="2" s="1"/>
  <c r="AA347" i="2"/>
  <c r="AB347" i="2" s="1"/>
  <c r="AA339" i="2"/>
  <c r="AB339" i="2" s="1"/>
  <c r="AA331" i="2"/>
  <c r="AB331" i="2"/>
  <c r="AA323" i="2"/>
  <c r="AB323" i="2" s="1"/>
  <c r="AA315" i="2"/>
  <c r="AB315" i="2" s="1"/>
  <c r="AA307" i="2"/>
  <c r="AB307" i="2" s="1"/>
  <c r="AA299" i="2"/>
  <c r="AB299" i="2" s="1"/>
  <c r="AA291" i="2"/>
  <c r="AB291" i="2" s="1"/>
  <c r="AA283" i="2"/>
  <c r="AB283" i="2" s="1"/>
  <c r="AA275" i="2"/>
  <c r="AB275" i="2" s="1"/>
  <c r="AA267" i="2"/>
  <c r="AB267" i="2" s="1"/>
  <c r="AA259" i="2"/>
  <c r="AB259" i="2" s="1"/>
  <c r="AA251" i="2"/>
  <c r="AB251" i="2" s="1"/>
  <c r="AA243" i="2"/>
  <c r="AB243" i="2" s="1"/>
  <c r="AA235" i="2"/>
  <c r="AB235" i="2" s="1"/>
  <c r="AA227" i="2"/>
  <c r="AB227" i="2" s="1"/>
  <c r="AA219" i="2"/>
  <c r="AB219" i="2" s="1"/>
  <c r="AA211" i="2"/>
  <c r="AB211" i="2" s="1"/>
  <c r="AA203" i="2"/>
  <c r="AB203" i="2"/>
  <c r="AA195" i="2"/>
  <c r="AB195" i="2" s="1"/>
  <c r="AB179" i="2"/>
  <c r="AB171" i="2"/>
  <c r="AB155" i="2"/>
  <c r="AB147" i="2"/>
  <c r="AB131" i="2"/>
  <c r="AB123" i="2"/>
  <c r="AB115" i="2"/>
  <c r="AB107" i="2"/>
  <c r="AB99" i="2"/>
  <c r="AB91" i="2"/>
  <c r="AB83" i="2"/>
  <c r="AB75" i="2"/>
  <c r="AB67" i="2"/>
  <c r="AB59" i="2"/>
  <c r="AB51" i="2"/>
  <c r="AB43" i="2"/>
  <c r="AB35" i="2"/>
  <c r="AB19" i="2"/>
  <c r="AB11" i="2"/>
  <c r="AA12" i="2"/>
  <c r="AB12" i="2" s="1"/>
  <c r="AA38" i="2"/>
  <c r="AB38" i="2" s="1"/>
  <c r="AA53" i="2"/>
  <c r="AB53" i="2" s="1"/>
  <c r="AA69" i="2"/>
  <c r="AB69" i="2" s="1"/>
  <c r="AA85" i="2"/>
  <c r="AB85" i="2" s="1"/>
  <c r="AA101" i="2"/>
  <c r="AB101" i="2" s="1"/>
  <c r="AA117" i="2"/>
  <c r="AB117" i="2" s="1"/>
  <c r="AA134" i="2"/>
  <c r="AB134" i="2" s="1"/>
  <c r="AA157" i="2"/>
  <c r="AB157" i="2" s="1"/>
  <c r="AA180" i="2"/>
  <c r="AB180" i="2" s="1"/>
  <c r="AA212" i="2"/>
  <c r="AB212" i="2" s="1"/>
  <c r="AA244" i="2"/>
  <c r="AB244" i="2" s="1"/>
  <c r="AA276" i="2"/>
  <c r="AB276" i="2" s="1"/>
  <c r="AA316" i="2"/>
  <c r="AB316" i="2" s="1"/>
  <c r="AA390" i="2"/>
  <c r="AB390" i="2" s="1"/>
  <c r="AA509" i="2"/>
  <c r="AB509" i="2" s="1"/>
  <c r="AA541" i="2"/>
  <c r="AB541" i="2" s="1"/>
  <c r="AA686" i="2"/>
  <c r="AB686" i="2" s="1"/>
  <c r="AA770" i="2"/>
  <c r="AB770" i="2" s="1"/>
  <c r="AB8" i="2"/>
  <c r="AB867" i="2"/>
  <c r="AB859" i="2"/>
  <c r="AB851" i="2"/>
  <c r="AB843" i="2"/>
  <c r="AB835" i="2"/>
  <c r="AB827" i="2"/>
  <c r="AB819" i="2"/>
  <c r="AB811" i="2"/>
  <c r="AB803" i="2"/>
  <c r="AB795" i="2"/>
  <c r="AB787" i="2"/>
  <c r="AB779" i="2"/>
  <c r="AB771" i="2"/>
  <c r="AB763" i="2"/>
  <c r="AB755" i="2"/>
  <c r="AB747" i="2"/>
  <c r="AB739" i="2"/>
  <c r="AB731" i="2"/>
  <c r="AB723" i="2"/>
  <c r="AB715" i="2"/>
  <c r="AB707" i="2"/>
  <c r="AB699" i="2"/>
  <c r="AB691" i="2"/>
  <c r="AB663" i="2"/>
  <c r="AB631" i="2"/>
  <c r="AB599" i="2"/>
  <c r="AB567" i="2"/>
  <c r="AB535" i="2"/>
  <c r="AB503" i="2"/>
  <c r="AB471" i="2"/>
  <c r="AB439" i="2"/>
  <c r="AB407" i="2"/>
  <c r="AB375" i="2"/>
  <c r="AB343" i="2"/>
  <c r="AB311" i="2"/>
  <c r="AB279" i="2"/>
  <c r="AB247" i="2"/>
  <c r="AB215" i="2"/>
  <c r="AB183" i="2"/>
  <c r="AB151" i="2"/>
  <c r="AB119" i="2"/>
  <c r="AB87" i="2"/>
  <c r="AB31" i="2"/>
  <c r="AA72" i="2"/>
  <c r="AB72" i="2"/>
  <c r="AA24" i="2"/>
  <c r="AB24" i="2" s="1"/>
  <c r="AB646" i="2"/>
  <c r="AB614" i="2"/>
  <c r="AA598" i="2"/>
  <c r="AB598" i="2" s="1"/>
  <c r="AA574" i="2"/>
  <c r="AB574" i="2" s="1"/>
  <c r="AA566" i="2"/>
  <c r="AB566" i="2" s="1"/>
  <c r="AA542" i="2"/>
  <c r="AB542" i="2" s="1"/>
  <c r="AA510" i="2"/>
  <c r="AB510" i="2" s="1"/>
  <c r="AA494" i="2"/>
  <c r="AB494" i="2"/>
  <c r="AA478" i="2"/>
  <c r="AB478" i="2" s="1"/>
  <c r="AA454" i="2"/>
  <c r="AB454" i="2" s="1"/>
  <c r="AA438" i="2"/>
  <c r="AB438" i="2" s="1"/>
  <c r="AA406" i="2"/>
  <c r="AB406" i="2" s="1"/>
  <c r="AB358" i="2"/>
  <c r="AA334" i="2"/>
  <c r="AB334" i="2"/>
  <c r="AA318" i="2"/>
  <c r="AB318" i="2" s="1"/>
  <c r="AA302" i="2"/>
  <c r="AB302" i="2" s="1"/>
  <c r="AA278" i="2"/>
  <c r="AB278" i="2" s="1"/>
  <c r="AA254" i="2"/>
  <c r="AB254" i="2" s="1"/>
  <c r="AA230" i="2"/>
  <c r="AB230" i="2" s="1"/>
  <c r="AA214" i="2"/>
  <c r="AB214" i="2" s="1"/>
  <c r="AA126" i="2"/>
  <c r="AB126" i="2" s="1"/>
  <c r="AA690" i="2"/>
  <c r="AB690" i="2" s="1"/>
  <c r="AA682" i="2"/>
  <c r="AB682" i="2" s="1"/>
  <c r="AB674" i="2"/>
  <c r="AA666" i="2"/>
  <c r="AB666" i="2" s="1"/>
  <c r="AB658" i="2"/>
  <c r="AB650" i="2"/>
  <c r="AA642" i="2"/>
  <c r="AB642" i="2"/>
  <c r="AB634" i="2"/>
  <c r="AB626" i="2"/>
  <c r="AA618" i="2"/>
  <c r="AB618" i="2" s="1"/>
  <c r="AA610" i="2"/>
  <c r="AB610" i="2" s="1"/>
  <c r="AB602" i="2"/>
  <c r="AB594" i="2"/>
  <c r="AA586" i="2"/>
  <c r="AB586" i="2"/>
  <c r="AA578" i="2"/>
  <c r="AB578" i="2" s="1"/>
  <c r="AB570" i="2"/>
  <c r="AB562" i="2"/>
  <c r="AA554" i="2"/>
  <c r="AB554" i="2" s="1"/>
  <c r="AA546" i="2"/>
  <c r="AB546" i="2"/>
  <c r="AB538" i="2"/>
  <c r="AB530" i="2"/>
  <c r="AA522" i="2"/>
  <c r="AB522" i="2" s="1"/>
  <c r="AA514" i="2"/>
  <c r="AB514" i="2" s="1"/>
  <c r="AB506" i="2"/>
  <c r="AB498" i="2"/>
  <c r="AA490" i="2"/>
  <c r="AB490" i="2"/>
  <c r="AA482" i="2"/>
  <c r="AB482" i="2" s="1"/>
  <c r="AB474" i="2"/>
  <c r="AB466" i="2"/>
  <c r="AA458" i="2"/>
  <c r="AB458" i="2"/>
  <c r="AA450" i="2"/>
  <c r="AB450" i="2"/>
  <c r="AB442" i="2"/>
  <c r="AB434" i="2"/>
  <c r="AA426" i="2"/>
  <c r="AB426" i="2" s="1"/>
  <c r="AA418" i="2"/>
  <c r="AB418" i="2"/>
  <c r="AB410" i="2"/>
  <c r="AB402" i="2"/>
  <c r="AA394" i="2"/>
  <c r="AB394" i="2" s="1"/>
  <c r="AA386" i="2"/>
  <c r="AB386" i="2" s="1"/>
  <c r="AB378" i="2"/>
  <c r="AB370" i="2"/>
  <c r="AA362" i="2"/>
  <c r="AB362" i="2"/>
  <c r="AA354" i="2"/>
  <c r="AB354" i="2" s="1"/>
  <c r="AB346" i="2"/>
  <c r="AB338" i="2"/>
  <c r="AA330" i="2"/>
  <c r="AB330" i="2"/>
  <c r="AA322" i="2"/>
  <c r="AB322" i="2" s="1"/>
  <c r="AB314" i="2"/>
  <c r="AB306" i="2"/>
  <c r="AA298" i="2"/>
  <c r="AB298" i="2" s="1"/>
  <c r="AA290" i="2"/>
  <c r="AB290" i="2" s="1"/>
  <c r="AB274" i="2"/>
  <c r="AB266" i="2"/>
  <c r="AA258" i="2"/>
  <c r="AB258" i="2"/>
  <c r="AB242" i="2"/>
  <c r="AB234" i="2"/>
  <c r="AA226" i="2"/>
  <c r="AB226" i="2" s="1"/>
  <c r="AB210" i="2"/>
  <c r="AB202" i="2"/>
  <c r="AA194" i="2"/>
  <c r="AB194" i="2" s="1"/>
  <c r="AA186" i="2"/>
  <c r="AB186" i="2" s="1"/>
  <c r="AA178" i="2"/>
  <c r="AB178" i="2" s="1"/>
  <c r="AA170" i="2"/>
  <c r="AB170" i="2"/>
  <c r="AA162" i="2"/>
  <c r="AB162" i="2" s="1"/>
  <c r="AA154" i="2"/>
  <c r="AB154" i="2" s="1"/>
  <c r="AA146" i="2"/>
  <c r="AB146" i="2" s="1"/>
  <c r="AA138" i="2"/>
  <c r="AB138" i="2" s="1"/>
  <c r="AA130" i="2"/>
  <c r="AB130" i="2" s="1"/>
  <c r="AA122" i="2"/>
  <c r="AB122" i="2"/>
  <c r="AA114" i="2"/>
  <c r="AB114" i="2" s="1"/>
  <c r="AA106" i="2"/>
  <c r="AB106" i="2" s="1"/>
  <c r="AA98" i="2"/>
  <c r="AB98" i="2" s="1"/>
  <c r="AA90" i="2"/>
  <c r="AB90" i="2" s="1"/>
  <c r="AA82" i="2"/>
  <c r="AB82" i="2" s="1"/>
  <c r="AA74" i="2"/>
  <c r="AB74" i="2"/>
  <c r="AA66" i="2"/>
  <c r="AB66" i="2" s="1"/>
  <c r="AA58" i="2"/>
  <c r="AB58" i="2"/>
  <c r="AB50" i="2"/>
  <c r="AB34" i="2"/>
  <c r="AB26" i="2"/>
  <c r="AB18" i="2"/>
  <c r="AA13" i="2"/>
  <c r="AB13" i="2" s="1"/>
  <c r="AA27" i="2"/>
  <c r="AB27" i="2" s="1"/>
  <c r="AA42" i="2"/>
  <c r="AB42" i="2" s="1"/>
  <c r="AA54" i="2"/>
  <c r="AB54" i="2" s="1"/>
  <c r="AA70" i="2"/>
  <c r="AB70" i="2" s="1"/>
  <c r="AA86" i="2"/>
  <c r="AB86" i="2" s="1"/>
  <c r="AA102" i="2"/>
  <c r="AB102" i="2" s="1"/>
  <c r="AA118" i="2"/>
  <c r="AB118" i="2" s="1"/>
  <c r="AA139" i="2"/>
  <c r="AB139" i="2" s="1"/>
  <c r="AA163" i="2"/>
  <c r="AB163" i="2" s="1"/>
  <c r="AA187" i="2"/>
  <c r="AB187" i="2" s="1"/>
  <c r="AA218" i="2"/>
  <c r="AB218" i="2" s="1"/>
  <c r="AA250" i="2"/>
  <c r="AB250" i="2" s="1"/>
  <c r="AA282" i="2"/>
  <c r="AB282" i="2" s="1"/>
  <c r="AA317" i="2"/>
  <c r="AB317" i="2" s="1"/>
  <c r="AA436" i="2"/>
  <c r="AB436" i="2" s="1"/>
  <c r="AA476" i="2"/>
  <c r="AB476" i="2" s="1"/>
  <c r="AA517" i="2"/>
  <c r="AB517" i="2" s="1"/>
  <c r="AA550" i="2"/>
  <c r="AB550" i="2" s="1"/>
  <c r="AA596" i="2"/>
  <c r="AB596" i="2" s="1"/>
  <c r="AA636" i="2"/>
  <c r="AB636" i="2" s="1"/>
  <c r="AA698" i="2"/>
  <c r="AB698" i="2" s="1"/>
  <c r="AA786" i="2"/>
  <c r="AB786" i="2" s="1"/>
  <c r="AB7" i="2"/>
  <c r="AB866" i="2"/>
  <c r="AB858" i="2"/>
  <c r="AB842" i="2"/>
  <c r="AB826" i="2"/>
  <c r="AB810" i="2"/>
  <c r="AB794" i="2"/>
  <c r="AB778" i="2"/>
  <c r="AB762" i="2"/>
  <c r="AB746" i="2"/>
  <c r="AB730" i="2"/>
  <c r="AB706" i="2"/>
  <c r="AB688" i="2"/>
  <c r="AB656" i="2"/>
  <c r="AB624" i="2"/>
  <c r="AB592" i="2"/>
  <c r="AB560" i="2"/>
  <c r="AB528" i="2"/>
  <c r="AB496" i="2"/>
  <c r="AB464" i="2"/>
  <c r="AB432" i="2"/>
  <c r="AB400" i="2"/>
  <c r="AB368" i="2"/>
  <c r="AB336" i="2"/>
  <c r="AB304" i="2"/>
  <c r="AB272" i="2"/>
  <c r="AB240" i="2"/>
  <c r="AB208" i="2"/>
  <c r="AB176" i="2"/>
  <c r="AB144" i="2"/>
  <c r="AB112" i="2"/>
  <c r="AB80" i="2"/>
  <c r="AB2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A4AF94-F6E0-4A95-A7EB-31E56F73AFDB}" keepAlive="1" name="Query - Superstore_Sales" description="Connection to the 'Superstore_Sales' query in the workbook." type="5" refreshedVersion="8" background="1" saveData="1">
    <dbPr connection="Provider=Microsoft.Mashup.OleDb.1;Data Source=$Workbook$;Location=Superstore_Sales;Extended Properties=&quot;&quot;" command="SELECT * FROM [Superstore_Sales]"/>
  </connection>
  <connection id="2" xr16:uid="{357930A9-AAC0-4C29-B059-DD788323141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DFDC836-D8A6-4A1F-908B-A9F53FCB53B6}" name="WorksheetConnection_superStore.xlsx!Superstore_Sales" type="102" refreshedVersion="8" minRefreshableVersion="5">
    <extLst>
      <ext xmlns:x15="http://schemas.microsoft.com/office/spreadsheetml/2010/11/main" uri="{DE250136-89BD-433C-8126-D09CA5730AF9}">
        <x15:connection id="Superstore_Sales" autoDelete="1">
          <x15:rangePr sourceName="_xlcn.WorksheetConnection_superStore.xlsxSuperstore_Sales1"/>
        </x15:connection>
      </ext>
    </extLst>
  </connection>
</connections>
</file>

<file path=xl/sharedStrings.xml><?xml version="1.0" encoding="utf-8"?>
<sst xmlns="http://schemas.openxmlformats.org/spreadsheetml/2006/main" count="13081" uniqueCount="4069">
  <si>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</si>
  <si>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</si>
  <si>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</si>
  <si>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</si>
  <si>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</si>
  <si>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</si>
  <si>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</si>
  <si>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</si>
  <si>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Postal Code</t>
  </si>
  <si>
    <t>City</t>
  </si>
  <si>
    <t>State</t>
  </si>
  <si>
    <t>Country</t>
  </si>
  <si>
    <t>Region</t>
  </si>
  <si>
    <t>Market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</si>
  <si>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</si>
  <si>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</si>
  <si>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</si>
  <si>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</si>
  <si>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</si>
  <si>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</si>
  <si>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</si>
  <si>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</si>
  <si>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</si>
  <si>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</si>
  <si>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CA-2014-AB10015140-41954</t>
  </si>
  <si>
    <t>First Class</t>
  </si>
  <si>
    <t>AB-100151402</t>
  </si>
  <si>
    <t>Aaron Bergman</t>
  </si>
  <si>
    <t>Consumer</t>
  </si>
  <si>
    <t>Oklahoma City</t>
  </si>
  <si>
    <t>Oklahoma</t>
  </si>
  <si>
    <t>United States</t>
  </si>
  <si>
    <t>Central US</t>
  </si>
  <si>
    <t>USCA</t>
  </si>
  <si>
    <t>TEC-PH-5816</t>
  </si>
  <si>
    <t>Technology</t>
  </si>
  <si>
    <t>Phones</t>
  </si>
  <si>
    <t>Samsung Convoy 3</t>
  </si>
  <si>
    <t>High</t>
  </si>
  <si>
    <t>IN-2014-JR162107-41675</t>
  </si>
  <si>
    <t>Second Class</t>
  </si>
  <si>
    <t>JR-162107</t>
  </si>
  <si>
    <t>Justin Ritter</t>
  </si>
  <si>
    <t>Corporate</t>
  </si>
  <si>
    <t>Wollongong</t>
  </si>
  <si>
    <t>New South Wales</t>
  </si>
  <si>
    <t>Australia</t>
  </si>
  <si>
    <t>Oceania</t>
  </si>
  <si>
    <t>Asia Pacific</t>
  </si>
  <si>
    <t>FUR-CH-5379</t>
  </si>
  <si>
    <t>Furniture</t>
  </si>
  <si>
    <t>Chairs</t>
  </si>
  <si>
    <t>Novimex Executive Leather Armchair, Black</t>
  </si>
  <si>
    <t>Critical</t>
  </si>
  <si>
    <t>IN-2014-CR127307-41929</t>
  </si>
  <si>
    <t>CR-127307</t>
  </si>
  <si>
    <t>Craig Reiter</t>
  </si>
  <si>
    <t>Brisbane</t>
  </si>
  <si>
    <t>Queensland</t>
  </si>
  <si>
    <t>TEC-PH-5356</t>
  </si>
  <si>
    <t>Nokia Smart Phone, with Caller ID</t>
  </si>
  <si>
    <t>Medium</t>
  </si>
  <si>
    <t>ES-2014-KM1637548-41667</t>
  </si>
  <si>
    <t>KM-1637548</t>
  </si>
  <si>
    <t>Katherine Murray</t>
  </si>
  <si>
    <t>Home Office</t>
  </si>
  <si>
    <t>Berlin</t>
  </si>
  <si>
    <t>Germany</t>
  </si>
  <si>
    <t>Western Europe</t>
  </si>
  <si>
    <t>Europe</t>
  </si>
  <si>
    <t>TEC-PH-5267</t>
  </si>
  <si>
    <t>Motorola Smart Phone, Cordless</t>
  </si>
  <si>
    <t>SG-2014-RH9495111-41948</t>
  </si>
  <si>
    <t>Same Day</t>
  </si>
  <si>
    <t>RH-9495111</t>
  </si>
  <si>
    <t>Rick Hansen</t>
  </si>
  <si>
    <t>Dakar</t>
  </si>
  <si>
    <t>Senegal</t>
  </si>
  <si>
    <t>Western Africa</t>
  </si>
  <si>
    <t>Africa</t>
  </si>
  <si>
    <t>TEC-CO-6011</t>
  </si>
  <si>
    <t>Copiers</t>
  </si>
  <si>
    <t>Sharp Wireless Fax, High-Speed</t>
  </si>
  <si>
    <t>IN-2014-JM156557-41818</t>
  </si>
  <si>
    <t>JM-156557</t>
  </si>
  <si>
    <t>Jim Mitchum</t>
  </si>
  <si>
    <t>Sydney</t>
  </si>
  <si>
    <t>TEC-PH-5842</t>
  </si>
  <si>
    <t>Samsung Smart Phone, with Caller ID</t>
  </si>
  <si>
    <t>IN-2012-TS2134092-41219</t>
  </si>
  <si>
    <t>TS-2134092</t>
  </si>
  <si>
    <t>Toby Swindell</t>
  </si>
  <si>
    <t>Porirua</t>
  </si>
  <si>
    <t>Wellington</t>
  </si>
  <si>
    <t>New Zealand</t>
  </si>
  <si>
    <t>FUR-CH-5378</t>
  </si>
  <si>
    <t>Novimex Executive Leather Armchair, Adjustable</t>
  </si>
  <si>
    <t>IN-2013-MB1808592-41378</t>
  </si>
  <si>
    <t>Standard Class</t>
  </si>
  <si>
    <t>MB-1808592</t>
  </si>
  <si>
    <t>Mick Brown</t>
  </si>
  <si>
    <t>Hamilton</t>
  </si>
  <si>
    <t>Waikato</t>
  </si>
  <si>
    <t>FUR-TA-3764</t>
  </si>
  <si>
    <t>Tables</t>
  </si>
  <si>
    <t>Chromcraft Conference Table, Fully Assembled</t>
  </si>
  <si>
    <t>CA-2012-AB10015140-40974</t>
  </si>
  <si>
    <t>AB-100151404</t>
  </si>
  <si>
    <t>Seattle</t>
  </si>
  <si>
    <t>Washington</t>
  </si>
  <si>
    <t>Western US</t>
  </si>
  <si>
    <t>FUR-CH-4421</t>
  </si>
  <si>
    <t>Global Push Button Manager's Chair, Indigo</t>
  </si>
  <si>
    <t>ID-2013-AJ107801-41383</t>
  </si>
  <si>
    <t>AJ-107801</t>
  </si>
  <si>
    <t>Anthony Jacobs</t>
  </si>
  <si>
    <t>Kabul</t>
  </si>
  <si>
    <t>Afghanistan</t>
  </si>
  <si>
    <t>Southern Asia</t>
  </si>
  <si>
    <t>FUR-TA-3420</t>
  </si>
  <si>
    <t>Bevis Conference Table, Fully Assembled</t>
  </si>
  <si>
    <t>SA-2012-MM7260110-41269</t>
  </si>
  <si>
    <t>MM-7260110</t>
  </si>
  <si>
    <t>Magdelene Morse</t>
  </si>
  <si>
    <t>Jizan</t>
  </si>
  <si>
    <t>Saudi Arabia</t>
  </si>
  <si>
    <t>Western Asia</t>
  </si>
  <si>
    <t>TEC-PH-3807</t>
  </si>
  <si>
    <t>Cisco Smart Phone, with Caller ID</t>
  </si>
  <si>
    <t>MX-2013-VF2171518-41591</t>
  </si>
  <si>
    <t>VF-2171518</t>
  </si>
  <si>
    <t>Vicky Freymann</t>
  </si>
  <si>
    <t>Toledo</t>
  </si>
  <si>
    <t>Parana</t>
  </si>
  <si>
    <t>Brazil</t>
  </si>
  <si>
    <t>South America</t>
  </si>
  <si>
    <t>LATAM</t>
  </si>
  <si>
    <t>FUR-CH-4530</t>
  </si>
  <si>
    <t>Harbour Creations Executive Leather Armchair, Adjustable</t>
  </si>
  <si>
    <t>IN-2014-PF1912027-41796</t>
  </si>
  <si>
    <t>PF-1912027</t>
  </si>
  <si>
    <t>Peter Fuller</t>
  </si>
  <si>
    <t>Mudanjiang</t>
  </si>
  <si>
    <t>Heilongjiang</t>
  </si>
  <si>
    <t>China</t>
  </si>
  <si>
    <t>Eastern Asia</t>
  </si>
  <si>
    <t>OFF-AP-4959</t>
  </si>
  <si>
    <t>Office Supplies</t>
  </si>
  <si>
    <t>Appliances</t>
  </si>
  <si>
    <t>KitchenAid Microwave, White</t>
  </si>
  <si>
    <t>ES-2015-BP1118545-42216</t>
  </si>
  <si>
    <t>BP-1118545</t>
  </si>
  <si>
    <t>Ben Peterman</t>
  </si>
  <si>
    <t>Paris</t>
  </si>
  <si>
    <t>Ile-de-France</t>
  </si>
  <si>
    <t>France</t>
  </si>
  <si>
    <t>OFF-AP-3575</t>
  </si>
  <si>
    <t>Breville Refrigerator, Red</t>
  </si>
  <si>
    <t>CA-2012-AB10015140-40958</t>
  </si>
  <si>
    <t>Arlington</t>
  </si>
  <si>
    <t>Texas</t>
  </si>
  <si>
    <t>OFF-ST-3078</t>
  </si>
  <si>
    <t>Storage</t>
  </si>
  <si>
    <t>Akro Stacking Bins</t>
  </si>
  <si>
    <t>Low</t>
  </si>
  <si>
    <t>ES-2015-PJ1883564-42255</t>
  </si>
  <si>
    <t>PJ-1883564</t>
  </si>
  <si>
    <t>Patrick Jones</t>
  </si>
  <si>
    <t>Prato</t>
  </si>
  <si>
    <t>Tuscany</t>
  </si>
  <si>
    <t>Italy</t>
  </si>
  <si>
    <t>Southern Europe</t>
  </si>
  <si>
    <t>OFF-AP-4743</t>
  </si>
  <si>
    <t>Hoover Stove, Red</t>
  </si>
  <si>
    <t>IN-2015-JS156857-42035</t>
  </si>
  <si>
    <t>JS-156857</t>
  </si>
  <si>
    <t>Jim Sink</t>
  </si>
  <si>
    <t>Townsville</t>
  </si>
  <si>
    <t>TEC-CO-3597</t>
  </si>
  <si>
    <t>Brother Fax Machine, High-Speed</t>
  </si>
  <si>
    <t>TZ-2015-RH9555129-42343</t>
  </si>
  <si>
    <t>RH-9555129</t>
  </si>
  <si>
    <t>Ritsa Hightower</t>
  </si>
  <si>
    <t>Uvinza</t>
  </si>
  <si>
    <t>Kigoma</t>
  </si>
  <si>
    <t>Tanzania</t>
  </si>
  <si>
    <t>Eastern Africa</t>
  </si>
  <si>
    <t>OFF-AP-4967</t>
  </si>
  <si>
    <t>KitchenAid Stove, White</t>
  </si>
  <si>
    <t>PL-2013-AB600103-41494</t>
  </si>
  <si>
    <t>AB-600103</t>
  </si>
  <si>
    <t>Ann Blume</t>
  </si>
  <si>
    <t>Bytom</t>
  </si>
  <si>
    <t>Silesia</t>
  </si>
  <si>
    <t>Poland</t>
  </si>
  <si>
    <t>Eastern Europe</t>
  </si>
  <si>
    <t>FUR-TA-4644</t>
  </si>
  <si>
    <t>Hon Computer Table, with Bottom Storage</t>
  </si>
  <si>
    <t>IN-2012-JK1532527-41030</t>
  </si>
  <si>
    <t>JK-1532527</t>
  </si>
  <si>
    <t>Jason Klamczynski</t>
  </si>
  <si>
    <t>Suzhou</t>
  </si>
  <si>
    <t>Anhui</t>
  </si>
  <si>
    <t>FUR-CH-5774</t>
  </si>
  <si>
    <t>SAFCO Executive Leather Armchair, Black</t>
  </si>
  <si>
    <t>ES-2014-LB16795139-41697</t>
  </si>
  <si>
    <t>LB-16795139</t>
  </si>
  <si>
    <t>Laurel Beltran</t>
  </si>
  <si>
    <t>Edinburgh</t>
  </si>
  <si>
    <t>Scotland</t>
  </si>
  <si>
    <t>United Kingdom</t>
  </si>
  <si>
    <t>Northern Europe</t>
  </si>
  <si>
    <t>OFF-AP-4960</t>
  </si>
  <si>
    <t>KitchenAid Refrigerator, Black</t>
  </si>
  <si>
    <t>US-2015-NP1832582-42216</t>
  </si>
  <si>
    <t>NP-1832582</t>
  </si>
  <si>
    <t>Naresj Patel</t>
  </si>
  <si>
    <t>Juárez</t>
  </si>
  <si>
    <t>Chihuahua</t>
  </si>
  <si>
    <t>Mexico</t>
  </si>
  <si>
    <t>Central America</t>
  </si>
  <si>
    <t>TEC-PH-5268</t>
  </si>
  <si>
    <t>Motorola Smart Phone, Full Size</t>
  </si>
  <si>
    <t>MX-2015-VD2167039-42252</t>
  </si>
  <si>
    <t>VD-2167039</t>
  </si>
  <si>
    <t>Valerie Dominguez</t>
  </si>
  <si>
    <t>Soyapango</t>
  </si>
  <si>
    <t>San Salvador</t>
  </si>
  <si>
    <t>El Salvador</t>
  </si>
  <si>
    <t>FUR-TA-4643</t>
  </si>
  <si>
    <t>Hon Computer Table, Fully Assembled</t>
  </si>
  <si>
    <t>IN-2012-PB19210127-41259</t>
  </si>
  <si>
    <t>PB-19210127</t>
  </si>
  <si>
    <t>Phillip Breyer</t>
  </si>
  <si>
    <t>Taipei</t>
  </si>
  <si>
    <t>Taipei City</t>
  </si>
  <si>
    <t>Taiwan</t>
  </si>
  <si>
    <t>FUR-TA-5060</t>
  </si>
  <si>
    <t>Lesro Conference Table, with Bottom Storage</t>
  </si>
  <si>
    <t>ES-2012-EB1411048-40981</t>
  </si>
  <si>
    <t>EB-1411048</t>
  </si>
  <si>
    <t>Eugene Barchas</t>
  </si>
  <si>
    <t>Leipzig</t>
  </si>
  <si>
    <t>Saxony</t>
  </si>
  <si>
    <t>CA-2012-AH10030140-41020</t>
  </si>
  <si>
    <t>AH-100301406</t>
  </si>
  <si>
    <t>Aaron Hawkins</t>
  </si>
  <si>
    <t>Troy</t>
  </si>
  <si>
    <t>New York</t>
  </si>
  <si>
    <t>Eastern US</t>
  </si>
  <si>
    <t>OFF-FA-6129</t>
  </si>
  <si>
    <t>Fasteners</t>
  </si>
  <si>
    <t>Staples</t>
  </si>
  <si>
    <t>IN-2013-BP1123058-41329</t>
  </si>
  <si>
    <t>BP-1123058</t>
  </si>
  <si>
    <t>Benjamin Patterson</t>
  </si>
  <si>
    <t>Surat</t>
  </si>
  <si>
    <t>Gujarat</t>
  </si>
  <si>
    <t>India</t>
  </si>
  <si>
    <t>FUR-CH-5443</t>
  </si>
  <si>
    <t>Office Star Executive Leather Armchair, Red</t>
  </si>
  <si>
    <t>US-2012-RR1952536-41270</t>
  </si>
  <si>
    <t>RR-1952536</t>
  </si>
  <si>
    <t>Rick Reed</t>
  </si>
  <si>
    <t>Santo Domingo</t>
  </si>
  <si>
    <t>Dominican Republic</t>
  </si>
  <si>
    <t>Caribbean</t>
  </si>
  <si>
    <t>TEC-PH-5841</t>
  </si>
  <si>
    <t>Samsung Smart Phone, VoIP</t>
  </si>
  <si>
    <t>ES-2013-BS1136545-41472</t>
  </si>
  <si>
    <t>BS-1136545</t>
  </si>
  <si>
    <t>Bill Shonely</t>
  </si>
  <si>
    <t>Saint-Brieuc</t>
  </si>
  <si>
    <t>Brittany</t>
  </si>
  <si>
    <t>TEC-MA-5503</t>
  </si>
  <si>
    <t>Machines</t>
  </si>
  <si>
    <t>Okidata Inkjet, Wireless</t>
  </si>
  <si>
    <t>CA-2013-AH10030140-41635</t>
  </si>
  <si>
    <t>AH-100301404</t>
  </si>
  <si>
    <t>San Francisco</t>
  </si>
  <si>
    <t>California</t>
  </si>
  <si>
    <t>TEC-PH-4389</t>
  </si>
  <si>
    <t>Geemarc AmpliPOWER60</t>
  </si>
  <si>
    <t>IN-2012-DP131057-41215</t>
  </si>
  <si>
    <t>DP-131057</t>
  </si>
  <si>
    <t>Dave Poirier</t>
  </si>
  <si>
    <t>Gold Coast</t>
  </si>
  <si>
    <t>OFF-AP-3579</t>
  </si>
  <si>
    <t>Breville Stove, Red</t>
  </si>
  <si>
    <t>CG-2012-AH1003033-41165</t>
  </si>
  <si>
    <t>AH-1003033</t>
  </si>
  <si>
    <t>Kamina</t>
  </si>
  <si>
    <t>Katanga</t>
  </si>
  <si>
    <t>Democratic Republic of the Congo</t>
  </si>
  <si>
    <t>Central Africa</t>
  </si>
  <si>
    <t>TEC-PH-3148</t>
  </si>
  <si>
    <t>Apple Smart Phone, Full Size</t>
  </si>
  <si>
    <t>CA-2012-AH10030140-41041</t>
  </si>
  <si>
    <t>Los Angeles</t>
  </si>
  <si>
    <t>FUR-CH-4840</t>
  </si>
  <si>
    <t>Iceberg Nesting Folding Chair, 19w x 6d x 43h</t>
  </si>
  <si>
    <t>CA-2012-AH10030140-41273</t>
  </si>
  <si>
    <t>New York City</t>
  </si>
  <si>
    <t>TEC-AC-6340</t>
  </si>
  <si>
    <t>Accessories</t>
  </si>
  <si>
    <t>Verbatim 25 GB 6x Blu-ray Single Layer Recordable Disc, 10/Pack</t>
  </si>
  <si>
    <t>ES-2015-PO18865139-42018</t>
  </si>
  <si>
    <t>PO-18865139</t>
  </si>
  <si>
    <t>Patrick O'Donnell</t>
  </si>
  <si>
    <t>Stockton-on-Tees</t>
  </si>
  <si>
    <t>England</t>
  </si>
  <si>
    <t>TEC-CO-3598</t>
  </si>
  <si>
    <t>Brother Fax Machine, Laser</t>
  </si>
  <si>
    <t>IN-2012-DL128657-40918</t>
  </si>
  <si>
    <t>DL-128657</t>
  </si>
  <si>
    <t>Dan Lawera</t>
  </si>
  <si>
    <t>ID-2014-JB1600059-41873</t>
  </si>
  <si>
    <t>JB-1600059</t>
  </si>
  <si>
    <t>Joy Bell-</t>
  </si>
  <si>
    <t>Mataram</t>
  </si>
  <si>
    <t>Nusa Tenggara Barat</t>
  </si>
  <si>
    <t>Indonesia</t>
  </si>
  <si>
    <t>Southeastern Asia</t>
  </si>
  <si>
    <t>IN-2015-BF1100558-42319</t>
  </si>
  <si>
    <t>BF-1100558</t>
  </si>
  <si>
    <t>Barry Franz</t>
  </si>
  <si>
    <t>Gorakhpur</t>
  </si>
  <si>
    <t>Haryana</t>
  </si>
  <si>
    <t>TEC-PH-5269</t>
  </si>
  <si>
    <t>Motorola Smart Phone, with Caller ID</t>
  </si>
  <si>
    <t>IN-2015-VG2180558-42273</t>
  </si>
  <si>
    <t>VG-2180558</t>
  </si>
  <si>
    <t>Vivek Grady</t>
  </si>
  <si>
    <t>Thiruvananthapuram</t>
  </si>
  <si>
    <t>Kerala</t>
  </si>
  <si>
    <t>FUR-BO-5951</t>
  </si>
  <si>
    <t>Bookcases</t>
  </si>
  <si>
    <t>Sauder Classic Bookcase, Traditional</t>
  </si>
  <si>
    <t>ES-2013-GT14710139-41621</t>
  </si>
  <si>
    <t>GT-14710139</t>
  </si>
  <si>
    <t>Greg Tran</t>
  </si>
  <si>
    <t>Huddersfield</t>
  </si>
  <si>
    <t>IT-2012-ZC2191048-41174</t>
  </si>
  <si>
    <t>ZC-2191048</t>
  </si>
  <si>
    <t>Zuschuss Carroll</t>
  </si>
  <si>
    <t>OFF-AP-3874</t>
  </si>
  <si>
    <t>Cuisinart Stove, Silver</t>
  </si>
  <si>
    <t>CA-2014-AH10030140-41719</t>
  </si>
  <si>
    <t>AH-100301408</t>
  </si>
  <si>
    <t>Gulfport</t>
  </si>
  <si>
    <t>Mississippi</t>
  </si>
  <si>
    <t>Southern US</t>
  </si>
  <si>
    <t>FUR-FU-4072</t>
  </si>
  <si>
    <t>Furnishings</t>
  </si>
  <si>
    <t>Eldon Image Series Desk Accessories, Ebony</t>
  </si>
  <si>
    <t>IT-2014-EB1384045-41706</t>
  </si>
  <si>
    <t>EB-1384045</t>
  </si>
  <si>
    <t>Ellis Ballard</t>
  </si>
  <si>
    <t>Montreuil</t>
  </si>
  <si>
    <t>FUR-CH-5441</t>
  </si>
  <si>
    <t>Office Star Executive Leather Armchair, Adjustable</t>
  </si>
  <si>
    <t>IN-2015-AP1091527-42244</t>
  </si>
  <si>
    <t>AP-1091527</t>
  </si>
  <si>
    <t>Arthur Prichep</t>
  </si>
  <si>
    <t>Shouguang</t>
  </si>
  <si>
    <t>Shandong</t>
  </si>
  <si>
    <t>FUR-CH-5380</t>
  </si>
  <si>
    <t>Novimex Executive Leather Armchair, Red</t>
  </si>
  <si>
    <t>IN-2015-SW2027558-42125</t>
  </si>
  <si>
    <t>SW-2027558</t>
  </si>
  <si>
    <t>Scott Williamson</t>
  </si>
  <si>
    <t>Jamshedpur</t>
  </si>
  <si>
    <t>Jharkhand</t>
  </si>
  <si>
    <t>TEC-MA-5007</t>
  </si>
  <si>
    <t>Konica Inkjet, White</t>
  </si>
  <si>
    <t>MX-2015-JH15820141-42356</t>
  </si>
  <si>
    <t>JH-15820141</t>
  </si>
  <si>
    <t>John Huston</t>
  </si>
  <si>
    <t>Paysandú</t>
  </si>
  <si>
    <t>Uruguay</t>
  </si>
  <si>
    <t>FUR-CH-4531</t>
  </si>
  <si>
    <t>Harbour Creations Executive Leather Armchair, Black</t>
  </si>
  <si>
    <t>US-2012-AH10030140-41206</t>
  </si>
  <si>
    <t>OFF-BI-4372</t>
  </si>
  <si>
    <t>Binders</t>
  </si>
  <si>
    <t>GBC VeloBind Cover Sets</t>
  </si>
  <si>
    <t>IR-2015-TG1164060-42265</t>
  </si>
  <si>
    <t>TG-1164060</t>
  </si>
  <si>
    <t>Trudy Glocke</t>
  </si>
  <si>
    <t>Behshahr</t>
  </si>
  <si>
    <t>Mazandaran</t>
  </si>
  <si>
    <t>Iran</t>
  </si>
  <si>
    <t>TEC-CO-3678</t>
  </si>
  <si>
    <t>Canon Copy Machine, Color</t>
  </si>
  <si>
    <t>MZ-2014-DG330087-41991</t>
  </si>
  <si>
    <t>DG-330087</t>
  </si>
  <si>
    <t>Deirdre Greer</t>
  </si>
  <si>
    <t>Maputo</t>
  </si>
  <si>
    <t>Cidade De Maputo</t>
  </si>
  <si>
    <t>Mozambique</t>
  </si>
  <si>
    <t>IN-2013-SG2047058-41424</t>
  </si>
  <si>
    <t>SG-2047058</t>
  </si>
  <si>
    <t>Sheri Gordon</t>
  </si>
  <si>
    <t>Bhopal</t>
  </si>
  <si>
    <t>Madhya Pradesh</t>
  </si>
  <si>
    <t>TEC-CO-4590</t>
  </si>
  <si>
    <t>Hewlett Wireless Fax, Color</t>
  </si>
  <si>
    <t>IN-2013-GP1474058-41419</t>
  </si>
  <si>
    <t>GP-1474058</t>
  </si>
  <si>
    <t>Guy Phonely</t>
  </si>
  <si>
    <t>Delhi</t>
  </si>
  <si>
    <t>FUR-TA-3766</t>
  </si>
  <si>
    <t>Chromcraft Conference Table, with Bottom Storage</t>
  </si>
  <si>
    <t>IN-2015-MW182207-42221</t>
  </si>
  <si>
    <t>MW-182207</t>
  </si>
  <si>
    <t>Mitch Webber</t>
  </si>
  <si>
    <t>Geraldton</t>
  </si>
  <si>
    <t>Western Australia</t>
  </si>
  <si>
    <t>OFF-AP-3577</t>
  </si>
  <si>
    <t>Breville Refrigerator, White</t>
  </si>
  <si>
    <t>IN-2015-CS1246011-42074</t>
  </si>
  <si>
    <t>CS-1246011</t>
  </si>
  <si>
    <t>Chuck Sachs</t>
  </si>
  <si>
    <t>Dhaka</t>
  </si>
  <si>
    <t>Bangladesh</t>
  </si>
  <si>
    <t>FUR-BO-5760</t>
  </si>
  <si>
    <t>Safco Classic Bookcase, Metal</t>
  </si>
  <si>
    <t>CA-2015-AH10030140-42357</t>
  </si>
  <si>
    <t>Philadelphia</t>
  </si>
  <si>
    <t>Pennsylvania</t>
  </si>
  <si>
    <t>OFF-AR-3276</t>
  </si>
  <si>
    <t>Art</t>
  </si>
  <si>
    <t>Avery Fluorescent Highlighter Four-Color Set</t>
  </si>
  <si>
    <t>ES-2015-MS1798048-42227</t>
  </si>
  <si>
    <t>MS-1798048</t>
  </si>
  <si>
    <t>Michael Stewart</t>
  </si>
  <si>
    <t>Munster</t>
  </si>
  <si>
    <t>Lower Saxony</t>
  </si>
  <si>
    <t>TEC-PH-5839</t>
  </si>
  <si>
    <t>Samsung Smart Phone, Cordless</t>
  </si>
  <si>
    <t>IT-2014-KC1667548-41882</t>
  </si>
  <si>
    <t>KC-1667548</t>
  </si>
  <si>
    <t>Kimberly Carter</t>
  </si>
  <si>
    <t>Celle</t>
  </si>
  <si>
    <t>TEC-PH-3130</t>
  </si>
  <si>
    <t>Apple Audio Dock, with Caller ID</t>
  </si>
  <si>
    <t>IN-2015-DB1340527-42022</t>
  </si>
  <si>
    <t>DB-1340527</t>
  </si>
  <si>
    <t>Denny Blanton</t>
  </si>
  <si>
    <t>Wuxi</t>
  </si>
  <si>
    <t>Jiangsu</t>
  </si>
  <si>
    <t>CA-2015-AS10045140-42007</t>
  </si>
  <si>
    <t>AS-100451408</t>
  </si>
  <si>
    <t>Aaron Smayling</t>
  </si>
  <si>
    <t>Jacksonville</t>
  </si>
  <si>
    <t>North Carolina</t>
  </si>
  <si>
    <t>TEC-MA-3788</t>
  </si>
  <si>
    <t>Cisco CP-7937G Unified IP Conference Station Phone</t>
  </si>
  <si>
    <t>IT-2015-DK13090120-42345</t>
  </si>
  <si>
    <t>DK-13090120</t>
  </si>
  <si>
    <t>Dave Kipp</t>
  </si>
  <si>
    <t>Seville</t>
  </si>
  <si>
    <t>Andalusía</t>
  </si>
  <si>
    <t>Spain</t>
  </si>
  <si>
    <t>IN-2015-CS1184558-42354</t>
  </si>
  <si>
    <t>CS-1184558</t>
  </si>
  <si>
    <t>Cari Sayre</t>
  </si>
  <si>
    <t>Raipur</t>
  </si>
  <si>
    <t>Uttarakhand</t>
  </si>
  <si>
    <t>FUR-TA-3779</t>
  </si>
  <si>
    <t>Chromcraft Wood Table, Rectangular</t>
  </si>
  <si>
    <t>MX-2015-EM1420082-42328</t>
  </si>
  <si>
    <t>EM-1420082</t>
  </si>
  <si>
    <t>Evan Minnotte</t>
  </si>
  <si>
    <t>Gómez Palacio</t>
  </si>
  <si>
    <t>Durango</t>
  </si>
  <si>
    <t>UP-2012-DW3480137-41221</t>
  </si>
  <si>
    <t>DW-3480137</t>
  </si>
  <si>
    <t>Dianna Wilson</t>
  </si>
  <si>
    <t>Kharkiv</t>
  </si>
  <si>
    <t>Ukraine</t>
  </si>
  <si>
    <t>FUR-TA-3771</t>
  </si>
  <si>
    <t>Chromcraft Round Table, Rectangular</t>
  </si>
  <si>
    <t>IN-2014-AS1022527-41797</t>
  </si>
  <si>
    <t>AS-1022527</t>
  </si>
  <si>
    <t>Alan Schoenberger</t>
  </si>
  <si>
    <t>Jinan</t>
  </si>
  <si>
    <t>MX-2012-ST2053093-41234</t>
  </si>
  <si>
    <t>ST-2053093</t>
  </si>
  <si>
    <t>Shui Tom</t>
  </si>
  <si>
    <t>Chinandega</t>
  </si>
  <si>
    <t>Nicaragua</t>
  </si>
  <si>
    <t>OFF-AP-4497</t>
  </si>
  <si>
    <t>Hamilton Beach Microwave, Black</t>
  </si>
  <si>
    <t>CG-2014-BW106533-41727</t>
  </si>
  <si>
    <t>BW-106533</t>
  </si>
  <si>
    <t>Barry Weirich</t>
  </si>
  <si>
    <t>Kananga</t>
  </si>
  <si>
    <t>Kasai-Occidental</t>
  </si>
  <si>
    <t>IN-2015-LA1678059-42242</t>
  </si>
  <si>
    <t>LA-1678059</t>
  </si>
  <si>
    <t>Laura Armstrong</t>
  </si>
  <si>
    <t>Palembang</t>
  </si>
  <si>
    <t>Sumatera Selatan</t>
  </si>
  <si>
    <t>FUR-TA-3422</t>
  </si>
  <si>
    <t>Bevis Conference Table, with Bottom Storage</t>
  </si>
  <si>
    <t>ES-2013-AB10150139-41537</t>
  </si>
  <si>
    <t>AB-10150139</t>
  </si>
  <si>
    <t>Aimee Bixby</t>
  </si>
  <si>
    <t>London</t>
  </si>
  <si>
    <t>TEC-PH-5355</t>
  </si>
  <si>
    <t>Nokia Smart Phone, Full Size</t>
  </si>
  <si>
    <t>IN-2015-JH158207-42140</t>
  </si>
  <si>
    <t>JH-158207</t>
  </si>
  <si>
    <t>Melbourne</t>
  </si>
  <si>
    <t>Victoria</t>
  </si>
  <si>
    <t>TEC-PH-3147</t>
  </si>
  <si>
    <t>Apple Smart Phone, Cordless</t>
  </si>
  <si>
    <t>CA-2015-AS10045140-42218</t>
  </si>
  <si>
    <t>AS-100451402</t>
  </si>
  <si>
    <t>Austin</t>
  </si>
  <si>
    <t>TEC-MA-3329</t>
  </si>
  <si>
    <t>Bady BDG101FRU Card Printer</t>
  </si>
  <si>
    <t>ES-2014-BE1141048-41967</t>
  </si>
  <si>
    <t>BE-1141048</t>
  </si>
  <si>
    <t>Bobby Elias</t>
  </si>
  <si>
    <t>Duisburg</t>
  </si>
  <si>
    <t>North Rhine-Westphalia</t>
  </si>
  <si>
    <t>TEC-CO-3599</t>
  </si>
  <si>
    <t>Brother Ink, Color</t>
  </si>
  <si>
    <t>IN-2012-SZ2003527-41221</t>
  </si>
  <si>
    <t>SZ-2003527</t>
  </si>
  <si>
    <t>Sam Zeldin</t>
  </si>
  <si>
    <t>Nanchong</t>
  </si>
  <si>
    <t>Sichuan</t>
  </si>
  <si>
    <t>TEC-CO-6010</t>
  </si>
  <si>
    <t>Sharp Wireless Fax, Digital</t>
  </si>
  <si>
    <t>IN-2012-RM1937558-41209</t>
  </si>
  <si>
    <t>RM-1937558</t>
  </si>
  <si>
    <t>Raymond Messe</t>
  </si>
  <si>
    <t>Naihati</t>
  </si>
  <si>
    <t>West Bengal</t>
  </si>
  <si>
    <t>ES-2015-HG1484545-42327</t>
  </si>
  <si>
    <t>HG-1484545</t>
  </si>
  <si>
    <t>Harry Greene</t>
  </si>
  <si>
    <t>Lille</t>
  </si>
  <si>
    <t>Nord-Pas-de-Calais-Picardie</t>
  </si>
  <si>
    <t>FUR-CH-4654</t>
  </si>
  <si>
    <t>Hon Executive Leather Armchair, Adjustable</t>
  </si>
  <si>
    <t>MO-2015-DP310586-42305</t>
  </si>
  <si>
    <t>DP-310586</t>
  </si>
  <si>
    <t>Meknes</t>
  </si>
  <si>
    <t>Meknès-Tafilalet</t>
  </si>
  <si>
    <t>Morocco</t>
  </si>
  <si>
    <t>North Africa</t>
  </si>
  <si>
    <t>TEC-CO-3710</t>
  </si>
  <si>
    <t>Canon Wireless Fax, Laser</t>
  </si>
  <si>
    <t>CA-2014-AS10045140-41908</t>
  </si>
  <si>
    <t>AS-100451404</t>
  </si>
  <si>
    <t>FUR-BO-3176</t>
  </si>
  <si>
    <t>Atlantic Metals Mobile 4-Shelf Bookcases, Custom Colors</t>
  </si>
  <si>
    <t>US-2015-AS10045140-42252</t>
  </si>
  <si>
    <t>Redmond</t>
  </si>
  <si>
    <t>Oregon</t>
  </si>
  <si>
    <t>OFF-BI-3324</t>
  </si>
  <si>
    <t>Avery Trapezoid Extra Heavy Duty 4" Binders</t>
  </si>
  <si>
    <t>ES-2014-JB1600048-41668</t>
  </si>
  <si>
    <t>JB-1600048</t>
  </si>
  <si>
    <t>Krefeld</t>
  </si>
  <si>
    <t>ID-2013-AM1070559-41535</t>
  </si>
  <si>
    <t>AM-1070559</t>
  </si>
  <si>
    <t>Anne McFarland</t>
  </si>
  <si>
    <t>Bandung</t>
  </si>
  <si>
    <t>Jawa Barat</t>
  </si>
  <si>
    <t>OFF-AP-4501</t>
  </si>
  <si>
    <t>Hamilton Beach Refrigerator, Black</t>
  </si>
  <si>
    <t>MO-2014-AB25586-41966</t>
  </si>
  <si>
    <t>AB-25586</t>
  </si>
  <si>
    <t>Alejandro Ballentine</t>
  </si>
  <si>
    <t>Casablanca</t>
  </si>
  <si>
    <t>Grand Casablanca</t>
  </si>
  <si>
    <t>OFF-AP-4745</t>
  </si>
  <si>
    <t>Hoover Stove, White</t>
  </si>
  <si>
    <t>IN-2013-RP192707-41438</t>
  </si>
  <si>
    <t>RP-192707</t>
  </si>
  <si>
    <t>Rachel Payne</t>
  </si>
  <si>
    <t>TEC-CO-3611</t>
  </si>
  <si>
    <t>Brother Wireless Fax, Laser</t>
  </si>
  <si>
    <t>IN-2014-BK1126011-41940</t>
  </si>
  <si>
    <t>BK-1126011</t>
  </si>
  <si>
    <t>Berenike Kampe</t>
  </si>
  <si>
    <t>Tongi</t>
  </si>
  <si>
    <t>FUR-BO-4849</t>
  </si>
  <si>
    <t>Ikea Classic Bookcase, Mobile</t>
  </si>
  <si>
    <t>IN-2014-JM1525027-41985</t>
  </si>
  <si>
    <t>JM-1525027</t>
  </si>
  <si>
    <t>Janet Martin</t>
  </si>
  <si>
    <t>CA-2015-AS10045140-42281</t>
  </si>
  <si>
    <t>Pasadena</t>
  </si>
  <si>
    <t>FUR-TA-5066</t>
  </si>
  <si>
    <t>Lesro Sheffield Collection Coffee Table, End Table, Center Table, Corner Table</t>
  </si>
  <si>
    <t>ES-2014-NZ1856545-41975</t>
  </si>
  <si>
    <t>NZ-1856545</t>
  </si>
  <si>
    <t>Nick Zandusky</t>
  </si>
  <si>
    <t>OFF-AP-4508</t>
  </si>
  <si>
    <t>Hamilton Beach Stove, White</t>
  </si>
  <si>
    <t>ID-2014-SC20695102-41667</t>
  </si>
  <si>
    <t>SC-20695102</t>
  </si>
  <si>
    <t>Steve Chapman</t>
  </si>
  <si>
    <t>Manila</t>
  </si>
  <si>
    <t>National Capital</t>
  </si>
  <si>
    <t>Philippines</t>
  </si>
  <si>
    <t>IN-2013-NC186257-41401</t>
  </si>
  <si>
    <t>NC-186257</t>
  </si>
  <si>
    <t>Noah Childs</t>
  </si>
  <si>
    <t>Newcastle</t>
  </si>
  <si>
    <t>ES-2014-NF183858-41970</t>
  </si>
  <si>
    <t>NF-183858</t>
  </si>
  <si>
    <t>Natalie Fritzler</t>
  </si>
  <si>
    <t>Graz</t>
  </si>
  <si>
    <t>Styria</t>
  </si>
  <si>
    <t>Austria</t>
  </si>
  <si>
    <t>IN-2013-NZ185657-41606</t>
  </si>
  <si>
    <t>NZ-185657</t>
  </si>
  <si>
    <t>Nowra</t>
  </si>
  <si>
    <t>IT-2013-PM1894045-41546</t>
  </si>
  <si>
    <t>PM-1894045</t>
  </si>
  <si>
    <t>Paul MacIntyre</t>
  </si>
  <si>
    <t>Boulogne-Billancourt</t>
  </si>
  <si>
    <t>TEC-MA-5572</t>
  </si>
  <si>
    <t>Panasonic Printer, Red</t>
  </si>
  <si>
    <t>ES-2014-MZ1733545-41885</t>
  </si>
  <si>
    <t>MZ-1733545</t>
  </si>
  <si>
    <t>Maria Zettner</t>
  </si>
  <si>
    <t>Malakoff</t>
  </si>
  <si>
    <t>OFF-AP-4503</t>
  </si>
  <si>
    <t>Hamilton Beach Refrigerator, Silver</t>
  </si>
  <si>
    <t>CG-2014-HM498033-41846</t>
  </si>
  <si>
    <t>HM-498033</t>
  </si>
  <si>
    <t>Henry MacAllister</t>
  </si>
  <si>
    <t>Kinshasa</t>
  </si>
  <si>
    <t>IN-2015-RW195407-42327</t>
  </si>
  <si>
    <t>RW-195407</t>
  </si>
  <si>
    <t>Rick Wilson</t>
  </si>
  <si>
    <t>Perth</t>
  </si>
  <si>
    <t>TEC-PH-3806</t>
  </si>
  <si>
    <t>Cisco Smart Phone, Full Size</t>
  </si>
  <si>
    <t>ES-2013-LH1715545-41444</t>
  </si>
  <si>
    <t>LH-1715545</t>
  </si>
  <si>
    <t>Logan Haushalter</t>
  </si>
  <si>
    <t>Le Bouscat</t>
  </si>
  <si>
    <t>Aquitaine-Limousin-Poitou-Charentes</t>
  </si>
  <si>
    <t>TEC-PH-5840</t>
  </si>
  <si>
    <t>Samsung Smart Phone, Full Size</t>
  </si>
  <si>
    <t>MX-2013-FH1436582-41558</t>
  </si>
  <si>
    <t>FH-1436582</t>
  </si>
  <si>
    <t>Fred Hopkins</t>
  </si>
  <si>
    <t>Puebla</t>
  </si>
  <si>
    <t>ES-2012-KM1666048-41129</t>
  </si>
  <si>
    <t>KM-1666048</t>
  </si>
  <si>
    <t>Khloe Miller</t>
  </si>
  <si>
    <t>Augsburg</t>
  </si>
  <si>
    <t>Bavaria</t>
  </si>
  <si>
    <t>TEC-CO-5999</t>
  </si>
  <si>
    <t>Sharp Fax Machine, High-Speed</t>
  </si>
  <si>
    <t>ES-2012-PO1886545-41217</t>
  </si>
  <si>
    <t>PO-1886545</t>
  </si>
  <si>
    <t>Nice</t>
  </si>
  <si>
    <t>Provence-Alpes-Côte d'Azur</t>
  </si>
  <si>
    <t>US-2012-AS10045140-41116</t>
  </si>
  <si>
    <t>AS-100451406</t>
  </si>
  <si>
    <t>OFF-PA-6512</t>
  </si>
  <si>
    <t>Paper</t>
  </si>
  <si>
    <t>Xerox 1956</t>
  </si>
  <si>
    <t>MX-2014-AB1006028-41755</t>
  </si>
  <si>
    <t>AB-1006028</t>
  </si>
  <si>
    <t>Adam Bellavance</t>
  </si>
  <si>
    <t>Medellín</t>
  </si>
  <si>
    <t>Antioquia</t>
  </si>
  <si>
    <t>Colombia</t>
  </si>
  <si>
    <t>FUR-BO-3891</t>
  </si>
  <si>
    <t>Dania Classic Bookcase, Pine</t>
  </si>
  <si>
    <t>IN-2014-DB130607-41999</t>
  </si>
  <si>
    <t>DB-130607</t>
  </si>
  <si>
    <t>Dave Brooks</t>
  </si>
  <si>
    <t>IT-2014-VM2168591-41711</t>
  </si>
  <si>
    <t>VM-2168591</t>
  </si>
  <si>
    <t>Valerie Mitchum</t>
  </si>
  <si>
    <t>Bergen op Zoom</t>
  </si>
  <si>
    <t>North Brabant</t>
  </si>
  <si>
    <t>Netherlands</t>
  </si>
  <si>
    <t>FUR-CH-5442</t>
  </si>
  <si>
    <t>Office Star Executive Leather Armchair, Black</t>
  </si>
  <si>
    <t>CA-2014-AS10045140-41727</t>
  </si>
  <si>
    <t>Virginia</t>
  </si>
  <si>
    <t>OFF-ST-4516</t>
  </si>
  <si>
    <t>Hanging Personal Folder File</t>
  </si>
  <si>
    <t>ES-2013-DM1352548-41369</t>
  </si>
  <si>
    <t>DM-1352548</t>
  </si>
  <si>
    <t>Don Miller</t>
  </si>
  <si>
    <t>Hanover</t>
  </si>
  <si>
    <t>TEC-PH-3149</t>
  </si>
  <si>
    <t>Apple Smart Phone, with Caller ID</t>
  </si>
  <si>
    <t>ES-2013-NM18520120-41634</t>
  </si>
  <si>
    <t>NM-18520120</t>
  </si>
  <si>
    <t>Neoma Murray</t>
  </si>
  <si>
    <t>Vigo</t>
  </si>
  <si>
    <t>Galicia</t>
  </si>
  <si>
    <t>FUR-BO-5948</t>
  </si>
  <si>
    <t>Sauder Classic Bookcase, Metal</t>
  </si>
  <si>
    <t>IN-2014-LC168857-41747</t>
  </si>
  <si>
    <t>LC-168857</t>
  </si>
  <si>
    <t>Lena Creighton</t>
  </si>
  <si>
    <t>TEC-CO-6012</t>
  </si>
  <si>
    <t>Sharp Wireless Fax, Laser</t>
  </si>
  <si>
    <t>IN-2012-RO1978027-41052</t>
  </si>
  <si>
    <t>RO-1978027</t>
  </si>
  <si>
    <t>Rose O'Brian</t>
  </si>
  <si>
    <t>Gaoyou</t>
  </si>
  <si>
    <t>OFF-AP-4738</t>
  </si>
  <si>
    <t>Hoover Refrigerator, White</t>
  </si>
  <si>
    <t>ES-2014-EM1406548-41775</t>
  </si>
  <si>
    <t>EM-1406548</t>
  </si>
  <si>
    <t>Erin Mull</t>
  </si>
  <si>
    <t>Bremen</t>
  </si>
  <si>
    <t>TEC-CO-4593</t>
  </si>
  <si>
    <t>Hewlett Wireless Fax, Laser</t>
  </si>
  <si>
    <t>IT-2012-ON1871545-40955</t>
  </si>
  <si>
    <t>ON-1871545</t>
  </si>
  <si>
    <t>Odella Nelson</t>
  </si>
  <si>
    <t>Muret</t>
  </si>
  <si>
    <t>Languedoc-Roussillon-Midi-Pyrénées</t>
  </si>
  <si>
    <t>IN-2014-VS2182027-41790</t>
  </si>
  <si>
    <t>VS-2182027</t>
  </si>
  <si>
    <t>Vivek Sundaresam</t>
  </si>
  <si>
    <t>Zigong</t>
  </si>
  <si>
    <t>FUR-BO-3639</t>
  </si>
  <si>
    <t>Bush Library with Doors, Metal</t>
  </si>
  <si>
    <t>IN-2014-CM121157-41913</t>
  </si>
  <si>
    <t>CM-121157</t>
  </si>
  <si>
    <t>Chad McGuire</t>
  </si>
  <si>
    <t>Adelaide</t>
  </si>
  <si>
    <t>South Australia</t>
  </si>
  <si>
    <t>TEC-CO-4790</t>
  </si>
  <si>
    <t>HP Wireless Fax, Digital</t>
  </si>
  <si>
    <t>CA-2015-AB10060140-42315</t>
  </si>
  <si>
    <t>AB-100601404</t>
  </si>
  <si>
    <t>FUR-TA-4622</t>
  </si>
  <si>
    <t>Hon 5100 Series Wood Tables</t>
  </si>
  <si>
    <t>CA-2014-AB10060140-41884</t>
  </si>
  <si>
    <t>AB-100601406</t>
  </si>
  <si>
    <t>OFF-BI-4340</t>
  </si>
  <si>
    <t>GBC DocuBind P400 Electric Binding System</t>
  </si>
  <si>
    <t>ID-2014-JK153257-41984</t>
  </si>
  <si>
    <t>JK-153257</t>
  </si>
  <si>
    <t>TEC-CO-3709</t>
  </si>
  <si>
    <t>Canon Wireless Fax, High-Speed</t>
  </si>
  <si>
    <t>IT-2015-RP1927045-42081</t>
  </si>
  <si>
    <t>RP-1927045</t>
  </si>
  <si>
    <t>Chelles</t>
  </si>
  <si>
    <t>TEC-CO-5998</t>
  </si>
  <si>
    <t>Sharp Fax Machine, Digital</t>
  </si>
  <si>
    <t>IN-2015-DW1354078-42357</t>
  </si>
  <si>
    <t>DW-1354078</t>
  </si>
  <si>
    <t>Don Weiss</t>
  </si>
  <si>
    <t>Kuantan</t>
  </si>
  <si>
    <t>Pahang</t>
  </si>
  <si>
    <t>Malaysia</t>
  </si>
  <si>
    <t>US-2014-AB10060140-41712</t>
  </si>
  <si>
    <t>AB-100601408</t>
  </si>
  <si>
    <t>Waynesboro</t>
  </si>
  <si>
    <t>OFF-AP-4221</t>
  </si>
  <si>
    <t>Eureka The Boss Lite 10-Amp Upright Vacuum, Blue</t>
  </si>
  <si>
    <t>MX-2015-GM1444037-42265</t>
  </si>
  <si>
    <t>GM-1444037</t>
  </si>
  <si>
    <t>Gary McGarr</t>
  </si>
  <si>
    <t>Quito</t>
  </si>
  <si>
    <t>Pichincha</t>
  </si>
  <si>
    <t>Ecuador</t>
  </si>
  <si>
    <t>TEC-CO-3587</t>
  </si>
  <si>
    <t>Brother Copy Machine, Color</t>
  </si>
  <si>
    <t>IN-2014-SV2081558-41968</t>
  </si>
  <si>
    <t>SV-2081558</t>
  </si>
  <si>
    <t>Stuart Van</t>
  </si>
  <si>
    <t>Vadodara</t>
  </si>
  <si>
    <t>TEC-CO-4577</t>
  </si>
  <si>
    <t>Hewlett Fax Machine, High-Speed</t>
  </si>
  <si>
    <t>IN-2014-MM1792027-41950</t>
  </si>
  <si>
    <t>MM-1792027</t>
  </si>
  <si>
    <t>Michael Moore</t>
  </si>
  <si>
    <t>Sanya</t>
  </si>
  <si>
    <t>Hainan</t>
  </si>
  <si>
    <t>TEC-AC-3405</t>
  </si>
  <si>
    <t>Belkin Router, USB</t>
  </si>
  <si>
    <t>IN-2015-JK1612059-42204</t>
  </si>
  <si>
    <t>JK-1612059</t>
  </si>
  <si>
    <t>Julie Kriz</t>
  </si>
  <si>
    <t>FUR-BO-5761</t>
  </si>
  <si>
    <t>Safco Classic Bookcase, Mobile</t>
  </si>
  <si>
    <t>ID-2013-EM14200130-41502</t>
  </si>
  <si>
    <t>EM-14200130</t>
  </si>
  <si>
    <t>Bangkok</t>
  </si>
  <si>
    <t>Thailand</t>
  </si>
  <si>
    <t>CA-2015-AB10060140-42314</t>
  </si>
  <si>
    <t>AB-100601402</t>
  </si>
  <si>
    <t>Greenwood</t>
  </si>
  <si>
    <t>Indiana</t>
  </si>
  <si>
    <t>OFF-PA-6214</t>
  </si>
  <si>
    <t>Strathmore Photo Mount Cards</t>
  </si>
  <si>
    <t>IN-2013-PM1894059-41284</t>
  </si>
  <si>
    <t>PM-1894059</t>
  </si>
  <si>
    <t>Tasikmalaya</t>
  </si>
  <si>
    <t>FUR-BO-5787</t>
  </si>
  <si>
    <t>Safco Library with Doors, Pine</t>
  </si>
  <si>
    <t>MX-2014-AT1043582-41667</t>
  </si>
  <si>
    <t>AT-1043582</t>
  </si>
  <si>
    <t>Alyssa Tate</t>
  </si>
  <si>
    <t>Guaymas</t>
  </si>
  <si>
    <t>Sonora</t>
  </si>
  <si>
    <t>OFF-AP-4736</t>
  </si>
  <si>
    <t>Hoover Refrigerator, Red</t>
  </si>
  <si>
    <t>ID-2013-AB1001527-41439</t>
  </si>
  <si>
    <t>AB-1001527</t>
  </si>
  <si>
    <t>Wuhan</t>
  </si>
  <si>
    <t>Hubei</t>
  </si>
  <si>
    <t>TEC-MA-6150</t>
  </si>
  <si>
    <t>StarTech Printer, Wireless</t>
  </si>
  <si>
    <t>MX-2013-PV1898518-41614</t>
  </si>
  <si>
    <t>PV-1898518</t>
  </si>
  <si>
    <t>Paul Van Hugh</t>
  </si>
  <si>
    <t>Salto</t>
  </si>
  <si>
    <t>São Paulo</t>
  </si>
  <si>
    <t>TEC-AC-5223</t>
  </si>
  <si>
    <t>Memorex Router, Bluetooth</t>
  </si>
  <si>
    <t>IT-2014-SB2029064-41887</t>
  </si>
  <si>
    <t>SB-2029064</t>
  </si>
  <si>
    <t>Sean Braxton</t>
  </si>
  <si>
    <t>Treviso</t>
  </si>
  <si>
    <t>Veneto</t>
  </si>
  <si>
    <t>SO-2015-SM10005116-42265</t>
  </si>
  <si>
    <t>SM-10005116</t>
  </si>
  <si>
    <t>Sally Matthias</t>
  </si>
  <si>
    <t>Hargeysa</t>
  </si>
  <si>
    <t>Woqooyi Galbeed</t>
  </si>
  <si>
    <t>Somalia</t>
  </si>
  <si>
    <t>IN-2013-KH1633059-41489</t>
  </si>
  <si>
    <t>KH-1633059</t>
  </si>
  <si>
    <t>Katharine Harms</t>
  </si>
  <si>
    <t>Yogyakarta</t>
  </si>
  <si>
    <t>IN-2015-MP181757-42347</t>
  </si>
  <si>
    <t>MP-181757</t>
  </si>
  <si>
    <t>Mike Pelletier</t>
  </si>
  <si>
    <t>IN-2013-LH1702027-41572</t>
  </si>
  <si>
    <t>LH-1702027</t>
  </si>
  <si>
    <t>Lisa Hazard</t>
  </si>
  <si>
    <t>Anshan</t>
  </si>
  <si>
    <t>Liaoning</t>
  </si>
  <si>
    <t>CA-2015-AB10060140-42132</t>
  </si>
  <si>
    <t>TEC-AC-5109</t>
  </si>
  <si>
    <t>Logitech G600 MMO Gaming Mouse</t>
  </si>
  <si>
    <t>ID-2014-CR126257-41878</t>
  </si>
  <si>
    <t>CR-126257</t>
  </si>
  <si>
    <t>Corey Roper</t>
  </si>
  <si>
    <t>FUR-BO-5763</t>
  </si>
  <si>
    <t>Safco Classic Bookcase, Traditional</t>
  </si>
  <si>
    <t>IN-2012-NC1862511-41041</t>
  </si>
  <si>
    <t>NC-1862511</t>
  </si>
  <si>
    <t>TEC-AC-3403</t>
  </si>
  <si>
    <t>Belkin Router, Erganomic</t>
  </si>
  <si>
    <t>IT-2012-GM1468091-41215</t>
  </si>
  <si>
    <t>GM-1468091</t>
  </si>
  <si>
    <t>Greg Matthias</t>
  </si>
  <si>
    <t>Amsterdam</t>
  </si>
  <si>
    <t>North Holland</t>
  </si>
  <si>
    <t>ES-2015-RA1994545-42218</t>
  </si>
  <si>
    <t>RA-1994545</t>
  </si>
  <si>
    <t>Ryan Akin</t>
  </si>
  <si>
    <t>Le Petit-Quevilly</t>
  </si>
  <si>
    <t>Normandy</t>
  </si>
  <si>
    <t>FUR-BO-3624</t>
  </si>
  <si>
    <t>Bush Classic Bookcase, Metal</t>
  </si>
  <si>
    <t>ES-2012-DB1306048-41171</t>
  </si>
  <si>
    <t>DB-1306048</t>
  </si>
  <si>
    <t>Bochum</t>
  </si>
  <si>
    <t>TEC-CO-4789</t>
  </si>
  <si>
    <t>HP Wireless Fax, Color</t>
  </si>
  <si>
    <t>IN-2014-RF197357-41709</t>
  </si>
  <si>
    <t>RF-197357</t>
  </si>
  <si>
    <t>Roland Fjeld</t>
  </si>
  <si>
    <t>ES-2013-JH1582048-41306</t>
  </si>
  <si>
    <t>JH-1582048</t>
  </si>
  <si>
    <t>Hamburg</t>
  </si>
  <si>
    <t>MX-2015-DM1295551-42103</t>
  </si>
  <si>
    <t>DM-1295551</t>
  </si>
  <si>
    <t>Dario Medina</t>
  </si>
  <si>
    <t>Mixco</t>
  </si>
  <si>
    <t>Guatemala</t>
  </si>
  <si>
    <t>FUR-TA-5064</t>
  </si>
  <si>
    <t>Lesro Round Table, Rectangular</t>
  </si>
  <si>
    <t>CA-2014-AB10060140-41881</t>
  </si>
  <si>
    <t>Concord</t>
  </si>
  <si>
    <t>New Hampshire</t>
  </si>
  <si>
    <t>OFF-SU-2972</t>
  </si>
  <si>
    <t>Supplies</t>
  </si>
  <si>
    <t>Acme Forged Steel Scissors with Black Enamel Handles</t>
  </si>
  <si>
    <t>MX-2015-BE1133582-42082</t>
  </si>
  <si>
    <t>BE-1133582</t>
  </si>
  <si>
    <t>Bill Eplett</t>
  </si>
  <si>
    <t>Morelia</t>
  </si>
  <si>
    <t>Michoacán</t>
  </si>
  <si>
    <t>IN-2014-SO2033527-41914</t>
  </si>
  <si>
    <t>SO-2033527</t>
  </si>
  <si>
    <t>Sean O'Donnell</t>
  </si>
  <si>
    <t>Changchun</t>
  </si>
  <si>
    <t>Jilin</t>
  </si>
  <si>
    <t>OFF-AP-4502</t>
  </si>
  <si>
    <t>Hamilton Beach Refrigerator, Red</t>
  </si>
  <si>
    <t>ES-2014-DK12835120-41651</t>
  </si>
  <si>
    <t>DK-12835120</t>
  </si>
  <si>
    <t>Damala Kotsonis</t>
  </si>
  <si>
    <t>Madrid</t>
  </si>
  <si>
    <t>OFF-AP-4507</t>
  </si>
  <si>
    <t>Hamilton Beach Stove, Silver</t>
  </si>
  <si>
    <t>SA-2015-LC7050110-42236</t>
  </si>
  <si>
    <t>LC-7050110</t>
  </si>
  <si>
    <t>Liz Carlisle</t>
  </si>
  <si>
    <t>Jeddah</t>
  </si>
  <si>
    <t>Makkah</t>
  </si>
  <si>
    <t>IN-2015-CG125207-42077</t>
  </si>
  <si>
    <t>CG-125207</t>
  </si>
  <si>
    <t>Claire Gute</t>
  </si>
  <si>
    <t>CA-2013-AB10060140-41535</t>
  </si>
  <si>
    <t>Des Moines</t>
  </si>
  <si>
    <t>OFF-PA-6420</t>
  </si>
  <si>
    <t>Wirebound Message Books, Four 2 3/4" x 5" Forms per Page, 600 Sets per Book</t>
  </si>
  <si>
    <t>ID-2015-HG1502559-42194</t>
  </si>
  <si>
    <t>HG-1502559</t>
  </si>
  <si>
    <t>Hunter Glantz</t>
  </si>
  <si>
    <t>Medan</t>
  </si>
  <si>
    <t>Sumatera Utara</t>
  </si>
  <si>
    <t>ID-2014-AD1018059-41801</t>
  </si>
  <si>
    <t>AD-1018059</t>
  </si>
  <si>
    <t>Alan Dominguez</t>
  </si>
  <si>
    <t>Jakarta</t>
  </si>
  <si>
    <t>FUR-CH-4532</t>
  </si>
  <si>
    <t>Harbour Creations Executive Leather Armchair, Red</t>
  </si>
  <si>
    <t>ES-2012-BP11155139-41130</t>
  </si>
  <si>
    <t>BP-11155139</t>
  </si>
  <si>
    <t>Becky Pak</t>
  </si>
  <si>
    <t>TEC-PH-3805</t>
  </si>
  <si>
    <t>Cisco Smart Phone, Cordless</t>
  </si>
  <si>
    <t>ID-2015-AA10480130-42080</t>
  </si>
  <si>
    <t>AA-10480130</t>
  </si>
  <si>
    <t>Andrew Allen</t>
  </si>
  <si>
    <t>ID-2014-RL196157-41641</t>
  </si>
  <si>
    <t>RL-196157</t>
  </si>
  <si>
    <t>Rob Lucas</t>
  </si>
  <si>
    <t>ID-2013-SW2024559-41557</t>
  </si>
  <si>
    <t>SW-2024559</t>
  </si>
  <si>
    <t>Scot Wooten</t>
  </si>
  <si>
    <t>Surakarta</t>
  </si>
  <si>
    <t>Jawa Tengah</t>
  </si>
  <si>
    <t>IN-2012-BW1111027-41076</t>
  </si>
  <si>
    <t>BW-1111027</t>
  </si>
  <si>
    <t>Bart Watters</t>
  </si>
  <si>
    <t>Beijing</t>
  </si>
  <si>
    <t>ES-2015-YC21895139-42097</t>
  </si>
  <si>
    <t>YC-21895139</t>
  </si>
  <si>
    <t>Yoseph Carroll</t>
  </si>
  <si>
    <t>MX-2012-JM1558082-41045</t>
  </si>
  <si>
    <t>JM-1558082</t>
  </si>
  <si>
    <t>Jill Matthias</t>
  </si>
  <si>
    <t>Tulancingo</t>
  </si>
  <si>
    <t>Hidalgo</t>
  </si>
  <si>
    <t>BO-2015-MZ733513-42046</t>
  </si>
  <si>
    <t>MZ-733513</t>
  </si>
  <si>
    <t>Brest</t>
  </si>
  <si>
    <t>Belarus</t>
  </si>
  <si>
    <t>ES-2014-JF15295120-41924</t>
  </si>
  <si>
    <t>JF-15295120</t>
  </si>
  <si>
    <t>Jason Fortune-</t>
  </si>
  <si>
    <t>Valencia</t>
  </si>
  <si>
    <t>Valenciana</t>
  </si>
  <si>
    <t>TEC-AC-4185</t>
  </si>
  <si>
    <t>Enermax Router, Bluetooth</t>
  </si>
  <si>
    <t>CA-2015-AB10060140-42264</t>
  </si>
  <si>
    <t>OFF-PA-6596</t>
  </si>
  <si>
    <t>Xerox 231</t>
  </si>
  <si>
    <t>UP-2015-DJ3510137-42202</t>
  </si>
  <si>
    <t>DJ-3510137</t>
  </si>
  <si>
    <t>Don Jones</t>
  </si>
  <si>
    <t>Zhytomyr</t>
  </si>
  <si>
    <t>ES-2015-MF1825045-42330</t>
  </si>
  <si>
    <t>MF-1825045</t>
  </si>
  <si>
    <t>Monica Federle</t>
  </si>
  <si>
    <t>Argenteuil</t>
  </si>
  <si>
    <t>TEC-MA-4205</t>
  </si>
  <si>
    <t>Epson Printer, Durable</t>
  </si>
  <si>
    <t>IT-2012-TC2129545-41058</t>
  </si>
  <si>
    <t>TC-2129545</t>
  </si>
  <si>
    <t>Toby Carlisle</t>
  </si>
  <si>
    <t>Talence</t>
  </si>
  <si>
    <t>FUR-TA-4642</t>
  </si>
  <si>
    <t>Hon Computer Table, Adjustable Height</t>
  </si>
  <si>
    <t>IN-2015-CP1234058-42202</t>
  </si>
  <si>
    <t>CP-1234058</t>
  </si>
  <si>
    <t>Christine Phan</t>
  </si>
  <si>
    <t>Aurangabad</t>
  </si>
  <si>
    <t>Bihar</t>
  </si>
  <si>
    <t>ES-2015-EH1412545-42245</t>
  </si>
  <si>
    <t>EH-1412545</t>
  </si>
  <si>
    <t>Eugene Hildebrand</t>
  </si>
  <si>
    <t>Plaisir</t>
  </si>
  <si>
    <t>IN-2013-NC183407-41634</t>
  </si>
  <si>
    <t>NC-183407</t>
  </si>
  <si>
    <t>Nat Carroll</t>
  </si>
  <si>
    <t>FUR-TA-5054</t>
  </si>
  <si>
    <t>Lesro Computer Table, Adjustable Height</t>
  </si>
  <si>
    <t>ID-2014-JS1603059-41760</t>
  </si>
  <si>
    <t>JS-1603059</t>
  </si>
  <si>
    <t>Joy Smith</t>
  </si>
  <si>
    <t>FUR-TA-5072</t>
  </si>
  <si>
    <t>Lesro Wood Table, Fully Assembled</t>
  </si>
  <si>
    <t>ES-2012-AM10360139-41136</t>
  </si>
  <si>
    <t>AM-10360139</t>
  </si>
  <si>
    <t>Alice McCarthy</t>
  </si>
  <si>
    <t>Harrogate</t>
  </si>
  <si>
    <t>TEC-PH-5354</t>
  </si>
  <si>
    <t>Nokia Smart Phone, Cordless</t>
  </si>
  <si>
    <t>IN-2015-JF1519021-42341</t>
  </si>
  <si>
    <t>JF-1519021</t>
  </si>
  <si>
    <t>Jamie Frazer</t>
  </si>
  <si>
    <t>Phnom Penh</t>
  </si>
  <si>
    <t>Cambodia</t>
  </si>
  <si>
    <t>FUR-TA-4706</t>
  </si>
  <si>
    <t>Hon Training Table, Fully Assembled</t>
  </si>
  <si>
    <t>IN-2014-AB100157-41815</t>
  </si>
  <si>
    <t>AB-100157</t>
  </si>
  <si>
    <t>Mackay</t>
  </si>
  <si>
    <t>ES-2014-JG15160139-41660</t>
  </si>
  <si>
    <t>JG-15160139</t>
  </si>
  <si>
    <t>James Galang</t>
  </si>
  <si>
    <t>FUR-TA-3344</t>
  </si>
  <si>
    <t>Barricks Conference Table, Fully Assembled</t>
  </si>
  <si>
    <t>CA-2015-AH10075140-42301</t>
  </si>
  <si>
    <t>AH-100751406</t>
  </si>
  <si>
    <t>Adam Hart</t>
  </si>
  <si>
    <t>Cranston</t>
  </si>
  <si>
    <t>Rhode Island</t>
  </si>
  <si>
    <t>FUR-TA-5421</t>
  </si>
  <si>
    <t>Office Impressions End Table, 20-1/2"H x 24"W x 20"D</t>
  </si>
  <si>
    <t>IN-2015-AG1033059-42197</t>
  </si>
  <si>
    <t>AG-1033059</t>
  </si>
  <si>
    <t>Alex Grayson</t>
  </si>
  <si>
    <t>Jambi</t>
  </si>
  <si>
    <t>OFF-AP-3574</t>
  </si>
  <si>
    <t>Breville Refrigerator, Black</t>
  </si>
  <si>
    <t>ES-2015-NF1847548-42248</t>
  </si>
  <si>
    <t>NF-1847548</t>
  </si>
  <si>
    <t>Neil Französisch</t>
  </si>
  <si>
    <t>Moers</t>
  </si>
  <si>
    <t>OFF-AP-3581</t>
  </si>
  <si>
    <t>Breville Stove, White</t>
  </si>
  <si>
    <t>IN-2012-DR129407-41066</t>
  </si>
  <si>
    <t>DR-129407</t>
  </si>
  <si>
    <t>Daniel Raglin</t>
  </si>
  <si>
    <t>OFF-AP-4966</t>
  </si>
  <si>
    <t>KitchenAid Stove, Silver</t>
  </si>
  <si>
    <t>ES-2012-NB1865548-41194</t>
  </si>
  <si>
    <t>NB-1865548</t>
  </si>
  <si>
    <t>Nona Balk</t>
  </si>
  <si>
    <t>OFF-ST-6049</t>
  </si>
  <si>
    <t>Smead Lockers, Wire Frame</t>
  </si>
  <si>
    <t>IN-2014-NM1844527-41800</t>
  </si>
  <si>
    <t>NM-1844527</t>
  </si>
  <si>
    <t>Nathan Mautz</t>
  </si>
  <si>
    <t>Shenzhen</t>
  </si>
  <si>
    <t>Guangdong</t>
  </si>
  <si>
    <t>TEC-CO-5991</t>
  </si>
  <si>
    <t>Sharp Copy Machine, High-Speed</t>
  </si>
  <si>
    <t>IN-2015-TA213857-42351</t>
  </si>
  <si>
    <t>TA-213857</t>
  </si>
  <si>
    <t>Tom Ashbrook</t>
  </si>
  <si>
    <t>Launceston</t>
  </si>
  <si>
    <t>Tasmania</t>
  </si>
  <si>
    <t>CA-2014-AH10075140-41898</t>
  </si>
  <si>
    <t>OFF-BI-4338</t>
  </si>
  <si>
    <t>GBC DocuBind 300 Electric Binding Machine</t>
  </si>
  <si>
    <t>ID-2015-SC20380102-42165</t>
  </si>
  <si>
    <t>SC-20380102</t>
  </si>
  <si>
    <t>Shahid Collister</t>
  </si>
  <si>
    <t>Marikina</t>
  </si>
  <si>
    <t>OFF-AP-3580</t>
  </si>
  <si>
    <t>Breville Stove, Silver</t>
  </si>
  <si>
    <t>SF-2012-PA9060117-40954</t>
  </si>
  <si>
    <t>PA-9060117</t>
  </si>
  <si>
    <t>Pete Armstrong</t>
  </si>
  <si>
    <t>Johannesburg</t>
  </si>
  <si>
    <t>Gauteng</t>
  </si>
  <si>
    <t>South Africa</t>
  </si>
  <si>
    <t>Southern Africa</t>
  </si>
  <si>
    <t>OFF-ST-6047</t>
  </si>
  <si>
    <t>Smead Lockers, Industrial</t>
  </si>
  <si>
    <t>ES-2014-RB19570120-41971</t>
  </si>
  <si>
    <t>RB-19570120</t>
  </si>
  <si>
    <t>Rob Beeghly</t>
  </si>
  <si>
    <t>Barakaldo</t>
  </si>
  <si>
    <t>Basque Country</t>
  </si>
  <si>
    <t>CA-2014-AH10075140-41817</t>
  </si>
  <si>
    <t>AH-100751404</t>
  </si>
  <si>
    <t>OFF-SU-5635</t>
  </si>
  <si>
    <t>Premier Electric Letter Opener</t>
  </si>
  <si>
    <t>CA-2015-AH10075140-42110</t>
  </si>
  <si>
    <t>Henderson</t>
  </si>
  <si>
    <t>Nevada</t>
  </si>
  <si>
    <t>FUR-FU-4756</t>
  </si>
  <si>
    <t>Howard Miller 12" Round Wall Clock</t>
  </si>
  <si>
    <t>US-2012-LH1675036-41129</t>
  </si>
  <si>
    <t>LH-1675036</t>
  </si>
  <si>
    <t>Larry Hughes</t>
  </si>
  <si>
    <t>CA-2014-AH10075140-41991</t>
  </si>
  <si>
    <t>AH-100751402</t>
  </si>
  <si>
    <t>TEC-AC-6351</t>
  </si>
  <si>
    <t>WD My Passport Ultra 1TB Portable External Hard Drive</t>
  </si>
  <si>
    <t>IN-2013-KB1658527-41488</t>
  </si>
  <si>
    <t>KB-1658527</t>
  </si>
  <si>
    <t>Ken Black</t>
  </si>
  <si>
    <t>Qingdao</t>
  </si>
  <si>
    <t>TEC-CO-3608</t>
  </si>
  <si>
    <t>Brother Wireless Fax, Color</t>
  </si>
  <si>
    <t>CA-2015-AH1007523-42101</t>
  </si>
  <si>
    <t>AH-1007523</t>
  </si>
  <si>
    <t>Oakville</t>
  </si>
  <si>
    <t>Ontario</t>
  </si>
  <si>
    <t>Canada</t>
  </si>
  <si>
    <t>OFF-ST-4257</t>
  </si>
  <si>
    <t>Fellowes File Cart, Blue</t>
  </si>
  <si>
    <t>IR-2014-MZ751560-41853</t>
  </si>
  <si>
    <t>MZ-751560</t>
  </si>
  <si>
    <t>Mary Zewe</t>
  </si>
  <si>
    <t>Shiraz</t>
  </si>
  <si>
    <t>Fars</t>
  </si>
  <si>
    <t>TEC-MA-4210</t>
  </si>
  <si>
    <t>Epson Receipt Printer, Red</t>
  </si>
  <si>
    <t>IN-2015-DM1334558-42146</t>
  </si>
  <si>
    <t>DM-1334558</t>
  </si>
  <si>
    <t>Denise Monton</t>
  </si>
  <si>
    <t>Bokaro</t>
  </si>
  <si>
    <t>OFF-ST-4266</t>
  </si>
  <si>
    <t>Fellowes Lockers, Blue</t>
  </si>
  <si>
    <t>ID-2012-CA1196566-40949</t>
  </si>
  <si>
    <t>CA-1196566</t>
  </si>
  <si>
    <t>Carol Adams</t>
  </si>
  <si>
    <t>Fuji</t>
  </si>
  <si>
    <t>Shizuoka</t>
  </si>
  <si>
    <t>Japan</t>
  </si>
  <si>
    <t>ES-2014-SC20305120-41909</t>
  </si>
  <si>
    <t>SC-20305120</t>
  </si>
  <si>
    <t>Sean Christensen</t>
  </si>
  <si>
    <t>Benidorm</t>
  </si>
  <si>
    <t>FUR-BO-3903</t>
  </si>
  <si>
    <t>Dania Library with Doors, Pine</t>
  </si>
  <si>
    <t>IN-2015-MH1811558-42157</t>
  </si>
  <si>
    <t>MH-1811558</t>
  </si>
  <si>
    <t>Mick Hernandez</t>
  </si>
  <si>
    <t>Kozhikode</t>
  </si>
  <si>
    <t>FUR-BO-4862</t>
  </si>
  <si>
    <t>Ikea Library with Doors, Pine</t>
  </si>
  <si>
    <t>IN-2014-KS163007-41912</t>
  </si>
  <si>
    <t>KS-163007</t>
  </si>
  <si>
    <t>Karen Seio</t>
  </si>
  <si>
    <t>FUR-BO-3640</t>
  </si>
  <si>
    <t>Bush Library with Doors, Mobile</t>
  </si>
  <si>
    <t>IN-2012-BG1174078-41108</t>
  </si>
  <si>
    <t>BG-1174078</t>
  </si>
  <si>
    <t>Bruce Geld</t>
  </si>
  <si>
    <t>Kuala Lumpur</t>
  </si>
  <si>
    <t>RS-2015-CR2625108-42230</t>
  </si>
  <si>
    <t>CR-2625108</t>
  </si>
  <si>
    <t>Astrakhan'</t>
  </si>
  <si>
    <t>Russia</t>
  </si>
  <si>
    <t>FUR-BO-5950</t>
  </si>
  <si>
    <t>Sauder Classic Bookcase, Pine</t>
  </si>
  <si>
    <t>IN-2015-DK1309027-42308</t>
  </si>
  <si>
    <t>DK-1309027</t>
  </si>
  <si>
    <t>Xiangtan</t>
  </si>
  <si>
    <t>Hunan</t>
  </si>
  <si>
    <t>IN-2014-JL1583527-41845</t>
  </si>
  <si>
    <t>JL-1583527</t>
  </si>
  <si>
    <t>John Lee</t>
  </si>
  <si>
    <t>Shaoxing</t>
  </si>
  <si>
    <t>Zhejiang</t>
  </si>
  <si>
    <t>IN-2015-AP1072058-42284</t>
  </si>
  <si>
    <t>AP-1072058</t>
  </si>
  <si>
    <t>Anne Pryor</t>
  </si>
  <si>
    <t>Jabalpur</t>
  </si>
  <si>
    <t>IN-2015-CR1282058-42294</t>
  </si>
  <si>
    <t>CR-1282058</t>
  </si>
  <si>
    <t>Cyra Reiten</t>
  </si>
  <si>
    <t>Patna</t>
  </si>
  <si>
    <t>IN-2014-BF110807-41976</t>
  </si>
  <si>
    <t>BF-110807</t>
  </si>
  <si>
    <t>Bart Folk</t>
  </si>
  <si>
    <t>IN-2015-JM15265102-42316</t>
  </si>
  <si>
    <t>JM-15265102</t>
  </si>
  <si>
    <t>Janet Molinari</t>
  </si>
  <si>
    <t>OFF-AP-3571</t>
  </si>
  <si>
    <t>Breville Microwave, Red</t>
  </si>
  <si>
    <t>IT-2012-TW2102545-41172</t>
  </si>
  <si>
    <t>TW-2102545</t>
  </si>
  <si>
    <t>Tamara Willingham</t>
  </si>
  <si>
    <t>La Baule-Escoublac</t>
  </si>
  <si>
    <t>Pays de la Loire</t>
  </si>
  <si>
    <t>IT-2012-RB1933045-41080</t>
  </si>
  <si>
    <t>RB-1933045</t>
  </si>
  <si>
    <t>Randy Bradley</t>
  </si>
  <si>
    <t>Dijon</t>
  </si>
  <si>
    <t>Bourgogne-Franche-Comté</t>
  </si>
  <si>
    <t>CA-2015-AH10075140-42273</t>
  </si>
  <si>
    <t>Chester</t>
  </si>
  <si>
    <t>OFF-SU-3839</t>
  </si>
  <si>
    <t>Compact Automatic Electric Letter Opener</t>
  </si>
  <si>
    <t>CA-2015-AH10075140-42144</t>
  </si>
  <si>
    <t>AH-100751408</t>
  </si>
  <si>
    <t>Knoxville</t>
  </si>
  <si>
    <t>Tennessee</t>
  </si>
  <si>
    <t>FUR-CH-5429</t>
  </si>
  <si>
    <t>Office Star - Mesh Screen back chair with Vinyl seat</t>
  </si>
  <si>
    <t>SF-2015-AB10060117-42334</t>
  </si>
  <si>
    <t>AB-10060117</t>
  </si>
  <si>
    <t>Cape Town</t>
  </si>
  <si>
    <t>Western Cape</t>
  </si>
  <si>
    <t>OFF-AP-4732</t>
  </si>
  <si>
    <t>Hoover Microwave, Silver</t>
  </si>
  <si>
    <t>EG-2013-JR567038-41363</t>
  </si>
  <si>
    <t>JR-567038</t>
  </si>
  <si>
    <t>Jim Radford</t>
  </si>
  <si>
    <t>Cairo</t>
  </si>
  <si>
    <t>Al Qahirah</t>
  </si>
  <si>
    <t>Egypt</t>
  </si>
  <si>
    <t>MX-2012-MD1735028-41222</t>
  </si>
  <si>
    <t>MD-1735028</t>
  </si>
  <si>
    <t>Maribeth Dona</t>
  </si>
  <si>
    <t>OFF-AP-4962</t>
  </si>
  <si>
    <t>KitchenAid Refrigerator, Silver</t>
  </si>
  <si>
    <t>ES-2013-EB13840139-41487</t>
  </si>
  <si>
    <t>EB-13840139</t>
  </si>
  <si>
    <t>West Bromwich</t>
  </si>
  <si>
    <t>AJ-2014-JL58359-41662</t>
  </si>
  <si>
    <t>JL-58359</t>
  </si>
  <si>
    <t>Baku</t>
  </si>
  <si>
    <t>Baki</t>
  </si>
  <si>
    <t>Azerbaijan</t>
  </si>
  <si>
    <t>FUR-TA-3358</t>
  </si>
  <si>
    <t>Barricks Wood Table, Rectangular</t>
  </si>
  <si>
    <t>IN-2012-EP1391559-41049</t>
  </si>
  <si>
    <t>EP-1391559</t>
  </si>
  <si>
    <t>Emily Phan</t>
  </si>
  <si>
    <t>FUR-BO-5967</t>
  </si>
  <si>
    <t>Sauder Library with Doors, Mobile</t>
  </si>
  <si>
    <t>ES-2015-MS17770139-42275</t>
  </si>
  <si>
    <t>MS-17770139</t>
  </si>
  <si>
    <t>Maxwell Schwartz</t>
  </si>
  <si>
    <t>Burnley</t>
  </si>
  <si>
    <t>FUR-BO-3626</t>
  </si>
  <si>
    <t>Bush Classic Bookcase, Pine</t>
  </si>
  <si>
    <t>IT-2012-CM1265545-41218</t>
  </si>
  <si>
    <t>CM-1265545</t>
  </si>
  <si>
    <t>Corinna Mitchell</t>
  </si>
  <si>
    <t>Laval</t>
  </si>
  <si>
    <t>LH-2015-JC610575-42032</t>
  </si>
  <si>
    <t>JC-610575</t>
  </si>
  <si>
    <t>Julie Creighton</t>
  </si>
  <si>
    <t>Vilnius</t>
  </si>
  <si>
    <t>Lithuania</t>
  </si>
  <si>
    <t>FUR-TA-3345</t>
  </si>
  <si>
    <t>Barricks Conference Table, Rectangular</t>
  </si>
  <si>
    <t>IN-2015-GB145307-42260</t>
  </si>
  <si>
    <t>GB-145307</t>
  </si>
  <si>
    <t>George Bell</t>
  </si>
  <si>
    <t>CA-2015-AH10075140-42335</t>
  </si>
  <si>
    <t>Atlanta</t>
  </si>
  <si>
    <t>Georgia</t>
  </si>
  <si>
    <t>OFF-AR-5327</t>
  </si>
  <si>
    <t>Newell 347</t>
  </si>
  <si>
    <t>US-2012-JH161805-41264</t>
  </si>
  <si>
    <t>JH-161805</t>
  </si>
  <si>
    <t>Justin Hirsh</t>
  </si>
  <si>
    <t>Buenos Aires</t>
  </si>
  <si>
    <t>Argentina</t>
  </si>
  <si>
    <t>EG-2014-MT807038-41675</t>
  </si>
  <si>
    <t>MT-807038</t>
  </si>
  <si>
    <t>Michelle Tran</t>
  </si>
  <si>
    <t>Girga</t>
  </si>
  <si>
    <t>Suhaj</t>
  </si>
  <si>
    <t>IN-2012-AB1010558-41270</t>
  </si>
  <si>
    <t>AB-1010558</t>
  </si>
  <si>
    <t>Adrian Barton</t>
  </si>
  <si>
    <t>Kochi</t>
  </si>
  <si>
    <t>LT-2012-CV280572-41025</t>
  </si>
  <si>
    <t>CV-280572</t>
  </si>
  <si>
    <t>Cynthia Voltz</t>
  </si>
  <si>
    <t>Maseru</t>
  </si>
  <si>
    <t>Lesotho</t>
  </si>
  <si>
    <t>IN-2012-NH1861092-41187</t>
  </si>
  <si>
    <t>NH-1861092</t>
  </si>
  <si>
    <t>Nicole Hansen</t>
  </si>
  <si>
    <t>FUR-TA-4645</t>
  </si>
  <si>
    <t>Hon Conference Table, Adjustable Height</t>
  </si>
  <si>
    <t>ID-2014-HJ1487527-41875</t>
  </si>
  <si>
    <t>HJ-1487527</t>
  </si>
  <si>
    <t>Heather Jas</t>
  </si>
  <si>
    <t>Luoyang</t>
  </si>
  <si>
    <t>Henan</t>
  </si>
  <si>
    <t>FUR-TA-5065</t>
  </si>
  <si>
    <t>Lesro Round Table, with Bottom Storage</t>
  </si>
  <si>
    <t>MX-2014-JL1517518-41903</t>
  </si>
  <si>
    <t>JL-1517518</t>
  </si>
  <si>
    <t>James Lanier</t>
  </si>
  <si>
    <t>Feira de Santana</t>
  </si>
  <si>
    <t>Bahia</t>
  </si>
  <si>
    <t>FUR-CH-5776</t>
  </si>
  <si>
    <t>SAFCO Executive Leather Armchair, Set of Two</t>
  </si>
  <si>
    <t>MX-2015-MY1829593-42355</t>
  </si>
  <si>
    <t>MY-1829593</t>
  </si>
  <si>
    <t>Muhammed Yedwab</t>
  </si>
  <si>
    <t>Matagalpa</t>
  </si>
  <si>
    <t>OFF-AP-4505</t>
  </si>
  <si>
    <t>Hamilton Beach Stove, Black</t>
  </si>
  <si>
    <t>CA-2012-AH10075140-41228</t>
  </si>
  <si>
    <t>Huntington Beach</t>
  </si>
  <si>
    <t>OFF-LA-5591</t>
  </si>
  <si>
    <t>Labels</t>
  </si>
  <si>
    <t>Permanent Self-Adhesive File Folder Labels for Typewriters by Universal</t>
  </si>
  <si>
    <t>CA-2013-AH10075140-41629</t>
  </si>
  <si>
    <t>Columbus</t>
  </si>
  <si>
    <t>Ohio</t>
  </si>
  <si>
    <t>OFF-AR-5458</t>
  </si>
  <si>
    <t>OIC #2 Pencils, Medium Soft</t>
  </si>
  <si>
    <t>MX-2015-KC1654093-42158</t>
  </si>
  <si>
    <t>KC-1654093</t>
  </si>
  <si>
    <t>Kelly Collister</t>
  </si>
  <si>
    <t>Managua</t>
  </si>
  <si>
    <t>MX-2015-CS1246093-42259</t>
  </si>
  <si>
    <t>CS-1246093</t>
  </si>
  <si>
    <t>IN-2015-HA1492027-42111</t>
  </si>
  <si>
    <t>HA-1492027</t>
  </si>
  <si>
    <t>Helen Andreada</t>
  </si>
  <si>
    <t>Wuhai</t>
  </si>
  <si>
    <t>Inner Mongolia</t>
  </si>
  <si>
    <t>ES-2013-MT1781545-41599</t>
  </si>
  <si>
    <t>MT-1781545</t>
  </si>
  <si>
    <t>Meg Tillman</t>
  </si>
  <si>
    <t>Nantes</t>
  </si>
  <si>
    <t>TEC-MA-5017</t>
  </si>
  <si>
    <t>Konica Printer, Wireless</t>
  </si>
  <si>
    <t>ES-2015-FW1439545-42069</t>
  </si>
  <si>
    <t>FW-1439545</t>
  </si>
  <si>
    <t>Fred Wasserman</t>
  </si>
  <si>
    <t>Strasbourg</t>
  </si>
  <si>
    <t>Alsace-Champagne-Ardenne-Lorraine</t>
  </si>
  <si>
    <t>FUR-BO-3627</t>
  </si>
  <si>
    <t>Bush Classic Bookcase, Traditional</t>
  </si>
  <si>
    <t>ES-2013-BH1171048-41478</t>
  </si>
  <si>
    <t>BH-1171048</t>
  </si>
  <si>
    <t>Brosina Hoffman</t>
  </si>
  <si>
    <t>ID-2015-DK1289559-42315</t>
  </si>
  <si>
    <t>DK-1289559</t>
  </si>
  <si>
    <t>Dana Kaydos</t>
  </si>
  <si>
    <t>Surabaya</t>
  </si>
  <si>
    <t>Jawa Timur</t>
  </si>
  <si>
    <t>OFF-AP-4964</t>
  </si>
  <si>
    <t>KitchenAid Stove, Black</t>
  </si>
  <si>
    <t>MX-2015-KD1627018-42330</t>
  </si>
  <si>
    <t>KD-1627018</t>
  </si>
  <si>
    <t>Karen Daniels</t>
  </si>
  <si>
    <t>Tupã</t>
  </si>
  <si>
    <t>FUR-CH-4544</t>
  </si>
  <si>
    <t>Harbour Creations Rocking Chair, Adjustable</t>
  </si>
  <si>
    <t>ES-2012-SC208458-41070</t>
  </si>
  <si>
    <t>SC-208458</t>
  </si>
  <si>
    <t>Sung Chung</t>
  </si>
  <si>
    <t>Vienna</t>
  </si>
  <si>
    <t>FUR-BO-4848</t>
  </si>
  <si>
    <t>Ikea Classic Bookcase, Metal</t>
  </si>
  <si>
    <t>MX-2013-CY1274582-41531</t>
  </si>
  <si>
    <t>CY-1274582</t>
  </si>
  <si>
    <t>Craig Yedwab</t>
  </si>
  <si>
    <t>Mexico City</t>
  </si>
  <si>
    <t>Distrito Federal</t>
  </si>
  <si>
    <t>IN-2012-HL150407-41237</t>
  </si>
  <si>
    <t>HL-150407</t>
  </si>
  <si>
    <t>Hunter Lopez</t>
  </si>
  <si>
    <t>Hobart</t>
  </si>
  <si>
    <t>TEC-CO-3596</t>
  </si>
  <si>
    <t>Brother Fax Machine, Digital</t>
  </si>
  <si>
    <t>IN-2013-CT1199566-41496</t>
  </si>
  <si>
    <t>CT-1199566</t>
  </si>
  <si>
    <t>Carol Triggs</t>
  </si>
  <si>
    <t>Hirakata</t>
  </si>
  <si>
    <t>Osaka</t>
  </si>
  <si>
    <t>TEC-CO-4591</t>
  </si>
  <si>
    <t>Hewlett Wireless Fax, Digital</t>
  </si>
  <si>
    <t>ES-2014-CC12370139-41718</t>
  </si>
  <si>
    <t>CC-12370139</t>
  </si>
  <si>
    <t>Christopher Conant</t>
  </si>
  <si>
    <t>Preston</t>
  </si>
  <si>
    <t>OFF-AP-3573</t>
  </si>
  <si>
    <t>Breville Microwave, White</t>
  </si>
  <si>
    <t>LT-2014-GR456072-42003</t>
  </si>
  <si>
    <t>GR-456072</t>
  </si>
  <si>
    <t>Georgia Rosenberg</t>
  </si>
  <si>
    <t>TEC-CO-3688</t>
  </si>
  <si>
    <t>Canon Fax Machine, High-Speed</t>
  </si>
  <si>
    <t>IN-2013-TT2107058-41551</t>
  </si>
  <si>
    <t>TT-2107058</t>
  </si>
  <si>
    <t>Ted Trevino</t>
  </si>
  <si>
    <t>Agra</t>
  </si>
  <si>
    <t>Uttar Pradesh</t>
  </si>
  <si>
    <t>FUR-CH-4656</t>
  </si>
  <si>
    <t>Hon Executive Leather Armchair, Red</t>
  </si>
  <si>
    <t>IT-2013-PO19195120-41492</t>
  </si>
  <si>
    <t>PO-19195120</t>
  </si>
  <si>
    <t>Phillina Ober</t>
  </si>
  <si>
    <t>Granollers</t>
  </si>
  <si>
    <t>Catalonia</t>
  </si>
  <si>
    <t>TEC-PH-3146</t>
  </si>
  <si>
    <t>Apple Signal Booster, with Caller ID</t>
  </si>
  <si>
    <t>IN-2013-ED13885144-41549</t>
  </si>
  <si>
    <t>ED-13885144</t>
  </si>
  <si>
    <t>Emily Ducich</t>
  </si>
  <si>
    <t>Ho Chi Minh City</t>
  </si>
  <si>
    <t>Ho Chí Minh City</t>
  </si>
  <si>
    <t>Vietnam</t>
  </si>
  <si>
    <t>IN-2015-AP1091559-42089</t>
  </si>
  <si>
    <t>AP-1091559</t>
  </si>
  <si>
    <t>MX-2015-TM2149031-42329</t>
  </si>
  <si>
    <t>TM-2149031</t>
  </si>
  <si>
    <t>Tony Molinari</t>
  </si>
  <si>
    <t>Camagüey</t>
  </si>
  <si>
    <t>Cuba</t>
  </si>
  <si>
    <t>IT-2012-AW1084091-41242</t>
  </si>
  <si>
    <t>AW-1084091</t>
  </si>
  <si>
    <t>Anthony Witt</t>
  </si>
  <si>
    <t>TEC-CO-4792</t>
  </si>
  <si>
    <t>HP Wireless Fax, Laser</t>
  </si>
  <si>
    <t>RO-2013-SG10605107-41614</t>
  </si>
  <si>
    <t>SG-10605107</t>
  </si>
  <si>
    <t>Speros Goranitis</t>
  </si>
  <si>
    <t>Piatra-Neamt</t>
  </si>
  <si>
    <t>Neamt</t>
  </si>
  <si>
    <t>Romania</t>
  </si>
  <si>
    <t>TEC-CO-4571</t>
  </si>
  <si>
    <t>Hewlett Fax and Copier, Color</t>
  </si>
  <si>
    <t>MX-2014-BM1178582-41976</t>
  </si>
  <si>
    <t>BM-1178582</t>
  </si>
  <si>
    <t>Bryan Mills</t>
  </si>
  <si>
    <t>Milpa Alta</t>
  </si>
  <si>
    <t>MX-2013-FH1436582-41628</t>
  </si>
  <si>
    <t>MX-2013-DK1337582-41530</t>
  </si>
  <si>
    <t>DK-1337582</t>
  </si>
  <si>
    <t>Dennis Kane</t>
  </si>
  <si>
    <t>León</t>
  </si>
  <si>
    <t>Guanajuato</t>
  </si>
  <si>
    <t>CA-2015-AS10090140-42264</t>
  </si>
  <si>
    <t>AS-100901406</t>
  </si>
  <si>
    <t>Adam Shillingsburg</t>
  </si>
  <si>
    <t>OFF-BI-4343</t>
  </si>
  <si>
    <t>GBC DocuBind TL300 Electric Binding System</t>
  </si>
  <si>
    <t>CA-2012-AS10090140-41173</t>
  </si>
  <si>
    <t>FUR-CH-5430</t>
  </si>
  <si>
    <t>Office Star - Mid Back Dual function Ergonomic High Back Chair with 2-Way Adjustable Arms</t>
  </si>
  <si>
    <t>CA-2013-AS10090140-41587</t>
  </si>
  <si>
    <t>AS-100901402</t>
  </si>
  <si>
    <t>Springfield</t>
  </si>
  <si>
    <t>Missouri</t>
  </si>
  <si>
    <t>FUR-TA-3427</t>
  </si>
  <si>
    <t>Bevis Round Conference Table Top &amp; Single Column Base</t>
  </si>
  <si>
    <t>TU-2013-SF10200134-41417</t>
  </si>
  <si>
    <t>SF-10200134</t>
  </si>
  <si>
    <t>Sarah Foster</t>
  </si>
  <si>
    <t>Izmir</t>
  </si>
  <si>
    <t>Turkey</t>
  </si>
  <si>
    <t>TEC-PH-5815</t>
  </si>
  <si>
    <t>Samsung Audio Dock, with Caller ID</t>
  </si>
  <si>
    <t>CA-2014-AS10090140-41812</t>
  </si>
  <si>
    <t>FUR-BO-5529</t>
  </si>
  <si>
    <t>O'Sullivan Living Dimensions 5-Shelf Bookcases</t>
  </si>
  <si>
    <t>SG-2015-JW5220111-42108</t>
  </si>
  <si>
    <t>JW-5220111</t>
  </si>
  <si>
    <t>Jane Waco</t>
  </si>
  <si>
    <t>MX-2015-CC1210082-42245</t>
  </si>
  <si>
    <t>CC-1210082</t>
  </si>
  <si>
    <t>Chad Cunningham</t>
  </si>
  <si>
    <t>Coyoacán</t>
  </si>
  <si>
    <t>ID-2015-RD1993092-42140</t>
  </si>
  <si>
    <t>RD-1993092</t>
  </si>
  <si>
    <t>Russell D'Ascenzo</t>
  </si>
  <si>
    <t>Manukau City</t>
  </si>
  <si>
    <t>Auckland</t>
  </si>
  <si>
    <t>OFF-AP-4961</t>
  </si>
  <si>
    <t>KitchenAid Refrigerator, Red</t>
  </si>
  <si>
    <t>CM-2013-BP123022-41621</t>
  </si>
  <si>
    <t>BP-123022</t>
  </si>
  <si>
    <t>Yaounde</t>
  </si>
  <si>
    <t>Centre</t>
  </si>
  <si>
    <t>Cameroon</t>
  </si>
  <si>
    <t>OFF-AP-4733</t>
  </si>
  <si>
    <t>Hoover Microwave, White</t>
  </si>
  <si>
    <t>ES-2012-SA20830139-40998</t>
  </si>
  <si>
    <t>SA-20830139</t>
  </si>
  <si>
    <t>Sue Ann Reed</t>
  </si>
  <si>
    <t>Newcastle upon Tyne</t>
  </si>
  <si>
    <t>IN-2013-EM1381058-41308</t>
  </si>
  <si>
    <t>EM-1381058</t>
  </si>
  <si>
    <t>Eleni McCrary</t>
  </si>
  <si>
    <t>Dehra Dun</t>
  </si>
  <si>
    <t>FUR-BO-5762</t>
  </si>
  <si>
    <t>Safco Classic Bookcase, Pine</t>
  </si>
  <si>
    <t>IN-2014-CS12175130-41788</t>
  </si>
  <si>
    <t>CS-12175130</t>
  </si>
  <si>
    <t>Charles Sheldon</t>
  </si>
  <si>
    <t>IT-2013-JD16060120-41515</t>
  </si>
  <si>
    <t>JD-16060120</t>
  </si>
  <si>
    <t>Julia Dunbar</t>
  </si>
  <si>
    <t>Santander</t>
  </si>
  <si>
    <t>Cantabria</t>
  </si>
  <si>
    <t>OFF-ST-5691</t>
  </si>
  <si>
    <t>Rogers File Cart, Blue</t>
  </si>
  <si>
    <t>IN-2012-GH1466527-41074</t>
  </si>
  <si>
    <t>GH-1466527</t>
  </si>
  <si>
    <t>Greg Hansen</t>
  </si>
  <si>
    <t>Cangzhou</t>
  </si>
  <si>
    <t>Hebei</t>
  </si>
  <si>
    <t>FUR-CH-5412</t>
  </si>
  <si>
    <t>Novimex Swivel Stool, Black</t>
  </si>
  <si>
    <t>IN-2015-CM1193527-42244</t>
  </si>
  <si>
    <t>CM-1193527</t>
  </si>
  <si>
    <t>Carlos Meador</t>
  </si>
  <si>
    <t>Shanghai</t>
  </si>
  <si>
    <t>OFF-AP-3578</t>
  </si>
  <si>
    <t>Breville Stove, Black</t>
  </si>
  <si>
    <t>MX-2012-JB1600093-41208</t>
  </si>
  <si>
    <t>JB-1600093</t>
  </si>
  <si>
    <t>RS-2015-RB9465108-42082</t>
  </si>
  <si>
    <t>RB-9465108</t>
  </si>
  <si>
    <t>Rick Bensley</t>
  </si>
  <si>
    <t>Rybinsk</t>
  </si>
  <si>
    <t>Yaroslavl'</t>
  </si>
  <si>
    <t>MX-2015-RB1979518-42258</t>
  </si>
  <si>
    <t>RB-1979518</t>
  </si>
  <si>
    <t>Ross Baird</t>
  </si>
  <si>
    <t>Ibiúna</t>
  </si>
  <si>
    <t>FUR-TA-3763</t>
  </si>
  <si>
    <t>Chromcraft Conference Table, Adjustable Height</t>
  </si>
  <si>
    <t>ID-2013-PO191957-41514</t>
  </si>
  <si>
    <t>PO-191957</t>
  </si>
  <si>
    <t>IN-2014-TS212057-41852</t>
  </si>
  <si>
    <t>TS-212057</t>
  </si>
  <si>
    <t>Thomas Seio</t>
  </si>
  <si>
    <t>Canberra</t>
  </si>
  <si>
    <t>Australian Capital Territory</t>
  </si>
  <si>
    <t>FUR-TA-5053</t>
  </si>
  <si>
    <t>Lesro Coffee Table, with Bottom Storage</t>
  </si>
  <si>
    <t>SF-2015-MV8190117-42362</t>
  </si>
  <si>
    <t>MV-8190117</t>
  </si>
  <si>
    <t>Mike Vittorini</t>
  </si>
  <si>
    <t>Port Elizabeth</t>
  </si>
  <si>
    <t>Eastern Cape</t>
  </si>
  <si>
    <t>ES-2013-BD11560139-41327</t>
  </si>
  <si>
    <t>BD-11560139</t>
  </si>
  <si>
    <t>Brendan Dodson</t>
  </si>
  <si>
    <t>Cambridge</t>
  </si>
  <si>
    <t>FUR-CH-4655</t>
  </si>
  <si>
    <t>Hon Executive Leather Armchair, Black</t>
  </si>
  <si>
    <t>IN-2015-PS1876059-42288</t>
  </si>
  <si>
    <t>PS-1876059</t>
  </si>
  <si>
    <t>Pamela Stobb</t>
  </si>
  <si>
    <t>FUR-BO-3648</t>
  </si>
  <si>
    <t>Bush Stackable Bookrack, Traditional</t>
  </si>
  <si>
    <t>US-2015-FM1421551-42115</t>
  </si>
  <si>
    <t>FM-1421551</t>
  </si>
  <si>
    <t>Filia McAdams</t>
  </si>
  <si>
    <t>IN-2014-CA1277558-41802</t>
  </si>
  <si>
    <t>CA-1277558</t>
  </si>
  <si>
    <t>Cynthia Arntzen</t>
  </si>
  <si>
    <t>Kota</t>
  </si>
  <si>
    <t>Chhattisgarh</t>
  </si>
  <si>
    <t>ES-2014-CD1279048-41899</t>
  </si>
  <si>
    <t>CD-1279048</t>
  </si>
  <si>
    <t>Cynthia Delaney</t>
  </si>
  <si>
    <t>FUR-BO-5969</t>
  </si>
  <si>
    <t>Sauder Library with Doors, Traditional</t>
  </si>
  <si>
    <t>IN-2015-NL1831092-42266</t>
  </si>
  <si>
    <t>NL-1831092</t>
  </si>
  <si>
    <t>Nancy Lomonaco</t>
  </si>
  <si>
    <t>Christchurch</t>
  </si>
  <si>
    <t>Canterbury</t>
  </si>
  <si>
    <t>OFF-ST-6046</t>
  </si>
  <si>
    <t>Smead Lockers, Blue</t>
  </si>
  <si>
    <t>IT-2015-TB2105545-42334</t>
  </si>
  <si>
    <t>TB-2105545</t>
  </si>
  <si>
    <t>Ted Butterfield</t>
  </si>
  <si>
    <t>Vincennes</t>
  </si>
  <si>
    <t>IN-2015-KD1649527-42175</t>
  </si>
  <si>
    <t>KD-1649527</t>
  </si>
  <si>
    <t>Keith Dawkins</t>
  </si>
  <si>
    <t>Chongqing</t>
  </si>
  <si>
    <t>HU-2015-EH412557-42300</t>
  </si>
  <si>
    <t>EH-412557</t>
  </si>
  <si>
    <t>Gyula</t>
  </si>
  <si>
    <t>Bekes</t>
  </si>
  <si>
    <t>Hungary</t>
  </si>
  <si>
    <t>OFF-ST-5702</t>
  </si>
  <si>
    <t>Rogers Lockers, Single Width</t>
  </si>
  <si>
    <t>IN-2012-KB1660058-41136</t>
  </si>
  <si>
    <t>KB-1660058</t>
  </si>
  <si>
    <t>Ken Brennan</t>
  </si>
  <si>
    <t>Lucknow</t>
  </si>
  <si>
    <t>CA-2015-AS10090140-42096</t>
  </si>
  <si>
    <t>ES-2015-MG1769564-42018</t>
  </si>
  <si>
    <t>MG-1769564</t>
  </si>
  <si>
    <t>Maureen Gnade</t>
  </si>
  <si>
    <t>Turin</t>
  </si>
  <si>
    <t>Piedmont</t>
  </si>
  <si>
    <t>ID-2015-VF21715102-42321</t>
  </si>
  <si>
    <t>VF-21715102</t>
  </si>
  <si>
    <t>ID-2014-AM1070559-41803</t>
  </si>
  <si>
    <t>TEC-CO-4568</t>
  </si>
  <si>
    <t>Hewlett Copy Machine, Color</t>
  </si>
  <si>
    <t>IN-2015-BP11290113-42269</t>
  </si>
  <si>
    <t>BP-11290113</t>
  </si>
  <si>
    <t>Beth Paige</t>
  </si>
  <si>
    <t>Singapore</t>
  </si>
  <si>
    <t>TEC-CO-4588</t>
  </si>
  <si>
    <t>Hewlett Personal Copier, High-Speed</t>
  </si>
  <si>
    <t>AO-2012-HZ49504-40916</t>
  </si>
  <si>
    <t>HZ-49504</t>
  </si>
  <si>
    <t>Henia Zydlo</t>
  </si>
  <si>
    <t>Benguela</t>
  </si>
  <si>
    <t>Angola</t>
  </si>
  <si>
    <t>FUR-BO-4850</t>
  </si>
  <si>
    <t>Ikea Classic Bookcase, Pine</t>
  </si>
  <si>
    <t>IN-2014-EM1382566-41850</t>
  </si>
  <si>
    <t>EM-1382566</t>
  </si>
  <si>
    <t>Elizabeth Moffitt</t>
  </si>
  <si>
    <t>Himeji</t>
  </si>
  <si>
    <t>Hyogo</t>
  </si>
  <si>
    <t>TEC-CO-4578</t>
  </si>
  <si>
    <t>Hewlett Fax Machine, Laser</t>
  </si>
  <si>
    <t>US-2015-AS10090140-42341</t>
  </si>
  <si>
    <t>AS-100901408</t>
  </si>
  <si>
    <t>Charlottesville</t>
  </si>
  <si>
    <t>OFF-AR-5285</t>
  </si>
  <si>
    <t>Newell 309</t>
  </si>
  <si>
    <t>IN-2015-BS1180059-42124</t>
  </si>
  <si>
    <t>BS-1180059</t>
  </si>
  <si>
    <t>Bryan Spruell</t>
  </si>
  <si>
    <t>Kendari</t>
  </si>
  <si>
    <t>Sulawesi Tenggara</t>
  </si>
  <si>
    <t>OFF-AP-4504</t>
  </si>
  <si>
    <t>Hamilton Beach Refrigerator, White</t>
  </si>
  <si>
    <t>MX-2012-DV1346539-41179</t>
  </si>
  <si>
    <t>DV-1346539</t>
  </si>
  <si>
    <t>Dianna Vittorini</t>
  </si>
  <si>
    <t>Mejicanos</t>
  </si>
  <si>
    <t>IN-2015-MB173057-42179</t>
  </si>
  <si>
    <t>MB-173057</t>
  </si>
  <si>
    <t>Maria Bertelson</t>
  </si>
  <si>
    <t>IT-2012-PC19000120-41004</t>
  </si>
  <si>
    <t>PC-19000120</t>
  </si>
  <si>
    <t>Pauline Chand</t>
  </si>
  <si>
    <t>Barcelona</t>
  </si>
  <si>
    <t>OFF-ST-5700</t>
  </si>
  <si>
    <t>Rogers Lockers, Blue</t>
  </si>
  <si>
    <t>IT-2015-CA1231045-42223</t>
  </si>
  <si>
    <t>CA-1231045</t>
  </si>
  <si>
    <t>Christine Abelman</t>
  </si>
  <si>
    <t>Menton</t>
  </si>
  <si>
    <t>ES-2015-MB1808545-42049</t>
  </si>
  <si>
    <t>MB-1808545</t>
  </si>
  <si>
    <t>Clermont-Ferrand</t>
  </si>
  <si>
    <t>Auvergne</t>
  </si>
  <si>
    <t>OFF-ST-6261</t>
  </si>
  <si>
    <t>Tenex Lockers, Blue</t>
  </si>
  <si>
    <t>CA-2012-AS10090140-41266</t>
  </si>
  <si>
    <t>AS-100901404</t>
  </si>
  <si>
    <t>San Diego</t>
  </si>
  <si>
    <t>OFF-AP-3367</t>
  </si>
  <si>
    <t>Belkin 7-Outlet SurgeMaster Home Series</t>
  </si>
  <si>
    <t>RO-2013-DB3660107-41503</t>
  </si>
  <si>
    <t>DB-3660107</t>
  </si>
  <si>
    <t>Duane Benoit</t>
  </si>
  <si>
    <t>Buzau</t>
  </si>
  <si>
    <t>FUR-CH-5456</t>
  </si>
  <si>
    <t>Office Star Swivel Stool, Red</t>
  </si>
  <si>
    <t>MX-2013-BG1174018-41493</t>
  </si>
  <si>
    <t>BG-1174018</t>
  </si>
  <si>
    <t>Bayeux</t>
  </si>
  <si>
    <t>Paraíba</t>
  </si>
  <si>
    <t>CA-2014-AS10090140-41762</t>
  </si>
  <si>
    <t>Irving</t>
  </si>
  <si>
    <t>IN-2013-KB1631578-41495</t>
  </si>
  <si>
    <t>KB-1631578</t>
  </si>
  <si>
    <t>Karl Braun</t>
  </si>
  <si>
    <t>TEC-MA-5005</t>
  </si>
  <si>
    <t>Konica Card Printer, Wireless</t>
  </si>
  <si>
    <t>ID-2014-PK190757-41691</t>
  </si>
  <si>
    <t>PK-190757</t>
  </si>
  <si>
    <t>Pete Kriz</t>
  </si>
  <si>
    <t>FUR-TA-3359</t>
  </si>
  <si>
    <t>Barricks Wood Table, with Bottom Storage</t>
  </si>
  <si>
    <t>ID-2013-CS121757-41473</t>
  </si>
  <si>
    <t>CS-121757</t>
  </si>
  <si>
    <t>Darwin</t>
  </si>
  <si>
    <t>Northern Territory</t>
  </si>
  <si>
    <t>TEC-AC-3402</t>
  </si>
  <si>
    <t>Belkin Router, Bluetooth</t>
  </si>
  <si>
    <t>CA-2014-AS10090140-41894</t>
  </si>
  <si>
    <t>Chicago</t>
  </si>
  <si>
    <t>Illinois</t>
  </si>
  <si>
    <t>OFF-LA-6021</t>
  </si>
  <si>
    <t>Smead Alpha-Z Color-Coded Name Labels First Letter Starter Set</t>
  </si>
  <si>
    <t>ES-2015-AF1088545-42103</t>
  </si>
  <si>
    <t>AF-1088545</t>
  </si>
  <si>
    <t>Art Foster</t>
  </si>
  <si>
    <t>ES-2013-SJ2050045-41443</t>
  </si>
  <si>
    <t>SJ-2050045</t>
  </si>
  <si>
    <t>Shirley Jackson</t>
  </si>
  <si>
    <t>Lens</t>
  </si>
  <si>
    <t>FUR-TA-3343</t>
  </si>
  <si>
    <t>Barricks Conference Table, Adjustable Height</t>
  </si>
  <si>
    <t>ES-2014-DM1295545-42004</t>
  </si>
  <si>
    <t>DM-1295545</t>
  </si>
  <si>
    <t>Lannion</t>
  </si>
  <si>
    <t>IT-2013-CC1261048-41289</t>
  </si>
  <si>
    <t>CC-1261048</t>
  </si>
  <si>
    <t>Corey Catlett</t>
  </si>
  <si>
    <t>Iserlohn</t>
  </si>
  <si>
    <t>CG-2013-BW106533-41437</t>
  </si>
  <si>
    <t>Kalemie</t>
  </si>
  <si>
    <t>IN-2015-BE114557-42080</t>
  </si>
  <si>
    <t>BE-114557</t>
  </si>
  <si>
    <t>Brad Eason</t>
  </si>
  <si>
    <t>ES-2013-TG2164014-41591</t>
  </si>
  <si>
    <t>TG-2164014</t>
  </si>
  <si>
    <t>Ghent</t>
  </si>
  <si>
    <t>East Flanders</t>
  </si>
  <si>
    <t>Belgium</t>
  </si>
  <si>
    <t>OFF-AP-3867</t>
  </si>
  <si>
    <t>Cuisinart Microwave, White</t>
  </si>
  <si>
    <t>ES-2015-VM2168545-42140</t>
  </si>
  <si>
    <t>VM-2168545</t>
  </si>
  <si>
    <t>Marseille</t>
  </si>
  <si>
    <t>FUR-BO-5971</t>
  </si>
  <si>
    <t>Sauder Stackable Bookrack, Mobile</t>
  </si>
  <si>
    <t>MX-2015-SC2069539-42360</t>
  </si>
  <si>
    <t>SC-2069539</t>
  </si>
  <si>
    <t>ID-2014-SN2056097-41896</t>
  </si>
  <si>
    <t>SN-2056097</t>
  </si>
  <si>
    <t>Skye Norling</t>
  </si>
  <si>
    <t>Lahore</t>
  </si>
  <si>
    <t>Punjab</t>
  </si>
  <si>
    <t>Pakistan</t>
  </si>
  <si>
    <t>ID-2014-CD122807-41646</t>
  </si>
  <si>
    <t>CD-122807</t>
  </si>
  <si>
    <t>Christina DeMoss</t>
  </si>
  <si>
    <t>FUR-TA-5059</t>
  </si>
  <si>
    <t>Lesro Conference Table, Rectangular</t>
  </si>
  <si>
    <t>ES-2015-CC1210045-42182</t>
  </si>
  <si>
    <t>CC-1210045</t>
  </si>
  <si>
    <t>Grenoble</t>
  </si>
  <si>
    <t>Auvergne-Rhône-Alpes</t>
  </si>
  <si>
    <t>TEC-CO-3595</t>
  </si>
  <si>
    <t>Brother Fax Machine, Color</t>
  </si>
  <si>
    <t>ES-2013-BG1103544-41468</t>
  </si>
  <si>
    <t>BG-1103544</t>
  </si>
  <si>
    <t>Barry Gonzalez</t>
  </si>
  <si>
    <t>Espoo</t>
  </si>
  <si>
    <t>Uusimaa</t>
  </si>
  <si>
    <t>Finland</t>
  </si>
  <si>
    <t>TEC-MA-5502</t>
  </si>
  <si>
    <t>Okidata Inkjet, White</t>
  </si>
  <si>
    <t>IN-2015-CC125507-42046</t>
  </si>
  <si>
    <t>CC-125507</t>
  </si>
  <si>
    <t>Clay Cheatham</t>
  </si>
  <si>
    <t>Whyalla</t>
  </si>
  <si>
    <t>TEC-CO-3706</t>
  </si>
  <si>
    <t>Canon Personal Copier, Laser</t>
  </si>
  <si>
    <t>IN-2015-AB101057-42153</t>
  </si>
  <si>
    <t>AB-101057</t>
  </si>
  <si>
    <t>TEC-CO-3609</t>
  </si>
  <si>
    <t>Brother Wireless Fax, Digital</t>
  </si>
  <si>
    <t>IN-2015-SV2078559-42110</t>
  </si>
  <si>
    <t>SV-2078559</t>
  </si>
  <si>
    <t>Stewart Visinsky</t>
  </si>
  <si>
    <t>ES-2015-HW1493545-42335</t>
  </si>
  <si>
    <t>HW-1493545</t>
  </si>
  <si>
    <t>Helen Wasserman</t>
  </si>
  <si>
    <t>Ivry-sur-Seine</t>
  </si>
  <si>
    <t>FUR-BO-5798</t>
  </si>
  <si>
    <t>Safco Stackable Bookrack, Pine</t>
  </si>
  <si>
    <t>IN-2012-AS1028558-41221</t>
  </si>
  <si>
    <t>AS-1028558</t>
  </si>
  <si>
    <t>Alejandro Savely</t>
  </si>
  <si>
    <t>Kanpur</t>
  </si>
  <si>
    <t>FUR-CH-5447</t>
  </si>
  <si>
    <t>Office Star Rocking Chair, Black</t>
  </si>
  <si>
    <t>ES-2015-LD1685545-42265</t>
  </si>
  <si>
    <t>LD-1685545</t>
  </si>
  <si>
    <t>Lela Donovan</t>
  </si>
  <si>
    <t>Saint-Laurent-du-Var</t>
  </si>
  <si>
    <t>MX-2015-NS1850528-42059</t>
  </si>
  <si>
    <t>NS-1850528</t>
  </si>
  <si>
    <t>Neola Schneider</t>
  </si>
  <si>
    <t>Cartagena</t>
  </si>
  <si>
    <t>Bolívar</t>
  </si>
  <si>
    <t>MX-2014-CM1271582-41885</t>
  </si>
  <si>
    <t>CM-1271582</t>
  </si>
  <si>
    <t>Craig Molinari</t>
  </si>
  <si>
    <t>Cancún</t>
  </si>
  <si>
    <t>Quintana Roo</t>
  </si>
  <si>
    <t>IN-2014-VG2180527-41996</t>
  </si>
  <si>
    <t>VG-2180527</t>
  </si>
  <si>
    <t>Harbin</t>
  </si>
  <si>
    <t>FUR-BO-3641</t>
  </si>
  <si>
    <t>Bush Library with Doors, Pine</t>
  </si>
  <si>
    <t>GH-2015-JD606049-42172</t>
  </si>
  <si>
    <t>JD-606049</t>
  </si>
  <si>
    <t>Kumasi</t>
  </si>
  <si>
    <t>Ashanti</t>
  </si>
  <si>
    <t>Ghana</t>
  </si>
  <si>
    <t>OFF-AP-4956</t>
  </si>
  <si>
    <t>KitchenAid Microwave, Black</t>
  </si>
  <si>
    <t>ID-2015-MG17680144-42078</t>
  </si>
  <si>
    <t>MG-17680144</t>
  </si>
  <si>
    <t>Maureen Gastineau</t>
  </si>
  <si>
    <t>IN-2015-CD1228058-42197</t>
  </si>
  <si>
    <t>CD-1228058</t>
  </si>
  <si>
    <t>ES-2015-DB13210139-42164</t>
  </si>
  <si>
    <t>DB-13210139</t>
  </si>
  <si>
    <t>Dean Braden</t>
  </si>
  <si>
    <t>TEC-MA-4206</t>
  </si>
  <si>
    <t>Epson Printer, Red</t>
  </si>
  <si>
    <t>ES-2015-CS118608-42292</t>
  </si>
  <si>
    <t>CS-118608</t>
  </si>
  <si>
    <t>Cari Schnelling</t>
  </si>
  <si>
    <t>OFF-ST-4057</t>
  </si>
  <si>
    <t>Eldon File Cart, Single Width</t>
  </si>
  <si>
    <t>IN-2015-AF1088558-42222</t>
  </si>
  <si>
    <t>AF-1088558</t>
  </si>
  <si>
    <t>Salem</t>
  </si>
  <si>
    <t>Tamil Nadu</t>
  </si>
  <si>
    <t>ID-2013-BN11470130-41633</t>
  </si>
  <si>
    <t>BN-11470130</t>
  </si>
  <si>
    <t>Brad Norvell</t>
  </si>
  <si>
    <t>ES-2013-GG1465045-41615</t>
  </si>
  <si>
    <t>GG-1465045</t>
  </si>
  <si>
    <t>Greg Guthrie</t>
  </si>
  <si>
    <t>Angers</t>
  </si>
  <si>
    <t>IR-2014-BS166560-41807</t>
  </si>
  <si>
    <t>BS-166560</t>
  </si>
  <si>
    <t>Brian Stugart</t>
  </si>
  <si>
    <t>Khorramabad</t>
  </si>
  <si>
    <t>Lorestan</t>
  </si>
  <si>
    <t>IN-2015-AC1045058-42311</t>
  </si>
  <si>
    <t>AC-1045058</t>
  </si>
  <si>
    <t>Amy Cox</t>
  </si>
  <si>
    <t>Chennai</t>
  </si>
  <si>
    <t>FUR-TA-4711</t>
  </si>
  <si>
    <t>Hon Wood Table, Fully Assembled</t>
  </si>
  <si>
    <t>ES-2013-CK1220564-41422</t>
  </si>
  <si>
    <t>CK-1220564</t>
  </si>
  <si>
    <t>Chloris Kastensmidt</t>
  </si>
  <si>
    <t>Barletta</t>
  </si>
  <si>
    <t>Apulia</t>
  </si>
  <si>
    <t>TEC-CO-4592</t>
  </si>
  <si>
    <t>Hewlett Wireless Fax, High-Speed</t>
  </si>
  <si>
    <t>ES-2014-JD16150139-41868</t>
  </si>
  <si>
    <t>JD-16150139</t>
  </si>
  <si>
    <t>Justin Deggeller</t>
  </si>
  <si>
    <t>Tamworth</t>
  </si>
  <si>
    <t>UP-2012-CC2550137-41062</t>
  </si>
  <si>
    <t>CC-2550137</t>
  </si>
  <si>
    <t>IT-2012-MS17830139-41103</t>
  </si>
  <si>
    <t>MS-17830139</t>
  </si>
  <si>
    <t>Melanie Seite</t>
  </si>
  <si>
    <t>TEC-MA-5511</t>
  </si>
  <si>
    <t>Okidata Printer, Red</t>
  </si>
  <si>
    <t>ES-2012-GT14710120-41198</t>
  </si>
  <si>
    <t>GT-14710120</t>
  </si>
  <si>
    <t>IN-2012-CL1270058-41226</t>
  </si>
  <si>
    <t>CL-1270058</t>
  </si>
  <si>
    <t>Craig Leslie</t>
  </si>
  <si>
    <t>Kulti</t>
  </si>
  <si>
    <t>ES-2015-MM1792045-42199</t>
  </si>
  <si>
    <t>MM-1792045</t>
  </si>
  <si>
    <t>Le Mans</t>
  </si>
  <si>
    <t>MX-2015-CM1216093-42158</t>
  </si>
  <si>
    <t>CM-1216093</t>
  </si>
  <si>
    <t>Charles McCrossin</t>
  </si>
  <si>
    <t>IN-2015-DB1306027-42353</t>
  </si>
  <si>
    <t>DB-1306027</t>
  </si>
  <si>
    <t>Mianyang</t>
  </si>
  <si>
    <t>TEC-PH-5263</t>
  </si>
  <si>
    <t>Motorola Signal Booster, Cordless</t>
  </si>
  <si>
    <t>MZ-2015-JW522087-42183</t>
  </si>
  <si>
    <t>JW-522087</t>
  </si>
  <si>
    <t>OFF-ST-5708</t>
  </si>
  <si>
    <t>Rogers Shelving, Wire Frame</t>
  </si>
  <si>
    <t>US-2015-BN1147082-42358</t>
  </si>
  <si>
    <t>BN-1147082</t>
  </si>
  <si>
    <t>Cadereyta</t>
  </si>
  <si>
    <t>Nuevo León</t>
  </si>
  <si>
    <t>OFF-AP-3872</t>
  </si>
  <si>
    <t>Cuisinart Stove, Black</t>
  </si>
  <si>
    <t>IN-2013-JC157757-41310</t>
  </si>
  <si>
    <t>JC-157757</t>
  </si>
  <si>
    <t>John Castell</t>
  </si>
  <si>
    <t>Bundaberg</t>
  </si>
  <si>
    <t>MX-2012-HL1504093-40929</t>
  </si>
  <si>
    <t>HL-1504093</t>
  </si>
  <si>
    <t>MX-2013-LH1690018-41489</t>
  </si>
  <si>
    <t>LH-1690018</t>
  </si>
  <si>
    <t>Lena Hernandez</t>
  </si>
  <si>
    <t>Valparaíso de Goiás</t>
  </si>
  <si>
    <t>Goiás</t>
  </si>
  <si>
    <t>ID-2015-DV1304559-42304</t>
  </si>
  <si>
    <t>DV-1304559</t>
  </si>
  <si>
    <t>Darrin Van Huff</t>
  </si>
  <si>
    <t>Manado</t>
  </si>
  <si>
    <t>Sulawesi Utara</t>
  </si>
  <si>
    <t>FUR-BO-5786</t>
  </si>
  <si>
    <t>Safco Library with Doors, Mobile</t>
  </si>
  <si>
    <t>IN-2013-BT1153058-41331</t>
  </si>
  <si>
    <t>BT-1153058</t>
  </si>
  <si>
    <t>Bradley Talbott</t>
  </si>
  <si>
    <t>Muzaffarpur</t>
  </si>
  <si>
    <t>IR-2013-BM165060-41436</t>
  </si>
  <si>
    <t>BM-165060</t>
  </si>
  <si>
    <t>Brian Moss</t>
  </si>
  <si>
    <t>Kermanshah</t>
  </si>
  <si>
    <t>IN-2012-MG1820558-40962</t>
  </si>
  <si>
    <t>MG-1820558</t>
  </si>
  <si>
    <t>Mitch Gastineau</t>
  </si>
  <si>
    <t>Thane</t>
  </si>
  <si>
    <t>Maharashtra</t>
  </si>
  <si>
    <t>MX-2014-FC1424528-41840</t>
  </si>
  <si>
    <t>FC-1424528</t>
  </si>
  <si>
    <t>Frank Carlisle</t>
  </si>
  <si>
    <t>Piedecuesta</t>
  </si>
  <si>
    <t>MX-2014-TT2122051-41727</t>
  </si>
  <si>
    <t>TT-2122051</t>
  </si>
  <si>
    <t>Thomas Thornton</t>
  </si>
  <si>
    <t>FUR-BO-5968</t>
  </si>
  <si>
    <t>Sauder Library with Doors, Pine</t>
  </si>
  <si>
    <t>IN-2015-CY1274558-42300</t>
  </si>
  <si>
    <t>CY-1274558</t>
  </si>
  <si>
    <t>Bangalore</t>
  </si>
  <si>
    <t>Karnataka</t>
  </si>
  <si>
    <t>MX-2015-SJ2021582-42179</t>
  </si>
  <si>
    <t>SJ-2021582</t>
  </si>
  <si>
    <t>Sarah Jordon</t>
  </si>
  <si>
    <t>MX-2014-PB1880593-41942</t>
  </si>
  <si>
    <t>PB-1880593</t>
  </si>
  <si>
    <t>Patrick Bzostek</t>
  </si>
  <si>
    <t>IN-2014-RW1969027-41763</t>
  </si>
  <si>
    <t>RW-1969027</t>
  </si>
  <si>
    <t>Robert Waldorf</t>
  </si>
  <si>
    <t>Xiamen</t>
  </si>
  <si>
    <t>Fujian</t>
  </si>
  <si>
    <t>ZA-2012-DB3360146-41159</t>
  </si>
  <si>
    <t>DB-3360146</t>
  </si>
  <si>
    <t>Dennis Bolton</t>
  </si>
  <si>
    <t>Kitwe</t>
  </si>
  <si>
    <t>Copperbelt</t>
  </si>
  <si>
    <t>Zambia</t>
  </si>
  <si>
    <t>FUR-TA-3442</t>
  </si>
  <si>
    <t>Bevis Wood Table, with Bottom Storage</t>
  </si>
  <si>
    <t>ES-2013-DK1315048-41386</t>
  </si>
  <si>
    <t>DK-1315048</t>
  </si>
  <si>
    <t>David Kendrick</t>
  </si>
  <si>
    <t>SF-2014-RW9540117-41942</t>
  </si>
  <si>
    <t>RW-9540117</t>
  </si>
  <si>
    <t>IN-2012-PS1904527-41014</t>
  </si>
  <si>
    <t>PS-1904527</t>
  </si>
  <si>
    <t>Penelope Sewall</t>
  </si>
  <si>
    <t>Jieyang</t>
  </si>
  <si>
    <t>FUR-CH-5411</t>
  </si>
  <si>
    <t>Novimex Swivel Stool, Adjustable</t>
  </si>
  <si>
    <t>CA-2014-AB10105140-41991</t>
  </si>
  <si>
    <t>AB-101051402</t>
  </si>
  <si>
    <t>Detroit</t>
  </si>
  <si>
    <t>Michigan</t>
  </si>
  <si>
    <t>OFF-BI-4345</t>
  </si>
  <si>
    <t>GBC Ibimaster 500 Manual ProClick Binding System</t>
  </si>
  <si>
    <t>IN-2015-MO1780066-42308</t>
  </si>
  <si>
    <t>MO-1780066</t>
  </si>
  <si>
    <t>Meg O'Connel</t>
  </si>
  <si>
    <t>Hamamatsu</t>
  </si>
  <si>
    <t>OFF-AP-3873</t>
  </si>
  <si>
    <t>Cuisinart Stove, Red</t>
  </si>
  <si>
    <t>IN-2014-NF1847527-41741</t>
  </si>
  <si>
    <t>NF-1847527</t>
  </si>
  <si>
    <t>Ningbo</t>
  </si>
  <si>
    <t>IN-2014-MR1754558-41954</t>
  </si>
  <si>
    <t>MR-1754558</t>
  </si>
  <si>
    <t>Mathew Reese</t>
  </si>
  <si>
    <t>Jodhpur</t>
  </si>
  <si>
    <t>Rajasthan</t>
  </si>
  <si>
    <t>TEC-CO-3683</t>
  </si>
  <si>
    <t>Canon Fax and Copier, Digital</t>
  </si>
  <si>
    <t>IT-2013-CB1241548-41560</t>
  </si>
  <si>
    <t>CB-1241548</t>
  </si>
  <si>
    <t>Christy Brittain</t>
  </si>
  <si>
    <t>Weimar</t>
  </si>
  <si>
    <t>Thuringia</t>
  </si>
  <si>
    <t>ID-2013-LC1705092-41560</t>
  </si>
  <si>
    <t>LC-1705092</t>
  </si>
  <si>
    <t>IN-2015-RA1988527-42034</t>
  </si>
  <si>
    <t>RA-1988527</t>
  </si>
  <si>
    <t>Ruben Ausman</t>
  </si>
  <si>
    <t>CG-2013-MG814533-41559</t>
  </si>
  <si>
    <t>MG-814533</t>
  </si>
  <si>
    <t>Mike Gockenbach</t>
  </si>
  <si>
    <t>Lubumbashi</t>
  </si>
  <si>
    <t>CA-2015-AB10105140-42161</t>
  </si>
  <si>
    <t>Pearland</t>
  </si>
  <si>
    <t>TEC-PH-5089</t>
  </si>
  <si>
    <t>LG G3</t>
  </si>
  <si>
    <t>CA-2015-AB10105140-42328</t>
  </si>
  <si>
    <t>AB-101051408</t>
  </si>
  <si>
    <t>Kentucky</t>
  </si>
  <si>
    <t>FUR-FU-2871</t>
  </si>
  <si>
    <t>3M Polarizing Task Lamp with Clamp Arm, Light Gray</t>
  </si>
  <si>
    <t>ID-2014-EM1396058-41901</t>
  </si>
  <si>
    <t>EM-1396058</t>
  </si>
  <si>
    <t>Eric Murdock</t>
  </si>
  <si>
    <t>Nagpur</t>
  </si>
  <si>
    <t>MX-2013-DJ1342082-41639</t>
  </si>
  <si>
    <t>DJ-1342082</t>
  </si>
  <si>
    <t>Denny Joy</t>
  </si>
  <si>
    <t>Villahermosa</t>
  </si>
  <si>
    <t>Tabasco</t>
  </si>
  <si>
    <t>ES-2015-CD1192045-42367</t>
  </si>
  <si>
    <t>CD-1192045</t>
  </si>
  <si>
    <t>Carlos Daly</t>
  </si>
  <si>
    <t>Oyonnax</t>
  </si>
  <si>
    <t>MX-2014-BO1142582-41958</t>
  </si>
  <si>
    <t>BO-1142582</t>
  </si>
  <si>
    <t>Bobby Odegard</t>
  </si>
  <si>
    <t>Metepec</t>
  </si>
  <si>
    <t>México</t>
  </si>
  <si>
    <t>CA-2012-AB10105140-41262</t>
  </si>
  <si>
    <t>Indianapolis</t>
  </si>
  <si>
    <t>OFF-BI-4827</t>
  </si>
  <si>
    <t>Ibico Ibimaster 300 Manual Binding System</t>
  </si>
  <si>
    <t>CA-2015-AB10105140-42143</t>
  </si>
  <si>
    <t>AB-101051404</t>
  </si>
  <si>
    <t>Portland</t>
  </si>
  <si>
    <t>TEC-PH-2879</t>
  </si>
  <si>
    <t>Aastra 6757i CT Wireless VoIP phone</t>
  </si>
  <si>
    <t>ID-2015-KM16720102-42255</t>
  </si>
  <si>
    <t>KM-16720102</t>
  </si>
  <si>
    <t>Kunst Miller</t>
  </si>
  <si>
    <t>ES-2014-SV2078545-41807</t>
  </si>
  <si>
    <t>SV-2078545</t>
  </si>
  <si>
    <t>Antony</t>
  </si>
  <si>
    <t>TEC-AC-5136</t>
  </si>
  <si>
    <t>Logitech Router, Programmable</t>
  </si>
  <si>
    <t>MX-2012-BG1169582-41250</t>
  </si>
  <si>
    <t>BG-1169582</t>
  </si>
  <si>
    <t>Brooke Gillingham</t>
  </si>
  <si>
    <t>Culiacán</t>
  </si>
  <si>
    <t>Sinaloa</t>
  </si>
  <si>
    <t>FUR-CH-5773</t>
  </si>
  <si>
    <t>SAFCO Executive Leather Armchair, Adjustable</t>
  </si>
  <si>
    <t>IN-2015-CS121307-42266</t>
  </si>
  <si>
    <t>CS-121307</t>
  </si>
  <si>
    <t>Chad Sievert</t>
  </si>
  <si>
    <t>US-2014-AB10105140-41908</t>
  </si>
  <si>
    <t>Phoenix</t>
  </si>
  <si>
    <t>Arizona</t>
  </si>
  <si>
    <t>FUR-TA-3412</t>
  </si>
  <si>
    <t>Bevis Boat-Shaped Conference Table</t>
  </si>
  <si>
    <t>IZ-2015-BD163561-42045</t>
  </si>
  <si>
    <t>BD-163561</t>
  </si>
  <si>
    <t>Brian Derr</t>
  </si>
  <si>
    <t>Al Amarah</t>
  </si>
  <si>
    <t>Maysan</t>
  </si>
  <si>
    <t>Iraq</t>
  </si>
  <si>
    <t>ES-2015-RF19345120-42043</t>
  </si>
  <si>
    <t>RF-19345120</t>
  </si>
  <si>
    <t>Randy Ferguson</t>
  </si>
  <si>
    <t>ID-2014-JE1616559-41856</t>
  </si>
  <si>
    <t>JE-1616559</t>
  </si>
  <si>
    <t>Justin Ellison</t>
  </si>
  <si>
    <t>FUR-BO-3642</t>
  </si>
  <si>
    <t>Bush Library with Doors, Traditional</t>
  </si>
  <si>
    <t>IR-2015-MG768060-42109</t>
  </si>
  <si>
    <t>MG-768060</t>
  </si>
  <si>
    <t>Mashhad</t>
  </si>
  <si>
    <t>Razavi Khorasan</t>
  </si>
  <si>
    <t>CA-2013-AB10105140-41585</t>
  </si>
  <si>
    <t>Houston</t>
  </si>
  <si>
    <t>TEC-MA-3700</t>
  </si>
  <si>
    <t>Canon PC170 Desktop Personal Copier</t>
  </si>
  <si>
    <t>IN-2015-CC1247558-42129</t>
  </si>
  <si>
    <t>CC-1247558</t>
  </si>
  <si>
    <t>Cindy Chapman</t>
  </si>
  <si>
    <t>Bhavnagar</t>
  </si>
  <si>
    <t>ES-2014-LT1676564-41947</t>
  </si>
  <si>
    <t>LT-1676564</t>
  </si>
  <si>
    <t>Larry Tron</t>
  </si>
  <si>
    <t>Rome</t>
  </si>
  <si>
    <t>Lazio</t>
  </si>
  <si>
    <t>ES-2015-FH14365120-42165</t>
  </si>
  <si>
    <t>FH-14365120</t>
  </si>
  <si>
    <t>Palma de Mallorca</t>
  </si>
  <si>
    <t>Balearic Islands</t>
  </si>
  <si>
    <t>ES-2013-BF1097545-41517</t>
  </si>
  <si>
    <t>BF-1097545</t>
  </si>
  <si>
    <t>Barbara Fisher</t>
  </si>
  <si>
    <t>Saint-Priest</t>
  </si>
  <si>
    <t>IN-2014-CJ1201027-41810</t>
  </si>
  <si>
    <t>CJ-1201027</t>
  </si>
  <si>
    <t>Caroline Jumper</t>
  </si>
  <si>
    <t>TEC-PH-3802</t>
  </si>
  <si>
    <t>Cisco Signal Booster, VoIP</t>
  </si>
  <si>
    <t>HU-2015-SH997557-42239</t>
  </si>
  <si>
    <t>SH-997557</t>
  </si>
  <si>
    <t>Sally Hughsby</t>
  </si>
  <si>
    <t>Gyor</t>
  </si>
  <si>
    <t>TEC-AC-5226</t>
  </si>
  <si>
    <t>Memorex Router, USB</t>
  </si>
  <si>
    <t>US-2013-SL2015582-41422</t>
  </si>
  <si>
    <t>SL-2015582</t>
  </si>
  <si>
    <t>Sara Luxemburg</t>
  </si>
  <si>
    <t>FUR-BO-4861</t>
  </si>
  <si>
    <t>Ikea Library with Doors, Mobile</t>
  </si>
  <si>
    <t>LI-2015-NC834073-42143</t>
  </si>
  <si>
    <t>NC-834073</t>
  </si>
  <si>
    <t>Monrovia</t>
  </si>
  <si>
    <t>Montserrado</t>
  </si>
  <si>
    <t>Liberia</t>
  </si>
  <si>
    <t>TEC-CO-6009</t>
  </si>
  <si>
    <t>Sharp Wireless Fax, Color</t>
  </si>
  <si>
    <t>SF-2014-JB5400117-41758</t>
  </si>
  <si>
    <t>JB-5400117</t>
  </si>
  <si>
    <t>Jennifer Braxton</t>
  </si>
  <si>
    <t>FUR-TA-4712</t>
  </si>
  <si>
    <t>Hon Wood Table, Rectangular</t>
  </si>
  <si>
    <t>MX-2015-TB2125031-42289</t>
  </si>
  <si>
    <t>TB-2125031</t>
  </si>
  <si>
    <t>Tim Brockman</t>
  </si>
  <si>
    <t>Santiago de Cuba</t>
  </si>
  <si>
    <t>FUR-TA-3760</t>
  </si>
  <si>
    <t>Chromcraft Computer Table, Fully Assembled</t>
  </si>
  <si>
    <t>MX-2015-PS1897028-42109</t>
  </si>
  <si>
    <t>PS-1897028</t>
  </si>
  <si>
    <t>Paul Stevenson</t>
  </si>
  <si>
    <t>Bogotá</t>
  </si>
  <si>
    <t>Bogota</t>
  </si>
  <si>
    <t>ES-2015-BB1154548-42336</t>
  </si>
  <si>
    <t>BB-1154548</t>
  </si>
  <si>
    <t>Brenda Bowman</t>
  </si>
  <si>
    <t>Erlangen</t>
  </si>
  <si>
    <t>FUR-BO-5788</t>
  </si>
  <si>
    <t>Safco Library with Doors, Traditional</t>
  </si>
  <si>
    <t>GG-2013-SG1047047-41405</t>
  </si>
  <si>
    <t>SG-1047047</t>
  </si>
  <si>
    <t>Tbilisi</t>
  </si>
  <si>
    <t>IN-2014-SP20920130-41808</t>
  </si>
  <si>
    <t>SP-20920130</t>
  </si>
  <si>
    <t>Susan Pistek</t>
  </si>
  <si>
    <t>IN-2013-NZ1856558-41398</t>
  </si>
  <si>
    <t>NZ-1856558</t>
  </si>
  <si>
    <t>Jaipur</t>
  </si>
  <si>
    <t>IN-2012-Dp1324027-41223</t>
  </si>
  <si>
    <t>Dp-1324027</t>
  </si>
  <si>
    <t>Dean percer</t>
  </si>
  <si>
    <t>Gansu</t>
  </si>
  <si>
    <t>ES-2015-GZ1447064-42362</t>
  </si>
  <si>
    <t>GZ-1447064</t>
  </si>
  <si>
    <t>Gary Zandusky</t>
  </si>
  <si>
    <t>Reggio nell'Emilia</t>
  </si>
  <si>
    <t>Emilia-Romagna</t>
  </si>
  <si>
    <t>MX-2015-AH1007582-42139</t>
  </si>
  <si>
    <t>AH-1007582</t>
  </si>
  <si>
    <t>Azcapotzalco</t>
  </si>
  <si>
    <t>PL-2015-CB2025103-42347</t>
  </si>
  <si>
    <t>CB-2025103</t>
  </si>
  <si>
    <t>Cassandra Brandow</t>
  </si>
  <si>
    <t>Lublin</t>
  </si>
  <si>
    <t>TEC-CO-5997</t>
  </si>
  <si>
    <t>Sharp Fax Machine, Color</t>
  </si>
  <si>
    <t>IN-2012-SC200507-41249</t>
  </si>
  <si>
    <t>SC-200507</t>
  </si>
  <si>
    <t>Sample Company A</t>
  </si>
  <si>
    <t>IT-2014-AM10705125-41892</t>
  </si>
  <si>
    <t>AM-10705125</t>
  </si>
  <si>
    <t>Zurich</t>
  </si>
  <si>
    <t>Zürich</t>
  </si>
  <si>
    <t>Switzerland</t>
  </si>
  <si>
    <t>AL-2012-SC102302-40970</t>
  </si>
  <si>
    <t>SC-102302</t>
  </si>
  <si>
    <t>Scot Coram</t>
  </si>
  <si>
    <t>Elbasan</t>
  </si>
  <si>
    <t>Albania</t>
  </si>
  <si>
    <t>TEC-MA-6138</t>
  </si>
  <si>
    <t>StarTech Card Printer, White</t>
  </si>
  <si>
    <t>ID-2013-JS1559559-41275</t>
  </si>
  <si>
    <t>JS-1559559</t>
  </si>
  <si>
    <t>Jill Stevenson</t>
  </si>
  <si>
    <t>ID-2013-BS1138059-41577</t>
  </si>
  <si>
    <t>BS-1138059</t>
  </si>
  <si>
    <t>Bill Stewart</t>
  </si>
  <si>
    <t>IN-2014-TC21295130-41962</t>
  </si>
  <si>
    <t>TC-21295130</t>
  </si>
  <si>
    <t>RS-2014-JL5130108-41866</t>
  </si>
  <si>
    <t>JL-5130108</t>
  </si>
  <si>
    <t>Jack Lebron</t>
  </si>
  <si>
    <t>Voronezh</t>
  </si>
  <si>
    <t>IN-2014-Dp1324066-41798</t>
  </si>
  <si>
    <t>Dp-1324066</t>
  </si>
  <si>
    <t>Shimonoseki</t>
  </si>
  <si>
    <t>Yamaguchi</t>
  </si>
  <si>
    <t>IN-2015-NF1838511-42279</t>
  </si>
  <si>
    <t>NF-1838511</t>
  </si>
  <si>
    <t>ES-2015-AS10090139-42062</t>
  </si>
  <si>
    <t>AS-10090139</t>
  </si>
  <si>
    <t>IN-2014-EL137357-41943</t>
  </si>
  <si>
    <t>EL-137357</t>
  </si>
  <si>
    <t>Ed Ludwig</t>
  </si>
  <si>
    <t>IN-2014-FH1427559-41991</t>
  </si>
  <si>
    <t>FH-1427559</t>
  </si>
  <si>
    <t>Frank Hawley</t>
  </si>
  <si>
    <t>Palu</t>
  </si>
  <si>
    <t>Sulawesi Tengah</t>
  </si>
  <si>
    <t>FUR-BO-3904</t>
  </si>
  <si>
    <t>Dania Library with Doors, Traditional</t>
  </si>
  <si>
    <t>IN-2015-LT1676558-42133</t>
  </si>
  <si>
    <t>LT-1676558</t>
  </si>
  <si>
    <t>Imphal</t>
  </si>
  <si>
    <t>Manipur</t>
  </si>
  <si>
    <t>FUR-TA-5057</t>
  </si>
  <si>
    <t>Lesro Conference Table, Adjustable Height</t>
  </si>
  <si>
    <t>IN-2015-BN1147027-42189</t>
  </si>
  <si>
    <t>BN-1147027</t>
  </si>
  <si>
    <t>Shenyang</t>
  </si>
  <si>
    <t>ES-2013-BP11230120-41411</t>
  </si>
  <si>
    <t>BP-11230120</t>
  </si>
  <si>
    <t>OFF-AP-3576</t>
  </si>
  <si>
    <t>Breville Refrigerator, Silver</t>
  </si>
  <si>
    <t>IN-2012-DM1352558-41123</t>
  </si>
  <si>
    <t>DM-1352558</t>
  </si>
  <si>
    <t>TEC-PH-5813</t>
  </si>
  <si>
    <t>Samsung Audio Dock, Full Size</t>
  </si>
  <si>
    <t>CA-2015-AB10105140-42267</t>
  </si>
  <si>
    <t>TEC-PH-5625</t>
  </si>
  <si>
    <t>Polycom VoiceStation 500 Conference phone</t>
  </si>
  <si>
    <t>CD-2014-SM1032025-41684</t>
  </si>
  <si>
    <t>SM-1032025</t>
  </si>
  <si>
    <t>Sean Miller</t>
  </si>
  <si>
    <t>Koumra</t>
  </si>
  <si>
    <t>Mandoul</t>
  </si>
  <si>
    <t>Chad</t>
  </si>
  <si>
    <t>OFF-ST-6033</t>
  </si>
  <si>
    <t>Smead File Cart, Single Width</t>
  </si>
  <si>
    <t>IN-2013-PM191357-41417</t>
  </si>
  <si>
    <t>PM-191357</t>
  </si>
  <si>
    <t>Peter McVee</t>
  </si>
  <si>
    <t>Ballarat</t>
  </si>
  <si>
    <t>MW-2015-TS1143085-42220</t>
  </si>
  <si>
    <t>TS-1143085</t>
  </si>
  <si>
    <t>Tom Stivers</t>
  </si>
  <si>
    <t>Podgorica</t>
  </si>
  <si>
    <t>Montenegro</t>
  </si>
  <si>
    <t>MX-2014-TS2134018-41956</t>
  </si>
  <si>
    <t>TS-2134018</t>
  </si>
  <si>
    <t>Ribeirão Preto</t>
  </si>
  <si>
    <t>IN-2015-AM107057-42047</t>
  </si>
  <si>
    <t>AM-107057</t>
  </si>
  <si>
    <t>TEC-AC-4186</t>
  </si>
  <si>
    <t>Enermax Router, Erganomic</t>
  </si>
  <si>
    <t>MX-2015-LS1724582-42319</t>
  </si>
  <si>
    <t>LS-1724582</t>
  </si>
  <si>
    <t>Lynn Smith</t>
  </si>
  <si>
    <t>Zapopan</t>
  </si>
  <si>
    <t>Jalisco</t>
  </si>
  <si>
    <t>IN-2014-DR129407-41728</t>
  </si>
  <si>
    <t>IN-2014-CM1181597-41870</t>
  </si>
  <si>
    <t>CM-1181597</t>
  </si>
  <si>
    <t>Candace McMahon</t>
  </si>
  <si>
    <t>ES-2015-FG1426045-42153</t>
  </si>
  <si>
    <t>FG-1426045</t>
  </si>
  <si>
    <t>Frank Gastineau</t>
  </si>
  <si>
    <t>Bordeaux</t>
  </si>
  <si>
    <t>OFF-AP-3865</t>
  </si>
  <si>
    <t>Cuisinart Microwave, Red</t>
  </si>
  <si>
    <t>IR-2013-KN670560-41508</t>
  </si>
  <si>
    <t>KN-670560</t>
  </si>
  <si>
    <t>Kristina Nunn</t>
  </si>
  <si>
    <t>Hamadan</t>
  </si>
  <si>
    <t>WA-2015-TB1152089-42190</t>
  </si>
  <si>
    <t>TB-1152089</t>
  </si>
  <si>
    <t>Tracy Blumstein</t>
  </si>
  <si>
    <t>Windhoek</t>
  </si>
  <si>
    <t>Khomas</t>
  </si>
  <si>
    <t>Namibia</t>
  </si>
  <si>
    <t>TEC-AC-5224</t>
  </si>
  <si>
    <t>Memorex Router, Erganomic</t>
  </si>
  <si>
    <t>IT-2013-GM1444091-41347</t>
  </si>
  <si>
    <t>GM-1444091</t>
  </si>
  <si>
    <t>Eindhoven</t>
  </si>
  <si>
    <t>CA-2015-AB10523-42139</t>
  </si>
  <si>
    <t>AB-10523</t>
  </si>
  <si>
    <t>Toronto</t>
  </si>
  <si>
    <t>OFF-AR-6111</t>
  </si>
  <si>
    <t>Stanley Highlighters, Easy-Erase</t>
  </si>
  <si>
    <t>MX-2015-JB1540051-42263</t>
  </si>
  <si>
    <t>JB-1540051</t>
  </si>
  <si>
    <t>Quetzaltenango</t>
  </si>
  <si>
    <t>Quezaltenango</t>
  </si>
  <si>
    <t>IN-2015-JS1603097-42223</t>
  </si>
  <si>
    <t>JS-1603097</t>
  </si>
  <si>
    <t>FUR-CH-5775</t>
  </si>
  <si>
    <t>SAFCO Executive Leather Armchair, Red</t>
  </si>
  <si>
    <t>IN-2014-AM10705102-41891</t>
  </si>
  <si>
    <t>AM-10705102</t>
  </si>
  <si>
    <t>TEC-CO-3707</t>
  </si>
  <si>
    <t>Canon Wireless Fax, Color</t>
  </si>
  <si>
    <t>MX-2015-SF2020039-42255</t>
  </si>
  <si>
    <t>SF-2020039</t>
  </si>
  <si>
    <t>Antiguo Cuscatlán</t>
  </si>
  <si>
    <t>La Libertad</t>
  </si>
  <si>
    <t>MX-2013-JF1529531-41564</t>
  </si>
  <si>
    <t>JF-1529531</t>
  </si>
  <si>
    <t>Guantánamo</t>
  </si>
  <si>
    <t>ID-2015-KH16510102-42052</t>
  </si>
  <si>
    <t>KH-16510102</t>
  </si>
  <si>
    <t>Keith Herrera</t>
  </si>
  <si>
    <t>Bacolod City</t>
  </si>
  <si>
    <t>Western Visayas</t>
  </si>
  <si>
    <t>IN-2013-DL1333058-41328</t>
  </si>
  <si>
    <t>DL-1333058</t>
  </si>
  <si>
    <t>Denise Leinenbach</t>
  </si>
  <si>
    <t>IN-2013-KN163907-41611</t>
  </si>
  <si>
    <t>KN-163907</t>
  </si>
  <si>
    <t>Katherine Nockton</t>
  </si>
  <si>
    <t>Kwinana</t>
  </si>
  <si>
    <t>IN-2013-SV2093527-41620</t>
  </si>
  <si>
    <t>SV-2093527</t>
  </si>
  <si>
    <t>Susan Vittorini</t>
  </si>
  <si>
    <t>IN-2015-MD178607-42171</t>
  </si>
  <si>
    <t>MD-178607</t>
  </si>
  <si>
    <t>Michael Dominguez</t>
  </si>
  <si>
    <t>ES-2013-LS1720045-41628</t>
  </si>
  <si>
    <t>LS-1720045</t>
  </si>
  <si>
    <t>Luke Schmidt</t>
  </si>
  <si>
    <t>Deuil-la-Barre</t>
  </si>
  <si>
    <t>MX-2015-JM1586582-42137</t>
  </si>
  <si>
    <t>JM-1586582</t>
  </si>
  <si>
    <t>John Murray</t>
  </si>
  <si>
    <t>CA-2015-AB10105140-42220</t>
  </si>
  <si>
    <t>Bloomington</t>
  </si>
  <si>
    <t>TEC-AC-4936</t>
  </si>
  <si>
    <t>Kensington K72356US Mouse-in-a-Box USB Desktop Mouse</t>
  </si>
  <si>
    <t>IN-2015-CM124457-42315</t>
  </si>
  <si>
    <t>CM-124457</t>
  </si>
  <si>
    <t>Chuck Magee</t>
  </si>
  <si>
    <t>IT-2014-SS20140104-41800</t>
  </si>
  <si>
    <t>SS-20140104</t>
  </si>
  <si>
    <t>Saphhira Shifley</t>
  </si>
  <si>
    <t>Lisbon</t>
  </si>
  <si>
    <t>Lisboa</t>
  </si>
  <si>
    <t>Portugal</t>
  </si>
  <si>
    <t>IN-2013-BW1111058-41404</t>
  </si>
  <si>
    <t>BW-1111058</t>
  </si>
  <si>
    <t>Jhansi</t>
  </si>
  <si>
    <t>TEC-MA-5014</t>
  </si>
  <si>
    <t>Konica Printer, Durable</t>
  </si>
  <si>
    <t>IN-2014-JE1561058-41895</t>
  </si>
  <si>
    <t>JE-1561058</t>
  </si>
  <si>
    <t>Jim Epp</t>
  </si>
  <si>
    <t>Amravati</t>
  </si>
  <si>
    <t>TEC-PH-5336</t>
  </si>
  <si>
    <t>Nokia Audio Dock, Full Size</t>
  </si>
  <si>
    <t>IN-2014-GH1442527-41845</t>
  </si>
  <si>
    <t>GH-1442527</t>
  </si>
  <si>
    <t>Gary Hwang</t>
  </si>
  <si>
    <t>Wafangdian</t>
  </si>
  <si>
    <t>IN-2015-JK1609058-42288</t>
  </si>
  <si>
    <t>JK-1609058</t>
  </si>
  <si>
    <t>Juliana Krohn</t>
  </si>
  <si>
    <t>OFF-AP-4958</t>
  </si>
  <si>
    <t>KitchenAid Microwave, Silver</t>
  </si>
  <si>
    <t>MX-2012-SM2032036-41234</t>
  </si>
  <si>
    <t>SM-2032036</t>
  </si>
  <si>
    <t>San Juan de la Maguana</t>
  </si>
  <si>
    <t>San Juan</t>
  </si>
  <si>
    <t>OFF-AP-3570</t>
  </si>
  <si>
    <t>Breville Microwave, Black</t>
  </si>
  <si>
    <t>US-2015-GR1456082-42302</t>
  </si>
  <si>
    <t>GR-1456082</t>
  </si>
  <si>
    <t>FUR-TA-5062</t>
  </si>
  <si>
    <t>Lesro Round Table, Adjustable Height</t>
  </si>
  <si>
    <t>CA-2014-AB10105140-41672</t>
  </si>
  <si>
    <t>AB-101051406</t>
  </si>
  <si>
    <t>OFF-ST-3360</t>
  </si>
  <si>
    <t>Belkin 19" Center-Weighted Shelf, Gray</t>
  </si>
  <si>
    <t>MA-2014-DH367577-41926</t>
  </si>
  <si>
    <t>DH-367577</t>
  </si>
  <si>
    <t>Duane Huffman</t>
  </si>
  <si>
    <t>Antananarivo</t>
  </si>
  <si>
    <t>Analamanga</t>
  </si>
  <si>
    <t>Madagascar</t>
  </si>
  <si>
    <t>TEC-MA-6148</t>
  </si>
  <si>
    <t>StarTech Printer, Red</t>
  </si>
  <si>
    <t>RS-2012-MM8280108-40953</t>
  </si>
  <si>
    <t>MM-8280108</t>
  </si>
  <si>
    <t>Muhammed MacIntyre</t>
  </si>
  <si>
    <t>Ufa</t>
  </si>
  <si>
    <t>Bashkortostan</t>
  </si>
  <si>
    <t>TEC-CO-3686</t>
  </si>
  <si>
    <t>Canon Fax Machine, Color</t>
  </si>
  <si>
    <t>IR-2012-PM913560-40978</t>
  </si>
  <si>
    <t>PM-913560</t>
  </si>
  <si>
    <t>Tehran</t>
  </si>
  <si>
    <t>IN-2013-GH144257-41489</t>
  </si>
  <si>
    <t>GH-144257</t>
  </si>
  <si>
    <t>Bendigo</t>
  </si>
  <si>
    <t>ID-2013-JM1586597-41628</t>
  </si>
  <si>
    <t>JM-1586597</t>
  </si>
  <si>
    <t>Quetta</t>
  </si>
  <si>
    <t>Baluchistan</t>
  </si>
  <si>
    <t>ES-2013-CM1211564-41489</t>
  </si>
  <si>
    <t>CM-1211564</t>
  </si>
  <si>
    <t>Rovigo</t>
  </si>
  <si>
    <t>TEC-CO-4765</t>
  </si>
  <si>
    <t>HP Copy Machine, Color</t>
  </si>
  <si>
    <t>IN-2013-SC2084527-41445</t>
  </si>
  <si>
    <t>SC-2084527</t>
  </si>
  <si>
    <t>MO-2014-GP474086-41678</t>
  </si>
  <si>
    <t>GP-474086</t>
  </si>
  <si>
    <t>OFF-AP-4731</t>
  </si>
  <si>
    <t>Hoover Microwave, Red</t>
  </si>
  <si>
    <t>ES-2012-AF1087014-41179</t>
  </si>
  <si>
    <t>AF-1087014</t>
  </si>
  <si>
    <t>Art Ferguson</t>
  </si>
  <si>
    <t>IT-2013-TS2150545-41448</t>
  </si>
  <si>
    <t>TS-2150545</t>
  </si>
  <si>
    <t>Tony Sayre</t>
  </si>
  <si>
    <t>MX-2014-CR1273028-41993</t>
  </si>
  <si>
    <t>CR-1273028</t>
  </si>
  <si>
    <t>Soacha</t>
  </si>
  <si>
    <t>Cundinamarca</t>
  </si>
  <si>
    <t>ID-2012-BM115757-41149</t>
  </si>
  <si>
    <t>BM-115757</t>
  </si>
  <si>
    <t>Brendan Murry</t>
  </si>
  <si>
    <t>FUR-TA-5071</t>
  </si>
  <si>
    <t>Lesro Wood Table, Adjustable Height</t>
  </si>
  <si>
    <t>ES-2015-AH100308-42203</t>
  </si>
  <si>
    <t>AH-100308</t>
  </si>
  <si>
    <t>IN-2012-AG1049527-41248</t>
  </si>
  <si>
    <t>AG-1049527</t>
  </si>
  <si>
    <t>Andrew Gjertsen</t>
  </si>
  <si>
    <t>ES-2015-BN11470139-42110</t>
  </si>
  <si>
    <t>BN-11470139</t>
  </si>
  <si>
    <t>Dudley</t>
  </si>
  <si>
    <t>FUR-BO-5778</t>
  </si>
  <si>
    <t>Safco Floating Shelf Set, Mobile</t>
  </si>
  <si>
    <t>AU-2012-AG6758-41153</t>
  </si>
  <si>
    <t>AG-6758</t>
  </si>
  <si>
    <t>Anna Gayman</t>
  </si>
  <si>
    <t>FUR-TA-4646</t>
  </si>
  <si>
    <t>Hon Conference Table, Fully Assembled</t>
  </si>
  <si>
    <t>ES-2014-SW2075545-41852</t>
  </si>
  <si>
    <t>SW-2075545</t>
  </si>
  <si>
    <t>Steven Ward</t>
  </si>
  <si>
    <t>Ris-Orangis</t>
  </si>
  <si>
    <t>ES-2015-SK1999045-42222</t>
  </si>
  <si>
    <t>SK-1999045</t>
  </si>
  <si>
    <t>Sally Knutson</t>
  </si>
  <si>
    <t>Levallois-Perret</t>
  </si>
  <si>
    <t>TEC-AC-5896</t>
  </si>
  <si>
    <t>SanDisk Router, Programmable</t>
  </si>
  <si>
    <t>IN-2015-MP18175144-42328</t>
  </si>
  <si>
    <t>MP-18175144</t>
  </si>
  <si>
    <t>MX-2013-AG1090082-41398</t>
  </si>
  <si>
    <t>AG-1090082</t>
  </si>
  <si>
    <t>Arthur Gainer</t>
  </si>
  <si>
    <t>MO-2013-AJ96086-41513</t>
  </si>
  <si>
    <t>AJ-96086</t>
  </si>
  <si>
    <t>Astrea Jones</t>
  </si>
  <si>
    <t>UP-2014-MC7275137-41997</t>
  </si>
  <si>
    <t>MC-7275137</t>
  </si>
  <si>
    <t>Marc Crier</t>
  </si>
  <si>
    <t>Luts'k</t>
  </si>
  <si>
    <t>Volyn</t>
  </si>
  <si>
    <t>IT-2014-JF15295120-41668</t>
  </si>
  <si>
    <t>IN-2013-EJ13720113-41608</t>
  </si>
  <si>
    <t>EJ-13720113</t>
  </si>
  <si>
    <t>Ed Jacobs</t>
  </si>
  <si>
    <t>FUR-BO-3889</t>
  </si>
  <si>
    <t>Dania Classic Bookcase, Metal</t>
  </si>
  <si>
    <t>MX-2014-MS1736539-41780</t>
  </si>
  <si>
    <t>MS-1736539</t>
  </si>
  <si>
    <t>Maribeth Schnelling</t>
  </si>
  <si>
    <t>ES-2015-DH13675139-42182</t>
  </si>
  <si>
    <t>DH-13675139</t>
  </si>
  <si>
    <t>Stoke-on-Trent</t>
  </si>
  <si>
    <t>MX-2014-HE1480018-41845</t>
  </si>
  <si>
    <t>HE-1480018</t>
  </si>
  <si>
    <t>Harold Engle</t>
  </si>
  <si>
    <t>FUR-TA-4647</t>
  </si>
  <si>
    <t>Hon Conference Table, Rectangular</t>
  </si>
  <si>
    <t>IN-2012-SB2017027-41208</t>
  </si>
  <si>
    <t>SB-2017027</t>
  </si>
  <si>
    <t>Sarah Bern</t>
  </si>
  <si>
    <t>Huaibei</t>
  </si>
  <si>
    <t>FUR-BO-4851</t>
  </si>
  <si>
    <t>Ikea Classic Bookcase, Traditional</t>
  </si>
  <si>
    <t>IN-2013-VT2170092-41634</t>
  </si>
  <si>
    <t>VT-2170092</t>
  </si>
  <si>
    <t>Valerie Takahito</t>
  </si>
  <si>
    <t>Masterton</t>
  </si>
  <si>
    <t>FUR-BO-5949</t>
  </si>
  <si>
    <t>Sauder Classic Bookcase, Mobile</t>
  </si>
  <si>
    <t>IN-2013-BC1112592-41401</t>
  </si>
  <si>
    <t>BC-1112592</t>
  </si>
  <si>
    <t>Becky Castell</t>
  </si>
  <si>
    <t>Whangarei</t>
  </si>
  <si>
    <t>Northland</t>
  </si>
  <si>
    <t>TEC-CO-4576</t>
  </si>
  <si>
    <t>Hewlett Fax Machine, Digital</t>
  </si>
  <si>
    <t>IN-2012-NF1859527-40916</t>
  </si>
  <si>
    <t>NF-1859527</t>
  </si>
  <si>
    <t>Nicole Fjeld</t>
  </si>
  <si>
    <t>Kunming</t>
  </si>
  <si>
    <t>Yunnan</t>
  </si>
  <si>
    <t>TEC-MA-5548</t>
  </si>
  <si>
    <t>Panasonic Inkjet, White</t>
  </si>
  <si>
    <t>CA-2014-AH10120140-41992</t>
  </si>
  <si>
    <t>AH-101201404</t>
  </si>
  <si>
    <t>Adrian Hane</t>
  </si>
  <si>
    <t>FUR-TA-4841</t>
  </si>
  <si>
    <t>Iceberg OfficeWorks 42" Round Tables</t>
  </si>
  <si>
    <t>CA-2015-AH10120140-42103</t>
  </si>
  <si>
    <t>OFF-PA-6497</t>
  </si>
  <si>
    <t>Xerox 1942</t>
  </si>
  <si>
    <t>IT-2012-RB19330120-41077</t>
  </si>
  <si>
    <t>RB-19330120</t>
  </si>
  <si>
    <t>Pamplona</t>
  </si>
  <si>
    <t>Navarra</t>
  </si>
  <si>
    <t>FUR-BO-4860</t>
  </si>
  <si>
    <t>Ikea Library with Doors, Metal</t>
  </si>
  <si>
    <t>ES-2013-CS11950124-41283</t>
  </si>
  <si>
    <t>CS-11950124</t>
  </si>
  <si>
    <t>Carlos Soltero</t>
  </si>
  <si>
    <t>Haninge</t>
  </si>
  <si>
    <t>Stockholm</t>
  </si>
  <si>
    <t>Sweden</t>
  </si>
  <si>
    <t>ES-2015-BW11110120-42046</t>
  </si>
  <si>
    <t>BW-11110120</t>
  </si>
  <si>
    <t>Oviedo</t>
  </si>
  <si>
    <t>Asturias</t>
  </si>
  <si>
    <t>OFF-AP-3868</t>
  </si>
  <si>
    <t>Cuisinart Refrigerator, Black</t>
  </si>
  <si>
    <t>CA-2012-AH10120140-41107</t>
  </si>
  <si>
    <t>Tucson</t>
  </si>
  <si>
    <t>FUR-CH-5428</t>
  </si>
  <si>
    <t>Office Star - Ergonomically Designed Knee Chair</t>
  </si>
  <si>
    <t>IN-2013-LW1682558-41376</t>
  </si>
  <si>
    <t>LW-1682558</t>
  </si>
  <si>
    <t>Laurel Workman</t>
  </si>
  <si>
    <t>Nasik</t>
  </si>
  <si>
    <t>ES-2015-RD19585120-42007</t>
  </si>
  <si>
    <t>RD-19585120</t>
  </si>
  <si>
    <t>Rob Dowd</t>
  </si>
  <si>
    <t>Torrevieja</t>
  </si>
  <si>
    <t>TEC-CO-3681</t>
  </si>
  <si>
    <t>Canon Copy Machine, Laser</t>
  </si>
  <si>
    <t>IN-2015-BT1168066-42351</t>
  </si>
  <si>
    <t>BT-1168066</t>
  </si>
  <si>
    <t>Brian Thompson</t>
  </si>
  <si>
    <t>Ube</t>
  </si>
  <si>
    <t>CA-2015-AH10120140-42188</t>
  </si>
  <si>
    <t>AH-101201402</t>
  </si>
  <si>
    <t>OFF-PA-6361</t>
  </si>
  <si>
    <t>White Dual Perf Computer Printout Paper, 2700 Sheets, 1 Part, Heavyweight, 20 lbs., 14 7/8 x 11</t>
  </si>
  <si>
    <t>CA-2015-AH10120140-42234</t>
  </si>
  <si>
    <t>AH-101201408</t>
  </si>
  <si>
    <t>Louisville</t>
  </si>
  <si>
    <t>TEC-AC-5097</t>
  </si>
  <si>
    <t>Logitech Desktop MK120 Mouse and keyboard Combo</t>
  </si>
  <si>
    <t>IT-2015-TB2117564-42284</t>
  </si>
  <si>
    <t>TB-2117564</t>
  </si>
  <si>
    <t>Thomas Boland</t>
  </si>
  <si>
    <t>Pozzuoli</t>
  </si>
  <si>
    <t>Campania</t>
  </si>
  <si>
    <t>FUR-BO-5972</t>
  </si>
  <si>
    <t>Sauder Stackable Bookrack, Pine</t>
  </si>
  <si>
    <t>UP-2014-MD7860137-41810</t>
  </si>
  <si>
    <t>MD-7860137</t>
  </si>
  <si>
    <t>Poltava</t>
  </si>
  <si>
    <t>OFF-AP-4498</t>
  </si>
  <si>
    <t>Hamilton Beach Microwave, Red</t>
  </si>
  <si>
    <t>IN-2015-JH1618059-42196</t>
  </si>
  <si>
    <t>JH-1618059</t>
  </si>
  <si>
    <t>Depok</t>
  </si>
  <si>
    <t>FUR-BO-3887</t>
  </si>
  <si>
    <t>Dania 3-Shelf Cabinet, Pine</t>
  </si>
  <si>
    <t>ES-2015-CC1214548-42118</t>
  </si>
  <si>
    <t>CC-1214548</t>
  </si>
  <si>
    <t>Charles Crestani</t>
  </si>
  <si>
    <t>Regensburg</t>
  </si>
  <si>
    <t>MX-2012-XP2186539-41032</t>
  </si>
  <si>
    <t>XP-2186539</t>
  </si>
  <si>
    <t>Xylona Preis</t>
  </si>
  <si>
    <t>FUR-TA-4713</t>
  </si>
  <si>
    <t>Hon Wood Table, with Bottom Storage</t>
  </si>
  <si>
    <t>IN-2012-TS2137058-41187</t>
  </si>
  <si>
    <t>TS-2137058</t>
  </si>
  <si>
    <t>Todd Sumrall</t>
  </si>
  <si>
    <t>Visakhapatnam</t>
  </si>
  <si>
    <t>Andhra Pradesh</t>
  </si>
  <si>
    <t>MX-2015-ML1741031-42320</t>
  </si>
  <si>
    <t>ML-1741031</t>
  </si>
  <si>
    <t>Maris LaWare</t>
  </si>
  <si>
    <t>FUR-BO-3892</t>
  </si>
  <si>
    <t>Dania Classic Bookcase, Traditional</t>
  </si>
  <si>
    <t>ES-2014-BS1166545-41734</t>
  </si>
  <si>
    <t>BS-1166545</t>
  </si>
  <si>
    <t>Clamart</t>
  </si>
  <si>
    <t>IT-2015-CA1196548-42195</t>
  </si>
  <si>
    <t>CA-1196548</t>
  </si>
  <si>
    <t>Garbsen</t>
  </si>
  <si>
    <t>FUR-BO-5942</t>
  </si>
  <si>
    <t>Sauder 3-Shelf Cabinet, Pine</t>
  </si>
  <si>
    <t>IN-2015-QJ1925527-42283</t>
  </si>
  <si>
    <t>QJ-1925527</t>
  </si>
  <si>
    <t>Quincy Jones</t>
  </si>
  <si>
    <t>Jixi</t>
  </si>
  <si>
    <t>MX-2014-RE1945036-41791</t>
  </si>
  <si>
    <t>RE-1945036</t>
  </si>
  <si>
    <t>Richard Eichhorn</t>
  </si>
  <si>
    <t>SF-2013-CP2085117-41506</t>
  </si>
  <si>
    <t>CP-2085117</t>
  </si>
  <si>
    <t>Cathy Prescott</t>
  </si>
  <si>
    <t>Potchefstroom</t>
  </si>
  <si>
    <t>North-West</t>
  </si>
  <si>
    <t>RS-2012-JK5730108-41150</t>
  </si>
  <si>
    <t>JK-5730108</t>
  </si>
  <si>
    <t>Joe Kamberova</t>
  </si>
  <si>
    <t>Vladimir</t>
  </si>
  <si>
    <t>FUR-TA-3759</t>
  </si>
  <si>
    <t>Chromcraft Computer Table, Adjustable Height</t>
  </si>
  <si>
    <t>ES-2013-HZ1495045-41612</t>
  </si>
  <si>
    <t>HZ-1495045</t>
  </si>
  <si>
    <t>ID-2015-AR105707-42290</t>
  </si>
  <si>
    <t>AR-105707</t>
  </si>
  <si>
    <t>Anemone Ratner</t>
  </si>
  <si>
    <t>TEC-CO-4791</t>
  </si>
  <si>
    <t>HP Wireless Fax, High-Speed</t>
  </si>
  <si>
    <t>IT-2014-EH14005120-41992</t>
  </si>
  <si>
    <t>EH-14005120</t>
  </si>
  <si>
    <t>Erica Hernandez</t>
  </si>
  <si>
    <t>Burgos</t>
  </si>
  <si>
    <t>Castile and León</t>
  </si>
  <si>
    <t>OFF-ST-6248</t>
  </si>
  <si>
    <t>Tenex File Cart, Single Width</t>
  </si>
  <si>
    <t>IN-2013-JR1570058-41441</t>
  </si>
  <si>
    <t>JR-1570058</t>
  </si>
  <si>
    <t>Jocasta Rupert</t>
  </si>
  <si>
    <t>Kollam</t>
  </si>
  <si>
    <t>IN-2014-PL1892588-41871</t>
  </si>
  <si>
    <t>PL-1892588</t>
  </si>
  <si>
    <t>Paul Lucas</t>
  </si>
  <si>
    <t>Yangon</t>
  </si>
  <si>
    <t>Myanmar (Burma)</t>
  </si>
  <si>
    <t>MX-2013-TC2114582-41446</t>
  </si>
  <si>
    <t>TC-2114582</t>
  </si>
  <si>
    <t>Theresa Coyne</t>
  </si>
  <si>
    <t>MX-2013-DG1330082-41417</t>
  </si>
  <si>
    <t>DG-1330082</t>
  </si>
  <si>
    <t>OFF-AP-4500</t>
  </si>
  <si>
    <t>Hamilton Beach Microwave, White</t>
  </si>
  <si>
    <t>ES-2014-LW1699045-41759</t>
  </si>
  <si>
    <t>LW-1699045</t>
  </si>
  <si>
    <t>Lindsay Williams</t>
  </si>
  <si>
    <t>Bondy</t>
  </si>
  <si>
    <t>TEC-MA-5016</t>
  </si>
  <si>
    <t>Konica Printer, White</t>
  </si>
  <si>
    <t>ES-2013-Dl1360045-41440</t>
  </si>
  <si>
    <t>Dl-1360045</t>
  </si>
  <si>
    <t>Dorris liebe</t>
  </si>
  <si>
    <t>Mont-de-Marsan</t>
  </si>
  <si>
    <t>TEC-AC-5135</t>
  </si>
  <si>
    <t>Logitech Router, Erganomic</t>
  </si>
  <si>
    <t>ES-2014-SC2009545-41991</t>
  </si>
  <si>
    <t>SC-2009545</t>
  </si>
  <si>
    <t>Sanjit Chand</t>
  </si>
  <si>
    <t>Lyon</t>
  </si>
  <si>
    <t>TEC-CO-4767</t>
  </si>
  <si>
    <t>HP Copy Machine, Laser</t>
  </si>
  <si>
    <t>ID-2015-EB1393059-42206</t>
  </si>
  <si>
    <t>EB-1393059</t>
  </si>
  <si>
    <t>Eric Barreto</t>
  </si>
  <si>
    <t>MX-2014-SM2000518-41696</t>
  </si>
  <si>
    <t>SM-2000518</t>
  </si>
  <si>
    <t>Santo André</t>
  </si>
  <si>
    <t>FUR-TA-3761</t>
  </si>
  <si>
    <t>Chromcraft Computer Table, Rectangular</t>
  </si>
  <si>
    <t>IT-2012-JR1567048-41238</t>
  </si>
  <si>
    <t>JR-1567048</t>
  </si>
  <si>
    <t>Menden</t>
  </si>
  <si>
    <t>IN-2013-CM1216027-41506</t>
  </si>
  <si>
    <t>CM-1216027</t>
  </si>
  <si>
    <t>IN-2013-DL129257-41418</t>
  </si>
  <si>
    <t>DL-129257</t>
  </si>
  <si>
    <t>Daniel Lacy</t>
  </si>
  <si>
    <t>MX-2012-FM1429065-41216</t>
  </si>
  <si>
    <t>FM-1429065</t>
  </si>
  <si>
    <t>Frank Merwin</t>
  </si>
  <si>
    <t>Spanish Town</t>
  </si>
  <si>
    <t>Saint Catherine</t>
  </si>
  <si>
    <t>Jamaica</t>
  </si>
  <si>
    <t>IN-2012-DP1316558-41173</t>
  </si>
  <si>
    <t>DP-1316558</t>
  </si>
  <si>
    <t>David Philippe</t>
  </si>
  <si>
    <t>IN-2014-CK1259592-41929</t>
  </si>
  <si>
    <t>CK-1259592</t>
  </si>
  <si>
    <t>Clytie Kelty</t>
  </si>
  <si>
    <t>Taupo</t>
  </si>
  <si>
    <t>IN-2014-GM1444027-41795</t>
  </si>
  <si>
    <t>GM-1444027</t>
  </si>
  <si>
    <t>Fengcheng</t>
  </si>
  <si>
    <t>ES-2014-CM1183045-41773</t>
  </si>
  <si>
    <t>CM-1183045</t>
  </si>
  <si>
    <t>Cari MacIntyre</t>
  </si>
  <si>
    <t>Vernon</t>
  </si>
  <si>
    <t>IN-2014-MM1726027-41933</t>
  </si>
  <si>
    <t>MM-1726027</t>
  </si>
  <si>
    <t>Tianjin</t>
  </si>
  <si>
    <t>TEC-PH-3787</t>
  </si>
  <si>
    <t>Cisco Audio Dock, with Caller ID</t>
  </si>
  <si>
    <t>ES-2015-ME17320139-42227</t>
  </si>
  <si>
    <t>ME-17320139</t>
  </si>
  <si>
    <t>Maria Etezadi</t>
  </si>
  <si>
    <t>FUR-TA-5055</t>
  </si>
  <si>
    <t>Lesro Computer Table, Fully Assembled</t>
  </si>
  <si>
    <t>MX-2014-CS1249082-41763</t>
  </si>
  <si>
    <t>CS-1249082</t>
  </si>
  <si>
    <t>Cindy Schnelling</t>
  </si>
  <si>
    <t>IT-2014-GH14410120-41835</t>
  </si>
  <si>
    <t>GH-14410120</t>
  </si>
  <si>
    <t>Gary Hansen</t>
  </si>
  <si>
    <t>Elx</t>
  </si>
  <si>
    <t>TEC-PH-5359</t>
  </si>
  <si>
    <t>Nokia Speaker Phone, VoIP</t>
  </si>
  <si>
    <t>MX-2015-MC1763536-42340</t>
  </si>
  <si>
    <t>MC-1763536</t>
  </si>
  <si>
    <t>Matthew Clasen</t>
  </si>
  <si>
    <t>Santa Cruz de Barahona</t>
  </si>
  <si>
    <t>Barahona</t>
  </si>
  <si>
    <t>TEC-AC-5894</t>
  </si>
  <si>
    <t>SanDisk Router, Bluetooth</t>
  </si>
  <si>
    <t>MX-2015-VT2170018-42012</t>
  </si>
  <si>
    <t>VT-2170018</t>
  </si>
  <si>
    <t>Brasília</t>
  </si>
  <si>
    <t>Federal District</t>
  </si>
  <si>
    <t>CA-2014-AH10120140-41821</t>
  </si>
  <si>
    <t>Aurora</t>
  </si>
  <si>
    <t>TEC-AC-4945</t>
  </si>
  <si>
    <t>Kingston Digital DataTraveler 16GB USB 2.0</t>
  </si>
  <si>
    <t>IN-2015-SJ2021527-42182</t>
  </si>
  <si>
    <t>SJ-2021527</t>
  </si>
  <si>
    <t>Lanzhou</t>
  </si>
  <si>
    <t>IN-2012-CD1192027-40979</t>
  </si>
  <si>
    <t>CD-1192027</t>
  </si>
  <si>
    <t>ID-2014-TA21385102-41654</t>
  </si>
  <si>
    <t>TA-21385102</t>
  </si>
  <si>
    <t>OFF-AP-4744</t>
  </si>
  <si>
    <t>Hoover Stove, Silver</t>
  </si>
  <si>
    <t>IN-2013-DP131057-41514</t>
  </si>
  <si>
    <t>Alice Springs</t>
  </si>
  <si>
    <t>ES-2012-DJ88887148-41231</t>
  </si>
  <si>
    <t>DJ-88887148</t>
  </si>
  <si>
    <t>Athens</t>
  </si>
  <si>
    <t>Attica</t>
  </si>
  <si>
    <t>Greece</t>
  </si>
  <si>
    <t>TEC-PH-5248</t>
  </si>
  <si>
    <t>Motorola Audio Dock, VoIP</t>
  </si>
  <si>
    <t>QA-2015-LM7065105-42362</t>
  </si>
  <si>
    <t>LM-7065105</t>
  </si>
  <si>
    <t>Liz MacKendrick</t>
  </si>
  <si>
    <t>Doha</t>
  </si>
  <si>
    <t>Ad Dawhah</t>
  </si>
  <si>
    <t>Qatar</t>
  </si>
  <si>
    <t>ES-2013-AR1051064-41441</t>
  </si>
  <si>
    <t>AR-1051064</t>
  </si>
  <si>
    <t>Andrew Roberts</t>
  </si>
  <si>
    <t>Velletri</t>
  </si>
  <si>
    <t>IN-2014-JH1591066-41831</t>
  </si>
  <si>
    <t>JH-1591066</t>
  </si>
  <si>
    <t>Jonathan Howell</t>
  </si>
  <si>
    <t>Matsubara</t>
  </si>
  <si>
    <t>Oita</t>
  </si>
  <si>
    <t>IN-2013-PC1900078-41416</t>
  </si>
  <si>
    <t>PC-1900078</t>
  </si>
  <si>
    <t>ES-2015-CM12235139-42221</t>
  </si>
  <si>
    <t>CM-12235139</t>
  </si>
  <si>
    <t>Chris McAfee</t>
  </si>
  <si>
    <t>Gloucester</t>
  </si>
  <si>
    <t>TEC-PH-3800</t>
  </si>
  <si>
    <t>Cisco Signal Booster, Cordless</t>
  </si>
  <si>
    <t>CG-2015-DK337533-42228</t>
  </si>
  <si>
    <t>DK-337533</t>
  </si>
  <si>
    <t>TEC-MA-6149</t>
  </si>
  <si>
    <t>StarTech Printer, White</t>
  </si>
  <si>
    <t>ES-2014-EG1390045-41644</t>
  </si>
  <si>
    <t>EG-1390045</t>
  </si>
  <si>
    <t>Emily Grady</t>
  </si>
  <si>
    <t>Puteaux</t>
  </si>
  <si>
    <t>ID-2015-AH100757-42367</t>
  </si>
  <si>
    <t>AH-100757</t>
  </si>
  <si>
    <t>Geelong</t>
  </si>
  <si>
    <t>IN-2014-AS1063092-41989</t>
  </si>
  <si>
    <t>AS-1063092</t>
  </si>
  <si>
    <t>Ann Steele</t>
  </si>
  <si>
    <t>Whakatane</t>
  </si>
  <si>
    <t>Bay of Plenty</t>
  </si>
  <si>
    <t>IN-2014-DK1289559-41697</t>
  </si>
  <si>
    <t>US-2013-CL1189018-41459</t>
  </si>
  <si>
    <t>CL-1189018</t>
  </si>
  <si>
    <t>Carl Ludwig</t>
  </si>
  <si>
    <t>Açu</t>
  </si>
  <si>
    <t>Rio Grande do Norte</t>
  </si>
  <si>
    <t>ES-2013-CA12265139-41506</t>
  </si>
  <si>
    <t>CA-12265139</t>
  </si>
  <si>
    <t>Christina Anderson</t>
  </si>
  <si>
    <t>Colchester</t>
  </si>
  <si>
    <t>CA-2015-AH10120140-42309</t>
  </si>
  <si>
    <t>Dallas</t>
  </si>
  <si>
    <t>OFF-AR-5331</t>
  </si>
  <si>
    <t>Newell 350</t>
  </si>
  <si>
    <t>ES-2013-DB1297045-41458</t>
  </si>
  <si>
    <t>DB-1297045</t>
  </si>
  <si>
    <t>Darren Budd</t>
  </si>
  <si>
    <t>Montpellier</t>
  </si>
  <si>
    <t>TEC-MA-5546</t>
  </si>
  <si>
    <t>Panasonic Inkjet, Durable</t>
  </si>
  <si>
    <t>ES-2015-PC1900048-42337</t>
  </si>
  <si>
    <t>PC-1900048</t>
  </si>
  <si>
    <t>Wetzlar</t>
  </si>
  <si>
    <t>Hesse</t>
  </si>
  <si>
    <t>IN-2012-VS218207-41006</t>
  </si>
  <si>
    <t>VS-218207</t>
  </si>
  <si>
    <t>CA-2015-AS10135140-42328</t>
  </si>
  <si>
    <t>AS-101351406</t>
  </si>
  <si>
    <t>Adrian Shami</t>
  </si>
  <si>
    <t>OFF-BI-3307</t>
  </si>
  <si>
    <t>Avery Printable Repositionable Plastic Tabs</t>
  </si>
  <si>
    <t>CA-2013-AS13523-41403</t>
  </si>
  <si>
    <t>AS-13523</t>
  </si>
  <si>
    <t>Edmonton</t>
  </si>
  <si>
    <t>Alberta</t>
  </si>
  <si>
    <t>OFF-ST-5695</t>
  </si>
  <si>
    <t>Rogers Folders, Industrial</t>
  </si>
  <si>
    <t>IN-2013-JR1567027-41597</t>
  </si>
  <si>
    <t>JR-1567027</t>
  </si>
  <si>
    <t>Shashi</t>
  </si>
  <si>
    <t>IN-2014-MF1766527-41947</t>
  </si>
  <si>
    <t>MF-1766527</t>
  </si>
  <si>
    <t>Maureen Fritzler</t>
  </si>
  <si>
    <t>Chaoyang</t>
  </si>
  <si>
    <t>ES-2014-EB13930139-41962</t>
  </si>
  <si>
    <t>EB-13930139</t>
  </si>
  <si>
    <t>Rugby</t>
  </si>
  <si>
    <t>MX-2015-EB1397518-42369</t>
  </si>
  <si>
    <t>EB-1397518</t>
  </si>
  <si>
    <t>Erica Bern</t>
  </si>
  <si>
    <t>CA-2014-AS10135140-41957</t>
  </si>
  <si>
    <t>AS-101351404</t>
  </si>
  <si>
    <t>Auburn</t>
  </si>
  <si>
    <t>FUR-FU-4070</t>
  </si>
  <si>
    <t>Eldon Image Series Desk Accessories, Burgundy</t>
  </si>
  <si>
    <t>IT-2014-MV1748545-41717</t>
  </si>
  <si>
    <t>MV-1748545</t>
  </si>
  <si>
    <t>Mark Van Huff</t>
  </si>
  <si>
    <t>Saint-Chamond</t>
  </si>
  <si>
    <t>OFF-ST-4267</t>
  </si>
  <si>
    <t>Fellowes Lockers, Industrial</t>
  </si>
  <si>
    <t>ES-2013-JW1595545-41354</t>
  </si>
  <si>
    <t>JW-1595545</t>
  </si>
  <si>
    <t>Joni Wasserman</t>
  </si>
  <si>
    <t>Fontenay-aux-Roses</t>
  </si>
  <si>
    <t>FUR-BO-5953</t>
  </si>
  <si>
    <t>Sauder Corner Shelving, Mobile</t>
  </si>
  <si>
    <t>IN-2015-LA1678027-42148</t>
  </si>
  <si>
    <t>LA-1678027</t>
  </si>
  <si>
    <t>Baotou</t>
  </si>
  <si>
    <t>FUR-BO-3901</t>
  </si>
  <si>
    <t>Dania Library with Doors, Metal</t>
  </si>
  <si>
    <t>ES-2014-FM1421564-41804</t>
  </si>
  <si>
    <t>FM-1421564</t>
  </si>
  <si>
    <t>CA-2012-AB10150140-40972</t>
  </si>
  <si>
    <t>AB-101501406</t>
  </si>
  <si>
    <t>Yonkers</t>
  </si>
  <si>
    <t>TEC-AC-5140</t>
  </si>
  <si>
    <t>Logitech Wireless Gaming Headset G930</t>
  </si>
  <si>
    <t>MX-2014-MC1757518-41982</t>
  </si>
  <si>
    <t>MC-1757518</t>
  </si>
  <si>
    <t>Matt Collins</t>
  </si>
  <si>
    <t>Joinville</t>
  </si>
  <si>
    <t>Santa Catarina</t>
  </si>
  <si>
    <t>MX-2014-MC1763582-41921</t>
  </si>
  <si>
    <t>MC-1763582</t>
  </si>
  <si>
    <t>IN-2014-CR126257-41928</t>
  </si>
  <si>
    <t>MO-2012-JF541586-41266</t>
  </si>
  <si>
    <t>JF-541586</t>
  </si>
  <si>
    <t>Jennifer Ferguson</t>
  </si>
  <si>
    <t>FUR-TA-3342</t>
  </si>
  <si>
    <t>Barricks Computer Table, with Bottom Storage</t>
  </si>
  <si>
    <t>MX-2014-AH1021018-41745</t>
  </si>
  <si>
    <t>AH-1021018</t>
  </si>
  <si>
    <t>Alan Hwang</t>
  </si>
  <si>
    <t>Colombo</t>
  </si>
  <si>
    <t>IN-2012-PO1919527-41200</t>
  </si>
  <si>
    <t>PO-1919527</t>
  </si>
  <si>
    <t>Jining</t>
  </si>
  <si>
    <t>FUR-TA-3413</t>
  </si>
  <si>
    <t>Bevis Coffee Table, Adjustable Height</t>
  </si>
  <si>
    <t>IN-2012-BM1178527-40977</t>
  </si>
  <si>
    <t>BM-1178527</t>
  </si>
  <si>
    <t>Zhenjiang</t>
  </si>
  <si>
    <t>IN-2015-KD1634558-42029</t>
  </si>
  <si>
    <t>KD-1634558</t>
  </si>
  <si>
    <t>Katherine Ducich</t>
  </si>
  <si>
    <t>IT-2015-TS21610139-42173</t>
  </si>
  <si>
    <t>TS-21610139</t>
  </si>
  <si>
    <t>Troy Staebel</t>
  </si>
  <si>
    <t>York</t>
  </si>
  <si>
    <t>IN-2012-AR1051027-41266</t>
  </si>
  <si>
    <t>AR-1051027</t>
  </si>
  <si>
    <t>US-2014-PG1889582-41647</t>
  </si>
  <si>
    <t>PG-1889582</t>
  </si>
  <si>
    <t>Paul Gonzalez</t>
  </si>
  <si>
    <t>Mérida</t>
  </si>
  <si>
    <t>Yucatán</t>
  </si>
  <si>
    <t>MX-2014-LC1705051-41643</t>
  </si>
  <si>
    <t>LC-1705051</t>
  </si>
  <si>
    <t>Villa Nueva</t>
  </si>
  <si>
    <t>ES-2015-DJ1342045-42035</t>
  </si>
  <si>
    <t>DJ-1342045</t>
  </si>
  <si>
    <t>Annecy-le-Vieux</t>
  </si>
  <si>
    <t>TEC-MA-5547</t>
  </si>
  <si>
    <t>Panasonic Inkjet, Red</t>
  </si>
  <si>
    <t>ES-2012-HK1489045-41216</t>
  </si>
  <si>
    <t>HK-1489045</t>
  </si>
  <si>
    <t>Heather Kirkland</t>
  </si>
  <si>
    <t>Drancy</t>
  </si>
  <si>
    <t>TEC-MA-5020</t>
  </si>
  <si>
    <t>Konica Receipt Printer, White</t>
  </si>
  <si>
    <t>CA-2015-AB10150140-42252</t>
  </si>
  <si>
    <t>Long Beach</t>
  </si>
  <si>
    <t>TEC-AC-6341</t>
  </si>
  <si>
    <t>Verbatim 25 GB 6x Blu-ray Single Layer Recordable Disc, 25/Pack</t>
  </si>
  <si>
    <t>TZ-2014-HH5010129-41906</t>
  </si>
  <si>
    <t>HH-5010129</t>
  </si>
  <si>
    <t>Hilary Holden</t>
  </si>
  <si>
    <t>Dar es Salaam</t>
  </si>
  <si>
    <t>Dar Es Salaam</t>
  </si>
  <si>
    <t>OFF-AP-4490</t>
  </si>
  <si>
    <t>Hamilton Beach Blender, Black</t>
  </si>
  <si>
    <t>IN-2012-RR193157-41081</t>
  </si>
  <si>
    <t>RR-193157</t>
  </si>
  <si>
    <t>Ralph Ritter</t>
  </si>
  <si>
    <t>ES-2013-SH2063548-41516</t>
  </si>
  <si>
    <t>SH-2063548</t>
  </si>
  <si>
    <t>Stefanie Holloman</t>
  </si>
  <si>
    <t>Nuremberg</t>
  </si>
  <si>
    <t>CA-2015-AB10150140-42328</t>
  </si>
  <si>
    <t>AB-101501402</t>
  </si>
  <si>
    <t>Carrollton</t>
  </si>
  <si>
    <t>OFF-AR-3551</t>
  </si>
  <si>
    <t>Boston School Pro Electric Pencil Sharpener, 1670</t>
  </si>
  <si>
    <t>IN-2013-DV1346527-41626</t>
  </si>
  <si>
    <t>DV-1346527</t>
  </si>
  <si>
    <t>Macheng</t>
  </si>
  <si>
    <t>MO-2014-RP985586-41907</t>
  </si>
  <si>
    <t>RP-985586</t>
  </si>
  <si>
    <t>Roy Phan</t>
  </si>
  <si>
    <t>Beni Mellal</t>
  </si>
  <si>
    <t>Tadla-Azilal</t>
  </si>
  <si>
    <t>MX-2015-NF1838582-42087</t>
  </si>
  <si>
    <t>NF-1838582</t>
  </si>
  <si>
    <t>CA-2014-AB10150140-41670</t>
  </si>
  <si>
    <t>OFF-PA-6553</t>
  </si>
  <si>
    <t>Xerox 1994</t>
  </si>
  <si>
    <t>ES-2012-LR1703548-41245</t>
  </si>
  <si>
    <t>LR-1703548</t>
  </si>
  <si>
    <t>Lisa Ryan</t>
  </si>
  <si>
    <t>IN-2015-DR1294058-42152</t>
  </si>
  <si>
    <t>DR-1294058</t>
  </si>
  <si>
    <t>Madurai</t>
  </si>
  <si>
    <t>ES-2015-AF1087048-42169</t>
  </si>
  <si>
    <t>AF-1087048</t>
  </si>
  <si>
    <t>Dortmund</t>
  </si>
  <si>
    <t>FUR-TA-3348</t>
  </si>
  <si>
    <t>Barricks Round Table, Adjustable Height</t>
  </si>
  <si>
    <t>CF-2012-IM5055106-41224</t>
  </si>
  <si>
    <t>IM-5055106</t>
  </si>
  <si>
    <t>Ionia McGrath</t>
  </si>
  <si>
    <t>Loubomo</t>
  </si>
  <si>
    <t>Niari</t>
  </si>
  <si>
    <t>Republic of the Congo</t>
  </si>
  <si>
    <t>FUR-BO-3625</t>
  </si>
  <si>
    <t>Bush Classic Bookcase, Mobile</t>
  </si>
  <si>
    <t>ID-2014-VG2180527-41790</t>
  </si>
  <si>
    <t>Jiangmen</t>
  </si>
  <si>
    <t>FUR-TA-3765</t>
  </si>
  <si>
    <t>Chromcraft Conference Table, Rectangular</t>
  </si>
  <si>
    <t>RS-2012-AS285108-41137</t>
  </si>
  <si>
    <t>AS-285108</t>
  </si>
  <si>
    <t>Kaliningrad</t>
  </si>
  <si>
    <t>FUR-CH-4558</t>
  </si>
  <si>
    <t>Harbour Creations Steel Folding Chair, Black</t>
  </si>
  <si>
    <t>MX-2013-DK1298539-41339</t>
  </si>
  <si>
    <t>DK-1298539</t>
  </si>
  <si>
    <t>Darren Koutras</t>
  </si>
  <si>
    <t>ES-2015-RW1954096-42222</t>
  </si>
  <si>
    <t>RW-1954096</t>
  </si>
  <si>
    <t>Kristiansand</t>
  </si>
  <si>
    <t>Vest-Agder</t>
  </si>
  <si>
    <t>Norway</t>
  </si>
  <si>
    <t>IZ-2015-EH418561-42173</t>
  </si>
  <si>
    <t>EH-418561</t>
  </si>
  <si>
    <t>Evan Henry</t>
  </si>
  <si>
    <t>Ad Diwaniyah</t>
  </si>
  <si>
    <t>Al Qadisiyah</t>
  </si>
  <si>
    <t>IN-2015-ML1739559-42369</t>
  </si>
  <si>
    <t>ML-1739559</t>
  </si>
  <si>
    <t>Marina Lichtenstein</t>
  </si>
  <si>
    <t>MX-2013-BF1121593-41541</t>
  </si>
  <si>
    <t>BF-1121593</t>
  </si>
  <si>
    <t>Benjamin Farhat</t>
  </si>
  <si>
    <t>CG-2014-MB730533-41688</t>
  </si>
  <si>
    <t>MB-730533</t>
  </si>
  <si>
    <t>FUR-TA-3777</t>
  </si>
  <si>
    <t>Chromcraft Wood Table, Adjustable Height</t>
  </si>
  <si>
    <t>IN-2015-KN164507-42332</t>
  </si>
  <si>
    <t>KN-164507</t>
  </si>
  <si>
    <t>Kean Nguyen</t>
  </si>
  <si>
    <t>IN-2015-HR14770102-42270</t>
  </si>
  <si>
    <t>HR-14770102</t>
  </si>
  <si>
    <t>Hallie Redmond</t>
  </si>
  <si>
    <t>ES-2015-CK1276045-42312</t>
  </si>
  <si>
    <t>CK-1276045</t>
  </si>
  <si>
    <t>Cyma Kinney</t>
  </si>
  <si>
    <t>Bayonne</t>
  </si>
  <si>
    <t>TEC-MA-6140</t>
  </si>
  <si>
    <t>StarTech Inkjet, Durable</t>
  </si>
  <si>
    <t>IN-2015-PB192107-42248</t>
  </si>
  <si>
    <t>PB-192107</t>
  </si>
  <si>
    <t>CA-2013-AB10150140-41527</t>
  </si>
  <si>
    <t>Tulsa</t>
  </si>
  <si>
    <t>OFF-PA-6508</t>
  </si>
  <si>
    <t>Xerox 1952</t>
  </si>
  <si>
    <t>CA-2014-AB16523-41660</t>
  </si>
  <si>
    <t>AB-16523</t>
  </si>
  <si>
    <t>Alan Barnes</t>
  </si>
  <si>
    <t>OFF-AR-3475</t>
  </si>
  <si>
    <t>Binney &amp; Smith Canvas, Blue</t>
  </si>
  <si>
    <t>MX-2015-AA1048031-42111</t>
  </si>
  <si>
    <t>AA-1048031</t>
  </si>
  <si>
    <t>San José de las Lajas</t>
  </si>
  <si>
    <t>Mayabeque</t>
  </si>
  <si>
    <t>AG-2012-RO97803-40964</t>
  </si>
  <si>
    <t>RO-97803</t>
  </si>
  <si>
    <t>Algiers</t>
  </si>
  <si>
    <t>Alger</t>
  </si>
  <si>
    <t>Algeria</t>
  </si>
  <si>
    <t>TEC-MA-4197</t>
  </si>
  <si>
    <t>Epson Inkjet, Durable</t>
  </si>
  <si>
    <t>CA-2013-AB10165140-41361</t>
  </si>
  <si>
    <t>AB-101651404</t>
  </si>
  <si>
    <t>TEC-AC-4870</t>
  </si>
  <si>
    <t>Imation Bio 8GB USB Flash Drive Imation Corp</t>
  </si>
  <si>
    <t>IN-2015-MR175457-42263</t>
  </si>
  <si>
    <t>MR-175457</t>
  </si>
  <si>
    <t>ES-2014-SP2092064-41828</t>
  </si>
  <si>
    <t>SP-2092064</t>
  </si>
  <si>
    <t>Bologna</t>
  </si>
  <si>
    <t>CA-2013-AB10165140-41450</t>
  </si>
  <si>
    <t>OFF-ST-6293</t>
  </si>
  <si>
    <t>Tennsco Regal Shelving Units</t>
  </si>
  <si>
    <t>MX-2014-AH1046593-42004</t>
  </si>
  <si>
    <t>AH-1046593</t>
  </si>
  <si>
    <t>Amy Hunt</t>
  </si>
  <si>
    <t>CA-2015-AB10165140-42263</t>
  </si>
  <si>
    <t>AB-101651408</t>
  </si>
  <si>
    <t>Lebanon</t>
  </si>
  <si>
    <t>OFF-PA-6443</t>
  </si>
  <si>
    <t>Xerox 1893</t>
  </si>
  <si>
    <t>IN-2015-AH105857-42033</t>
  </si>
  <si>
    <t>AH-105857</t>
  </si>
  <si>
    <t>Angele Hood</t>
  </si>
  <si>
    <t>TU-2012-CV2805134-41159</t>
  </si>
  <si>
    <t>CV-2805134</t>
  </si>
  <si>
    <t>Istanbul</t>
  </si>
  <si>
    <t>IT-2015-JK1532545-42052</t>
  </si>
  <si>
    <t>JK-1532545</t>
  </si>
  <si>
    <t>LH-2013-RB943575-41424</t>
  </si>
  <si>
    <t>RB-943575</t>
  </si>
  <si>
    <t>Richard Bierner</t>
  </si>
  <si>
    <t>Kaunas</t>
  </si>
  <si>
    <t>IR-2014-AG52560-41641</t>
  </si>
  <si>
    <t>AG-52560</t>
  </si>
  <si>
    <t>Andy Gerbode</t>
  </si>
  <si>
    <t>Ardabil</t>
  </si>
  <si>
    <t>TEC-PH-5264</t>
  </si>
  <si>
    <t>Motorola Signal Booster, Full Size</t>
  </si>
  <si>
    <t>MX-2013-AR1034582-41601</t>
  </si>
  <si>
    <t>AR-1034582</t>
  </si>
  <si>
    <t>Alex Russell</t>
  </si>
  <si>
    <t>Mexicali</t>
  </si>
  <si>
    <t>Baja California</t>
  </si>
  <si>
    <t>SA-2015-MW8220110-42105</t>
  </si>
  <si>
    <t>MW-8220110</t>
  </si>
  <si>
    <t>Mecca</t>
  </si>
  <si>
    <t>EG-2013-AH21038-41489</t>
  </si>
  <si>
    <t>AH-21038</t>
  </si>
  <si>
    <t>Alexandria</t>
  </si>
  <si>
    <t>Al Iskandariyah</t>
  </si>
  <si>
    <t>IN-2015-FC142457-42326</t>
  </si>
  <si>
    <t>FC-142457</t>
  </si>
  <si>
    <t>Queanbeyan</t>
  </si>
  <si>
    <t>TEC-PH-3152</t>
  </si>
  <si>
    <t>Apple Speaker Phone, VoIP</t>
  </si>
  <si>
    <t>IN-2012-ML1741027-41255</t>
  </si>
  <si>
    <t>ML-1741027</t>
  </si>
  <si>
    <t>Guilin</t>
  </si>
  <si>
    <t>Guangxi</t>
  </si>
  <si>
    <t>OFF-AP-3875</t>
  </si>
  <si>
    <t>Cuisinart Stove, White</t>
  </si>
  <si>
    <t>ID-2015-TH212357-42175</t>
  </si>
  <si>
    <t>TH-212357</t>
  </si>
  <si>
    <t>Tiffany House</t>
  </si>
  <si>
    <t>TEC-CO-6000</t>
  </si>
  <si>
    <t>Sharp Fax Machine, Laser</t>
  </si>
  <si>
    <t>CA-2015-AB10165140-42109</t>
  </si>
  <si>
    <t>AB-101651406</t>
  </si>
  <si>
    <t>OFF-AR-5929</t>
  </si>
  <si>
    <t>Sanford Prismacolor Professional Thick Lead Art Pencils, 36-Color Set</t>
  </si>
  <si>
    <t>IN-2014-TW2102527-41780</t>
  </si>
  <si>
    <t>TW-2102527</t>
  </si>
  <si>
    <t>Gaomi</t>
  </si>
  <si>
    <t>TEC-CO-5994</t>
  </si>
  <si>
    <t>Sharp Fax and Copier, Digital</t>
  </si>
  <si>
    <t>SF-2015-LT7110117-42280</t>
  </si>
  <si>
    <t>LT-7110117</t>
  </si>
  <si>
    <t>Liz Thompson</t>
  </si>
  <si>
    <t>Pretoria</t>
  </si>
  <si>
    <t>IT-2012-KN16390139-41268</t>
  </si>
  <si>
    <t>KN-16390139</t>
  </si>
  <si>
    <t>Blackpool</t>
  </si>
  <si>
    <t>ES-2015-HD1478548-42271</t>
  </si>
  <si>
    <t>HD-1478548</t>
  </si>
  <si>
    <t>Harold Dahlen</t>
  </si>
  <si>
    <t>Schwerin</t>
  </si>
  <si>
    <t>Mecklenburg-Vorpommern</t>
  </si>
  <si>
    <t>ID-2015-BE114557-42242</t>
  </si>
  <si>
    <t>SA-2015-MC7575110-42326</t>
  </si>
  <si>
    <t>MC-7575110</t>
  </si>
  <si>
    <t>IN-2013-CS1246058-41609</t>
  </si>
  <si>
    <t>CS-1246058</t>
  </si>
  <si>
    <t>Aligarh</t>
  </si>
  <si>
    <t>ES-2015-ME1732064-42253</t>
  </si>
  <si>
    <t>ME-1732064</t>
  </si>
  <si>
    <t>Trento</t>
  </si>
  <si>
    <t>Trentino-Alto Adige</t>
  </si>
  <si>
    <t>IT-2015-SW2027564-42277</t>
  </si>
  <si>
    <t>SW-2027564</t>
  </si>
  <si>
    <t>Ravenna</t>
  </si>
  <si>
    <t>CA-2015-AB10165140-42094</t>
  </si>
  <si>
    <t>Lakewood</t>
  </si>
  <si>
    <t>FUR-FU-4329</t>
  </si>
  <si>
    <t>Flat Face Poster Frame</t>
  </si>
  <si>
    <t>MX-2013-CR1282051-41543</t>
  </si>
  <si>
    <t>CR-1282051</t>
  </si>
  <si>
    <t>ES-2015-HM14860125-42368</t>
  </si>
  <si>
    <t>HM-14860125</t>
  </si>
  <si>
    <t>Harry Marie</t>
  </si>
  <si>
    <t>Basel</t>
  </si>
  <si>
    <t>Basel-Stadt</t>
  </si>
  <si>
    <t>TEC-CO-3685</t>
  </si>
  <si>
    <t>Canon Fax and Copier, Laser</t>
  </si>
  <si>
    <t>MZ-2015-CC247587-42024</t>
  </si>
  <si>
    <t>CC-247587</t>
  </si>
  <si>
    <t>Matola</t>
  </si>
  <si>
    <t>ES-2014-JM1525045-41835</t>
  </si>
  <si>
    <t>JM-1525045</t>
  </si>
  <si>
    <t>Poitiers</t>
  </si>
  <si>
    <t>ID-2012-PS18970118-40967</t>
  </si>
  <si>
    <t>PS-18970118</t>
  </si>
  <si>
    <t>Seoul</t>
  </si>
  <si>
    <t>South Korea</t>
  </si>
  <si>
    <t>ES-2015-CM1219045-42094</t>
  </si>
  <si>
    <t>CM-1219045</t>
  </si>
  <si>
    <t>Charlotte Melton</t>
  </si>
  <si>
    <t>Mulhouse</t>
  </si>
  <si>
    <t>ES-2014-QJ1925564-41793</t>
  </si>
  <si>
    <t>QJ-1925564</t>
  </si>
  <si>
    <t>Milan</t>
  </si>
  <si>
    <t>Lombardy</t>
  </si>
  <si>
    <t>IN-2014-TS2150559-41703</t>
  </si>
  <si>
    <t>TS-2150559</t>
  </si>
  <si>
    <t>OFF-AP-3871</t>
  </si>
  <si>
    <t>Cuisinart Refrigerator, White</t>
  </si>
  <si>
    <t>US-2012-AB10165140-41228</t>
  </si>
  <si>
    <t>AB-101651402</t>
  </si>
  <si>
    <t>Decatur</t>
  </si>
  <si>
    <t>FUR-CH-5790</t>
  </si>
  <si>
    <t>SAFCO Optional Arm Kit for Workspace Cribbage Stacking Chair</t>
  </si>
  <si>
    <t>IN-2012-KM1672078-41051</t>
  </si>
  <si>
    <t>KM-1672078</t>
  </si>
  <si>
    <t>Kota Kinabalu</t>
  </si>
  <si>
    <t>Sabah</t>
  </si>
  <si>
    <t>TEC-PH-5844</t>
  </si>
  <si>
    <t>Samsung Speaker Phone, Full Size</t>
  </si>
  <si>
    <t>CA-2013-AB10165140-41404</t>
  </si>
  <si>
    <t>Colorado</t>
  </si>
  <si>
    <t>TEC-AC-3407</t>
  </si>
  <si>
    <t>Belkin Standard 104 key USB Keyboard</t>
  </si>
  <si>
    <t>MX-2015-SB2018518-42245</t>
  </si>
  <si>
    <t>SB-2018518</t>
  </si>
  <si>
    <t>Sarah Brown</t>
  </si>
  <si>
    <t>Uberaba</t>
  </si>
  <si>
    <t>Minas Gerais</t>
  </si>
  <si>
    <t>ES-2015-MT1807045-42176</t>
  </si>
  <si>
    <t>MT-1807045</t>
  </si>
  <si>
    <t>Rueil-Malmaison</t>
  </si>
  <si>
    <t>FUR-BO-3902</t>
  </si>
  <si>
    <t>Dania Library with Doors, Mobile</t>
  </si>
  <si>
    <t>ES-2015-JF15415139-42132</t>
  </si>
  <si>
    <t>JF-15415139</t>
  </si>
  <si>
    <t>Crawley</t>
  </si>
  <si>
    <t>NI-2014-MT807095-41870</t>
  </si>
  <si>
    <t>MT-807095</t>
  </si>
  <si>
    <t>Makurdi</t>
  </si>
  <si>
    <t>Benue</t>
  </si>
  <si>
    <t>Nigeria</t>
  </si>
  <si>
    <t>ES-2014-ES14020120-41817</t>
  </si>
  <si>
    <t>ES-14020120</t>
  </si>
  <si>
    <t>Erica Smith</t>
  </si>
  <si>
    <t>EN-2012-AB60042-40932</t>
  </si>
  <si>
    <t>AB-60042</t>
  </si>
  <si>
    <t>Tallinn</t>
  </si>
  <si>
    <t>Harjumaa</t>
  </si>
  <si>
    <t>Estonia</t>
  </si>
  <si>
    <t>IN-2015-PS189707-42342</t>
  </si>
  <si>
    <t>PS-189707</t>
  </si>
  <si>
    <t>ES-2014-EB13975139-41818</t>
  </si>
  <si>
    <t>EB-13975139</t>
  </si>
  <si>
    <t>Swansea</t>
  </si>
  <si>
    <t>Wales</t>
  </si>
  <si>
    <t>MX-2013-AF1087018-41418</t>
  </si>
  <si>
    <t>AF-1087018</t>
  </si>
  <si>
    <t>Paranaguá</t>
  </si>
  <si>
    <t>IN-2015-MC1742559-42346</t>
  </si>
  <si>
    <t>MC-1742559</t>
  </si>
  <si>
    <t>Mark Cousins</t>
  </si>
  <si>
    <t>Samarinda</t>
  </si>
  <si>
    <t>Kalimantan Timur</t>
  </si>
  <si>
    <t>IN-2013-CC1268558-41619</t>
  </si>
  <si>
    <t>CC-1268558</t>
  </si>
  <si>
    <t>Craig Carroll</t>
  </si>
  <si>
    <t>Vijayawada</t>
  </si>
  <si>
    <t>TU-2015-EH4125134-42068</t>
  </si>
  <si>
    <t>EH-4125134</t>
  </si>
  <si>
    <t>Bandirma</t>
  </si>
  <si>
    <t>Balikesir</t>
  </si>
  <si>
    <t>IN-2014-BS116657-41815</t>
  </si>
  <si>
    <t>BS-116657</t>
  </si>
  <si>
    <t>IN-2015-IM1507059-42157</t>
  </si>
  <si>
    <t>IM-1507059</t>
  </si>
  <si>
    <t>Irene Maddox</t>
  </si>
  <si>
    <t>IV-2012-SM1032029-41178</t>
  </si>
  <si>
    <t>SM-1032029</t>
  </si>
  <si>
    <t>Gagnoa</t>
  </si>
  <si>
    <t>Fromager</t>
  </si>
  <si>
    <t>Cote d'Ivoire</t>
  </si>
  <si>
    <t>TEC-MA-5008</t>
  </si>
  <si>
    <t>Konica Inkjet, Wireless</t>
  </si>
  <si>
    <t>US-2014-DA1345055-41795</t>
  </si>
  <si>
    <t>DA-1345055</t>
  </si>
  <si>
    <t>Dianna Arnett</t>
  </si>
  <si>
    <t>Tegucigalpa</t>
  </si>
  <si>
    <t>Francisco Morazán</t>
  </si>
  <si>
    <t>Honduras</t>
  </si>
  <si>
    <t>ES-2014-DB1306045-41928</t>
  </si>
  <si>
    <t>DB-1306045</t>
  </si>
  <si>
    <t>Villiers-le-Bel</t>
  </si>
  <si>
    <t>CA-2015-AB10165140-42344</t>
  </si>
  <si>
    <t>Bellevue</t>
  </si>
  <si>
    <t>OFF-BI-4378</t>
  </si>
  <si>
    <t>GBC Wire Binding Combs</t>
  </si>
  <si>
    <t>MX-2015-LC1688582-42329</t>
  </si>
  <si>
    <t>LC-1688582</t>
  </si>
  <si>
    <t>Tlaquepaque</t>
  </si>
  <si>
    <t>ES-2013-TC2098045-41588</t>
  </si>
  <si>
    <t>TC-2098045</t>
  </si>
  <si>
    <t>Tamara Chand</t>
  </si>
  <si>
    <t>Saint-Denis</t>
  </si>
  <si>
    <t>FUR-TA-4692</t>
  </si>
  <si>
    <t>Hon Round Table, with Bottom Storage</t>
  </si>
  <si>
    <t>IN-2012-SW2035059-41067</t>
  </si>
  <si>
    <t>SW-2035059</t>
  </si>
  <si>
    <t>Sean Wendt</t>
  </si>
  <si>
    <t>IN-2015-JW1522058-42101</t>
  </si>
  <si>
    <t>JW-1522058</t>
  </si>
  <si>
    <t>Mangalore</t>
  </si>
  <si>
    <t>MX-2012-DA1345031-41199</t>
  </si>
  <si>
    <t>DA-1345031</t>
  </si>
  <si>
    <t>Sancti Spíritus</t>
  </si>
  <si>
    <t>SF-2013-CM1830117-41389</t>
  </si>
  <si>
    <t>CM-1830117</t>
  </si>
  <si>
    <t>IN-2013-CS1184527-41517</t>
  </si>
  <si>
    <t>CS-1184527</t>
  </si>
  <si>
    <t>MX-2013-MO1780051-41382</t>
  </si>
  <si>
    <t>MO-1780051</t>
  </si>
  <si>
    <t>TEC-PH-3784</t>
  </si>
  <si>
    <t>Cisco Audio Dock, Cordless</t>
  </si>
  <si>
    <t>US-2014-CR1273018-41993</t>
  </si>
  <si>
    <t>CR-1273018</t>
  </si>
  <si>
    <t>Indaial</t>
  </si>
  <si>
    <t>IT-2014-MY1738096-41794</t>
  </si>
  <si>
    <t>MY-1738096</t>
  </si>
  <si>
    <t>Maribeth Yedwab</t>
  </si>
  <si>
    <t>Bergen</t>
  </si>
  <si>
    <t>Hordaland</t>
  </si>
  <si>
    <t>SA-2013-MS7830110-41450</t>
  </si>
  <si>
    <t>MS-7830110</t>
  </si>
  <si>
    <t>Riyadh</t>
  </si>
  <si>
    <t>Ar Riyad</t>
  </si>
  <si>
    <t>FUR-TA-3352</t>
  </si>
  <si>
    <t>Barricks Training Table, Adjustable Height</t>
  </si>
  <si>
    <t>IN-2013-SW207557-41502</t>
  </si>
  <si>
    <t>SW-207557</t>
  </si>
  <si>
    <t>ID-2015-HG1496597-42230</t>
  </si>
  <si>
    <t>HG-1496597</t>
  </si>
  <si>
    <t>Henry Goldwyn</t>
  </si>
  <si>
    <t>MX-2014-DC1328551-41885</t>
  </si>
  <si>
    <t>DC-1328551</t>
  </si>
  <si>
    <t>Debra Catini</t>
  </si>
  <si>
    <t>ES-2015-DL13315139-42153</t>
  </si>
  <si>
    <t>DL-13315139</t>
  </si>
  <si>
    <t>Delfina Latchford</t>
  </si>
  <si>
    <t>FUR-TA-3432</t>
  </si>
  <si>
    <t>Bevis Round Table, with Bottom Storage</t>
  </si>
  <si>
    <t>ES-2014-TH21235125-41814</t>
  </si>
  <si>
    <t>TH-21235125</t>
  </si>
  <si>
    <t>Lucerne</t>
  </si>
  <si>
    <t>MX-2015-JK15370100-42132</t>
  </si>
  <si>
    <t>JK-15370100</t>
  </si>
  <si>
    <t>Jay Kimmel</t>
  </si>
  <si>
    <t>Fernando de la Mora</t>
  </si>
  <si>
    <t>Central</t>
  </si>
  <si>
    <t>Paraguay</t>
  </si>
  <si>
    <t>TEC-PH-5837</t>
  </si>
  <si>
    <t>Samsung Signal Booster, VoIP</t>
  </si>
  <si>
    <t>IR-2015-CH207060-42048</t>
  </si>
  <si>
    <t>CH-207060</t>
  </si>
  <si>
    <t>Cathy Hwang</t>
  </si>
  <si>
    <t>Malayer</t>
  </si>
  <si>
    <t>ID-2015-ST205307-42336</t>
  </si>
  <si>
    <t>ST-205307</t>
  </si>
  <si>
    <t>ES-2013-SP2092048-41510</t>
  </si>
  <si>
    <t>SP-2092048</t>
  </si>
  <si>
    <t>CG-2015-MH744033-42218</t>
  </si>
  <si>
    <t>MH-744033</t>
  </si>
  <si>
    <t>Mark Haberlin</t>
  </si>
  <si>
    <t>Mbuji-mayi</t>
  </si>
  <si>
    <t>Kasai-Oriental</t>
  </si>
  <si>
    <t>IN-2014-MC1784558-41971</t>
  </si>
  <si>
    <t>MC-1784558</t>
  </si>
  <si>
    <t>Michael Chen</t>
  </si>
  <si>
    <t>Gwalior</t>
  </si>
  <si>
    <t>IN-2012-CS1184527-41139</t>
  </si>
  <si>
    <t>ES-2015-PW19030139-42076</t>
  </si>
  <si>
    <t>PW-19030139</t>
  </si>
  <si>
    <t>Pauline Webber</t>
  </si>
  <si>
    <t>Southend-on-Sea</t>
  </si>
  <si>
    <t>FUR-BO-5960</t>
  </si>
  <si>
    <t>Sauder Floating Shelf Set, Mobile</t>
  </si>
  <si>
    <t>ES-2014-BS1159045-41733</t>
  </si>
  <si>
    <t>BS-1159045</t>
  </si>
  <si>
    <t>Brendan Sweed</t>
  </si>
  <si>
    <t>Thionville</t>
  </si>
  <si>
    <t>TEC-MA-4195</t>
  </si>
  <si>
    <t>Epson Card Printer, White</t>
  </si>
  <si>
    <t>CA-2015-AD10180140-42027</t>
  </si>
  <si>
    <t>AD-101801404</t>
  </si>
  <si>
    <t>Great Falls</t>
  </si>
  <si>
    <t>Montana</t>
  </si>
  <si>
    <t>TEC-CO-3690</t>
  </si>
  <si>
    <t>Canon Image Class D660 Copier</t>
  </si>
  <si>
    <t>IN-2015-DO1343558-42141</t>
  </si>
  <si>
    <t>DO-1343558</t>
  </si>
  <si>
    <t>Denny Ordway</t>
  </si>
  <si>
    <t>Srinagar</t>
  </si>
  <si>
    <t>Jammu and Kashmir</t>
  </si>
  <si>
    <t>FUR-TA-3431</t>
  </si>
  <si>
    <t>Bevis Round Table, Rectangular</t>
  </si>
  <si>
    <t>MX-2014-SG2089051-41752</t>
  </si>
  <si>
    <t>SG-2089051</t>
  </si>
  <si>
    <t>Susan Gilcrest</t>
  </si>
  <si>
    <t>TEC-CO-3602</t>
  </si>
  <si>
    <t>Brother Ink, Laser</t>
  </si>
  <si>
    <t>ID-2013-JC161057-41531</t>
  </si>
  <si>
    <t>JC-161057</t>
  </si>
  <si>
    <t>IN-2013-TB2119058-41552</t>
  </si>
  <si>
    <t>TB-2119058</t>
  </si>
  <si>
    <t>Thomas Brumley</t>
  </si>
  <si>
    <t>Allahabad</t>
  </si>
  <si>
    <t>ID-2015-KD1627059-42306</t>
  </si>
  <si>
    <t>KD-1627059</t>
  </si>
  <si>
    <t>Bekasi</t>
  </si>
  <si>
    <t>TEC-MA-5512</t>
  </si>
  <si>
    <t>Okidata Printer, White</t>
  </si>
  <si>
    <t>ID-2012-BM1114059-41235</t>
  </si>
  <si>
    <t>BM-1114059</t>
  </si>
  <si>
    <t>Becky Martin</t>
  </si>
  <si>
    <t>IV-2015-SV1078529-42348</t>
  </si>
  <si>
    <t>SV-1078529</t>
  </si>
  <si>
    <t>Daloa</t>
  </si>
  <si>
    <t>Haut-Sassandra</t>
  </si>
  <si>
    <t>MX-2012-AH1003082-41251</t>
  </si>
  <si>
    <t>AH-1003082</t>
  </si>
  <si>
    <t>Saltillo</t>
  </si>
  <si>
    <t>Coahuila</t>
  </si>
  <si>
    <t>US-2012-AD10180140-41268</t>
  </si>
  <si>
    <t>AD-101801402</t>
  </si>
  <si>
    <t>FUR-CH-4400</t>
  </si>
  <si>
    <t>Global Deluxe High-Back Manager's Chair</t>
  </si>
  <si>
    <t>ES-2014-VP21760120-41990</t>
  </si>
  <si>
    <t>VP-21760120</t>
  </si>
  <si>
    <t>Victoria Pisteka</t>
  </si>
  <si>
    <t>OFF-AP-4506</t>
  </si>
  <si>
    <t>Hamilton Beach Stove, Red</t>
  </si>
  <si>
    <t>ES-2015-EG13900139-42108</t>
  </si>
  <si>
    <t>EG-13900139</t>
  </si>
  <si>
    <t>Woking</t>
  </si>
  <si>
    <t>ID-2015-TC21145102-42358</t>
  </si>
  <si>
    <t>TC-21145102</t>
  </si>
  <si>
    <t>Baguio City</t>
  </si>
  <si>
    <t>Cordillera</t>
  </si>
  <si>
    <t>FUR-CH-5457</t>
  </si>
  <si>
    <t>Office Star Swivel Stool, Set of Two</t>
  </si>
  <si>
    <t>IN-2014-LR1691558-41899</t>
  </si>
  <si>
    <t>LR-1691558</t>
  </si>
  <si>
    <t>Lena Radford</t>
  </si>
  <si>
    <t>CA-2015-AD10180140-42340</t>
  </si>
  <si>
    <t>AD-101801406</t>
  </si>
  <si>
    <t>Fairfield</t>
  </si>
  <si>
    <t>Connecticut</t>
  </si>
  <si>
    <t>FUR-CH-4397</t>
  </si>
  <si>
    <t>Global Comet Stacking Armless Chair</t>
  </si>
  <si>
    <t>US-2015-AD10180140-42125</t>
  </si>
  <si>
    <t>OFF-PA-6471</t>
  </si>
  <si>
    <t>Xerox 1919</t>
  </si>
  <si>
    <t>ID-2013-TH21550130-41634</t>
  </si>
  <si>
    <t>TH-21550130</t>
  </si>
  <si>
    <t>Tracy Hopkins</t>
  </si>
  <si>
    <t>FUR-TA-3341</t>
  </si>
  <si>
    <t>Barricks Computer Table, Fully Assembled</t>
  </si>
  <si>
    <t>IN-2014-HD1478527-41923</t>
  </si>
  <si>
    <t>HD-1478527</t>
  </si>
  <si>
    <t>TEC-MA-4199</t>
  </si>
  <si>
    <t>Epson Inkjet, Wireless</t>
  </si>
  <si>
    <t>ID-2013-TP2113027-41389</t>
  </si>
  <si>
    <t>TP-2113027</t>
  </si>
  <si>
    <t>Theone Pippenger</t>
  </si>
  <si>
    <t>FUR-TA-3349</t>
  </si>
  <si>
    <t>Barricks Round Table, Fully Assembled</t>
  </si>
  <si>
    <t>RS-2015-TC11145108-42178</t>
  </si>
  <si>
    <t>TC-11145108</t>
  </si>
  <si>
    <t>Magnitogorsk</t>
  </si>
  <si>
    <t>Chelyabinsk</t>
  </si>
  <si>
    <t>TEC-PH-5836</t>
  </si>
  <si>
    <t>Samsung Signal Booster, Full Size</t>
  </si>
  <si>
    <t>MX-2013-JL1523536-41606</t>
  </si>
  <si>
    <t>JL-1523536</t>
  </si>
  <si>
    <t>Janet Lee</t>
  </si>
  <si>
    <t>IN-2015-DM1334558-42182</t>
  </si>
  <si>
    <t>Varanasi</t>
  </si>
  <si>
    <t>TEC-CO-3588</t>
  </si>
  <si>
    <t>Brother Copy Machine, High-Speed</t>
  </si>
  <si>
    <t>MX-2015-RK1930018-42181</t>
  </si>
  <si>
    <t>RK-1930018</t>
  </si>
  <si>
    <t>Ralph Kennedy</t>
  </si>
  <si>
    <t>Serra</t>
  </si>
  <si>
    <t>Espírito Santo</t>
  </si>
  <si>
    <t>ES-2013-CC1267064-41534</t>
  </si>
  <si>
    <t>CC-1267064</t>
  </si>
  <si>
    <t>Craig Carreira</t>
  </si>
  <si>
    <t>Florence</t>
  </si>
  <si>
    <t>IN-2014-TC2098058-41971</t>
  </si>
  <si>
    <t>TC-2098058</t>
  </si>
  <si>
    <t>CA-2015-AD10180140-42322</t>
  </si>
  <si>
    <t>TEC-AC-4939</t>
  </si>
  <si>
    <t>KeyTronic 6101 Series - Keyboard - Black</t>
  </si>
  <si>
    <t>ID-2015-CM123857-42208</t>
  </si>
  <si>
    <t>CM-123857</t>
  </si>
  <si>
    <t>Christopher Martinez</t>
  </si>
  <si>
    <t>ES-2015-BG1103564-42251</t>
  </si>
  <si>
    <t>BG-1103564</t>
  </si>
  <si>
    <t>Pescara</t>
  </si>
  <si>
    <t>Abruzzi</t>
  </si>
  <si>
    <t>CA-2013-AD10180140-41439</t>
  </si>
  <si>
    <t>FUR-FU-4051</t>
  </si>
  <si>
    <t>Eldon Expressions Punched Metal &amp; Wood Desk Accessories, Pewter &amp; Cherry</t>
  </si>
  <si>
    <t>IN-2015-MG1789097-42022</t>
  </si>
  <si>
    <t>MG-1789097</t>
  </si>
  <si>
    <t>Michael Granlund</t>
  </si>
  <si>
    <t>OFF-AP-3572</t>
  </si>
  <si>
    <t>Breville Microwave, Silver</t>
  </si>
  <si>
    <t>ID-2015-MM1726078-42181</t>
  </si>
  <si>
    <t>MM-1726078</t>
  </si>
  <si>
    <t>IN-2013-TG2164078-41299</t>
  </si>
  <si>
    <t>TG-2164078</t>
  </si>
  <si>
    <t>FUR-BO-4845</t>
  </si>
  <si>
    <t>Ikea 3-Shelf Cabinet, Mobile</t>
  </si>
  <si>
    <t>IN-2013-CC1237011-41462</t>
  </si>
  <si>
    <t>CC-1237011</t>
  </si>
  <si>
    <t>Chittagong</t>
  </si>
  <si>
    <t>TEC-PH-5270</t>
  </si>
  <si>
    <t>Motorola Speaker Phone, Cordless</t>
  </si>
  <si>
    <t>MX-2012-SC2084582-41240</t>
  </si>
  <si>
    <t>SC-2084582</t>
  </si>
  <si>
    <t>Monclova</t>
  </si>
  <si>
    <t>TEC-MA-5571</t>
  </si>
  <si>
    <t>Panasonic Printer, Durable</t>
  </si>
  <si>
    <t>MX-2015-PS1904518-42335</t>
  </si>
  <si>
    <t>PS-1904518</t>
  </si>
  <si>
    <t>ID-2013-CB1202559-41615</t>
  </si>
  <si>
    <t>CB-1202559</t>
  </si>
  <si>
    <t>CA-2012-AD10180140-41231</t>
  </si>
  <si>
    <t>OFF-PA-2856</t>
  </si>
  <si>
    <t>1/4 Fold Party Design Invitations &amp; White Envelopes, 24 8-1/2" X 11" Cards, 25 Env./Pack</t>
  </si>
  <si>
    <t>ES-2013-BT11395139-41625</t>
  </si>
  <si>
    <t>BT-11395139</t>
  </si>
  <si>
    <t>Bill Tyler</t>
  </si>
  <si>
    <t>Worthing</t>
  </si>
  <si>
    <t>MX-2014-SJ2050051-41962</t>
  </si>
  <si>
    <t>SJ-2050051</t>
  </si>
  <si>
    <t>IT-2015-MC1784545-42249</t>
  </si>
  <si>
    <t>MC-1784545</t>
  </si>
  <si>
    <t>OFF-ST-4078</t>
  </si>
  <si>
    <t>Eldon Lockers, Blue</t>
  </si>
  <si>
    <t>MX-2015-MG1820518-42140</t>
  </si>
  <si>
    <t>MG-1820518</t>
  </si>
  <si>
    <t>Lençóis Paulista</t>
  </si>
  <si>
    <t>IN-2014-RA199157-41948</t>
  </si>
  <si>
    <t>RA-199157</t>
  </si>
  <si>
    <t>Russell Applegate</t>
  </si>
  <si>
    <t>Coffs Harbour</t>
  </si>
  <si>
    <t>TEC-AC-4187</t>
  </si>
  <si>
    <t>Enermax Router, Programmable</t>
  </si>
  <si>
    <t>PL-2012-TT11265103-41219</t>
  </si>
  <si>
    <t>TT-11265103</t>
  </si>
  <si>
    <t>Tim Taslimi</t>
  </si>
  <si>
    <t>IZ-2014-TH1123561-41738</t>
  </si>
  <si>
    <t>TH-1123561</t>
  </si>
  <si>
    <t>Baghdad</t>
  </si>
  <si>
    <t>IT-2015-DM1301564-42167</t>
  </si>
  <si>
    <t>DM-1301564</t>
  </si>
  <si>
    <t>Darrin Martin</t>
  </si>
  <si>
    <t>San Severo</t>
  </si>
  <si>
    <t>US-2014-VG217905-41800</t>
  </si>
  <si>
    <t>VG-217905</t>
  </si>
  <si>
    <t>Vivek Gonzalez</t>
  </si>
  <si>
    <t>San Luis</t>
  </si>
  <si>
    <t>IN-2015-JW1595527-42190</t>
  </si>
  <si>
    <t>JW-1595527</t>
  </si>
  <si>
    <t>Guangzhou</t>
  </si>
  <si>
    <t>IN-2014-ZC2191058-41760</t>
  </si>
  <si>
    <t>ZC-2191058</t>
  </si>
  <si>
    <t>Tiruppur</t>
  </si>
  <si>
    <t>CA-2013-AD10180140-41459</t>
  </si>
  <si>
    <t>OFF-AR-3837</t>
  </si>
  <si>
    <t>Colorific Watercolor Pencils</t>
  </si>
  <si>
    <t>MX-2013-NW1840082-41584</t>
  </si>
  <si>
    <t>NW-1840082</t>
  </si>
  <si>
    <t>Natalie Webber</t>
  </si>
  <si>
    <t>San Luis Potosí</t>
  </si>
  <si>
    <t>TEC-CO-3610</t>
  </si>
  <si>
    <t>Brother Wireless Fax, High-Speed</t>
  </si>
  <si>
    <t>IN-2012-VP217307-41166</t>
  </si>
  <si>
    <t>VP-217307</t>
  </si>
  <si>
    <t>Victor Preis</t>
  </si>
  <si>
    <t>ES-2014-SS2041045-41999</t>
  </si>
  <si>
    <t>SS-2041045</t>
  </si>
  <si>
    <t>Shahid Shariari</t>
  </si>
  <si>
    <t>Le Chesnay</t>
  </si>
  <si>
    <t>CA-2014-AH10195140-41992</t>
  </si>
  <si>
    <t>AH-101951408</t>
  </si>
  <si>
    <t>Alan Haines</t>
  </si>
  <si>
    <t>Tamarac</t>
  </si>
  <si>
    <t>Florida</t>
  </si>
  <si>
    <t>OFF-SU-5634</t>
  </si>
  <si>
    <t>Premier Automatic Letter Opener</t>
  </si>
  <si>
    <t>EZ-2015-AG27032-42249</t>
  </si>
  <si>
    <t>AG-27032</t>
  </si>
  <si>
    <t>Alejandro Grove</t>
  </si>
  <si>
    <t>Prague</t>
  </si>
  <si>
    <t>Czech Republic</t>
  </si>
  <si>
    <t>ES-2012-BW1120045-41085</t>
  </si>
  <si>
    <t>BW-1120045</t>
  </si>
  <si>
    <t>Ben Wallace</t>
  </si>
  <si>
    <t>Dieppe</t>
  </si>
  <si>
    <t>IT-2015-FM1421545-42271</t>
  </si>
  <si>
    <t>FM-1421545</t>
  </si>
  <si>
    <t>Gap</t>
  </si>
  <si>
    <t>CA-2013-AH10195140-41338</t>
  </si>
  <si>
    <t>AH-101951406</t>
  </si>
  <si>
    <t>Bethlehem</t>
  </si>
  <si>
    <t>FUR-CH-6016</t>
  </si>
  <si>
    <t>Situations Contoured Folding Chairs, 4/Set</t>
  </si>
  <si>
    <t>IN-2014-PF1912027-41916</t>
  </si>
  <si>
    <t>Shuangcheng</t>
  </si>
  <si>
    <t>IN-2013-NL1831027-41586</t>
  </si>
  <si>
    <t>NL-1831027</t>
  </si>
  <si>
    <t>CT-2013-SC1072524-41301</t>
  </si>
  <si>
    <t>SC-1072524</t>
  </si>
  <si>
    <t>Steven Cartwright</t>
  </si>
  <si>
    <t>Bangui</t>
  </si>
  <si>
    <t>Central African Republic</t>
  </si>
  <si>
    <t>IN-2013-CA1226592-41627</t>
  </si>
  <si>
    <t>CA-1226592</t>
  </si>
  <si>
    <t>Hastings</t>
  </si>
  <si>
    <t>Hawke's Bay</t>
  </si>
  <si>
    <t>TEC-PH-3803</t>
  </si>
  <si>
    <t>Cisco Signal Booster, with Caller ID</t>
  </si>
  <si>
    <t>CA-2012-AH19523-41129</t>
  </si>
  <si>
    <t>AH-19523</t>
  </si>
  <si>
    <t>Waterloo</t>
  </si>
  <si>
    <t>OFF-EN-3089</t>
  </si>
  <si>
    <t>Envelopes</t>
  </si>
  <si>
    <t>Ames Business Envelopes, Security-Tint</t>
  </si>
  <si>
    <t>US-2015-AG1052582-42355</t>
  </si>
  <si>
    <t>AG-1052582</t>
  </si>
  <si>
    <t>Irapuato</t>
  </si>
  <si>
    <t>IN-2012-PL1892527-41228</t>
  </si>
  <si>
    <t>PL-1892527</t>
  </si>
  <si>
    <t>Xinyi</t>
  </si>
  <si>
    <t>ES-2014-AB1001545-41930</t>
  </si>
  <si>
    <t>AB-1001545</t>
  </si>
  <si>
    <t>TEC-CO-4785</t>
  </si>
  <si>
    <t>HP Personal Copier, Digital</t>
  </si>
  <si>
    <t>IN-2015-TS2150527-42286</t>
  </si>
  <si>
    <t>TS-2150527</t>
  </si>
  <si>
    <t>IN-2015-MG1814558-42087</t>
  </si>
  <si>
    <t>MG-1814558</t>
  </si>
  <si>
    <t>Bhilwara</t>
  </si>
  <si>
    <t>CA-2015-AH10195140-42314</t>
  </si>
  <si>
    <t>AH-101951402</t>
  </si>
  <si>
    <t>OFF-BI-3308</t>
  </si>
  <si>
    <t>Avery Recycled Flexi-View Covers for Binding Systems</t>
  </si>
  <si>
    <t>ES-2013-RD1958514-41639</t>
  </si>
  <si>
    <t>RD-1958514</t>
  </si>
  <si>
    <t>Antwerp</t>
  </si>
  <si>
    <t>CA-2015-AH10195140-42241</t>
  </si>
  <si>
    <t>OFF-BI-3983</t>
  </si>
  <si>
    <t>DXL Angle-View Binders with Locking Rings by Samsill</t>
  </si>
  <si>
    <t>ID-2015-BD116057-42103</t>
  </si>
  <si>
    <t>BD-116057</t>
  </si>
  <si>
    <t>Brian Dahlen</t>
  </si>
  <si>
    <t>IN-2015-PB191057-42281</t>
  </si>
  <si>
    <t>PB-191057</t>
  </si>
  <si>
    <t>Peter Bühler</t>
  </si>
  <si>
    <t>Orange</t>
  </si>
  <si>
    <t>ES-2013-AB10150120-41588</t>
  </si>
  <si>
    <t>AB-10150120</t>
  </si>
  <si>
    <t>IN-2015-GK1462092-42294</t>
  </si>
  <si>
    <t>GK-1462092</t>
  </si>
  <si>
    <t>Grace Kelly</t>
  </si>
  <si>
    <t>Napier</t>
  </si>
  <si>
    <t>US-2015-SC2057582-42342</t>
  </si>
  <si>
    <t>SC-2057582</t>
  </si>
  <si>
    <t>Sonia Cooley</t>
  </si>
  <si>
    <t>Torreón</t>
  </si>
  <si>
    <t>IN-2013-CC1247566-41572</t>
  </si>
  <si>
    <t>CC-1247566</t>
  </si>
  <si>
    <t>Noda</t>
  </si>
  <si>
    <t>Chiba</t>
  </si>
  <si>
    <t>FUR-TA-3762</t>
  </si>
  <si>
    <t>Chromcraft Computer Table, with Bottom Storage</t>
  </si>
  <si>
    <t>BN-2012-DO343515-41172</t>
  </si>
  <si>
    <t>DO-343515</t>
  </si>
  <si>
    <t>Porto-Novo</t>
  </si>
  <si>
    <t>Ouémé</t>
  </si>
  <si>
    <t>Benin</t>
  </si>
  <si>
    <t>TEC-PH-5351</t>
  </si>
  <si>
    <t>Nokia Signal Booster, Full Size</t>
  </si>
  <si>
    <t>MX-2012-NS1850582-41223</t>
  </si>
  <si>
    <t>NS-1850582</t>
  </si>
  <si>
    <t>CA-2013-AH10210140-41615</t>
  </si>
  <si>
    <t>AH-102101406</t>
  </si>
  <si>
    <t>TEC-PH-3966</t>
  </si>
  <si>
    <t>Digium D40 VoIP phone</t>
  </si>
  <si>
    <t>IT-2013-TS2143045-41346</t>
  </si>
  <si>
    <t>TS-2143045</t>
  </si>
  <si>
    <t>Outreau</t>
  </si>
  <si>
    <t>CA-2015-AH10210140-42363</t>
  </si>
  <si>
    <t>AH-102101404</t>
  </si>
  <si>
    <t>OFF-ST-5422</t>
  </si>
  <si>
    <t>Office Impressions Heavy Duty Welded Shelving &amp; Multimedia Storage Drawers</t>
  </si>
  <si>
    <t>MX-2012-AZ1075093-41271</t>
  </si>
  <si>
    <t>AZ-1075093</t>
  </si>
  <si>
    <t>Annie Zypern</t>
  </si>
  <si>
    <t>US-2015-AH10210140-42291</t>
  </si>
  <si>
    <t>AH-102101408</t>
  </si>
  <si>
    <t>OFF-ST-6315</t>
  </si>
  <si>
    <t>Trav-L-File Heavy-Duty Shuttle II, Black</t>
  </si>
  <si>
    <t>ES-2015-IG1508545-42032</t>
  </si>
  <si>
    <t>IG-1508545</t>
  </si>
  <si>
    <t>Ivan Gibson</t>
  </si>
  <si>
    <t>Bourg-en-Bresse</t>
  </si>
  <si>
    <t>IT-2014-SP2086045-41956</t>
  </si>
  <si>
    <t>SP-2086045</t>
  </si>
  <si>
    <t>Sung Pak</t>
  </si>
  <si>
    <t>CA-2015-AH10210140-42250</t>
  </si>
  <si>
    <t>ID-2013-KM162257-41501</t>
  </si>
  <si>
    <t>KM-162257</t>
  </si>
  <si>
    <t>Kalyca Meade</t>
  </si>
  <si>
    <t>TEC-CO-3708</t>
  </si>
  <si>
    <t>Canon Wireless Fax, Digital</t>
  </si>
  <si>
    <t>MX-2015-BS1136518-42199</t>
  </si>
  <si>
    <t>BS-1136518</t>
  </si>
  <si>
    <t>Americana</t>
  </si>
  <si>
    <t>TEC-CO-4776</t>
  </si>
  <si>
    <t>HP Fax Machine, Laser</t>
  </si>
  <si>
    <t>IN-2013-TC211457-41286</t>
  </si>
  <si>
    <t>TC-211457</t>
  </si>
  <si>
    <t>TEC-MA-5499</t>
  </si>
  <si>
    <t>Okidata Card Printer, White</t>
  </si>
  <si>
    <t>IR-2013-KM672060-41389</t>
  </si>
  <si>
    <t>KM-672060</t>
  </si>
  <si>
    <t>Kashan</t>
  </si>
  <si>
    <t>Esfahan</t>
  </si>
  <si>
    <t>ID-2014-AH105857-41926</t>
  </si>
  <si>
    <t>Sunbury</t>
  </si>
  <si>
    <t>IN-2013-GM144407-41401</t>
  </si>
  <si>
    <t>GM-144407</t>
  </si>
  <si>
    <t>IN-2012-BF1097527-41128</t>
  </si>
  <si>
    <t>BF-1097527</t>
  </si>
  <si>
    <t>TEC-CO-3689</t>
  </si>
  <si>
    <t>Canon Fax Machine, Laser</t>
  </si>
  <si>
    <t>ES-2012-MM1805548-41259</t>
  </si>
  <si>
    <t>MM-1805548</t>
  </si>
  <si>
    <t>Michelle Moray</t>
  </si>
  <si>
    <t>Herford</t>
  </si>
  <si>
    <t>CA-2015-AH10210140-42332</t>
  </si>
  <si>
    <t>AH-102101402</t>
  </si>
  <si>
    <t>TEC-PH-5560</t>
  </si>
  <si>
    <t>Panasonic KX TS208W Corded phone</t>
  </si>
  <si>
    <t>ID-2012-RB193607-41227</t>
  </si>
  <si>
    <t>RB-193607</t>
  </si>
  <si>
    <t>Raymond Buch</t>
  </si>
  <si>
    <t>Cairns</t>
  </si>
  <si>
    <t>FUR-BO-4863</t>
  </si>
  <si>
    <t>Ikea Library with Doors, Traditional</t>
  </si>
  <si>
    <t>UP-2013-NC8415137-41583</t>
  </si>
  <si>
    <t>NC-8415137</t>
  </si>
  <si>
    <t>Nathan Cano</t>
  </si>
  <si>
    <t>L'viv</t>
  </si>
  <si>
    <t>TEC-MA-4193</t>
  </si>
  <si>
    <t>Epson Card Printer, Durable</t>
  </si>
  <si>
    <t>ES-2013-GR1456096-41280</t>
  </si>
  <si>
    <t>GR-1456096</t>
  </si>
  <si>
    <t>Oslo</t>
  </si>
  <si>
    <t>TEC-CO-4575</t>
  </si>
  <si>
    <t>Hewlett Fax Machine, Color</t>
  </si>
  <si>
    <t>CA-2012-AH10210140-41241</t>
  </si>
  <si>
    <t>TEC-PH-6413</t>
  </si>
  <si>
    <t>Wilson SignalBoost 841262 DB PRO Amplifier Kit</t>
  </si>
  <si>
    <t>IN-2012-SN207107-41174</t>
  </si>
  <si>
    <t>SN-207107</t>
  </si>
  <si>
    <t>Steve Nguyen</t>
  </si>
  <si>
    <t>IZ-2013-DL333061-41514</t>
  </si>
  <si>
    <t>DL-333061</t>
  </si>
  <si>
    <t>Arbil</t>
  </si>
  <si>
    <t>CA-2015-AH10210140-42072</t>
  </si>
  <si>
    <t>Anaheim</t>
  </si>
  <si>
    <t>OFF-BI-4485</t>
  </si>
  <si>
    <t>Green Canvas Binder for 8-1/2" x 14" Sheets</t>
  </si>
  <si>
    <t>CA-2013-AH10210140-41588</t>
  </si>
  <si>
    <t>Brentwood</t>
  </si>
  <si>
    <t>TEC-AC-5237</t>
  </si>
  <si>
    <t>Microsoft Sculpt Comfort Mouse</t>
  </si>
  <si>
    <t>IN-2015-CJ118757-42172</t>
  </si>
  <si>
    <t>CJ-118757</t>
  </si>
  <si>
    <t>Carl Jackson</t>
  </si>
  <si>
    <t>ES-2013-AY10555139-41430</t>
  </si>
  <si>
    <t>AY-10555139</t>
  </si>
  <si>
    <t>Andy Yotov</t>
  </si>
  <si>
    <t>Bradford</t>
  </si>
  <si>
    <t>MX-2014-CP1234036-41762</t>
  </si>
  <si>
    <t>CP-1234036</t>
  </si>
  <si>
    <t>San Pedro de Macorís</t>
  </si>
  <si>
    <t>OFF-AP-4965</t>
  </si>
  <si>
    <t>KitchenAid Stove, Red</t>
  </si>
  <si>
    <t>MX-2014-MP1747093-41914</t>
  </si>
  <si>
    <t>MP-1747093</t>
  </si>
  <si>
    <t>Mark Packer</t>
  </si>
  <si>
    <t>Estelí</t>
  </si>
  <si>
    <t>ES-2012-PJ19015139-41257</t>
  </si>
  <si>
    <t>PJ-19015139</t>
  </si>
  <si>
    <t>Pauline Johnson</t>
  </si>
  <si>
    <t>MX-2013-NC1841593-41572</t>
  </si>
  <si>
    <t>NC-1841593</t>
  </si>
  <si>
    <t>ES-2014-BV11245120-41688</t>
  </si>
  <si>
    <t>BV-11245120</t>
  </si>
  <si>
    <t>Benjamin Venier</t>
  </si>
  <si>
    <t>San Sebastian</t>
  </si>
  <si>
    <t>ES-2015-LW1682545-42258</t>
  </si>
  <si>
    <t>LW-1682545</t>
  </si>
  <si>
    <t>Schiltigheim</t>
  </si>
  <si>
    <t>FUR-TA-3350</t>
  </si>
  <si>
    <t>Barricks Round Table, Rectangular</t>
  </si>
  <si>
    <t>ES-2014-BO1142545-41927</t>
  </si>
  <si>
    <t>BO-1142545</t>
  </si>
  <si>
    <t>ID-2014-EB1384059-41928</t>
  </si>
  <si>
    <t>EB-1384059</t>
  </si>
  <si>
    <t>MX-2015-SG2047031-42074</t>
  </si>
  <si>
    <t>SG-2047031</t>
  </si>
  <si>
    <t>Consolación del Sur</t>
  </si>
  <si>
    <t>Pinar del Río</t>
  </si>
  <si>
    <t>MO-2015-PO919586-42264</t>
  </si>
  <si>
    <t>PO-919586</t>
  </si>
  <si>
    <t>Tangier</t>
  </si>
  <si>
    <t>Tanger-Tétouan</t>
  </si>
  <si>
    <t>MX-2012-CS1184516-41216</t>
  </si>
  <si>
    <t>CS-1184516</t>
  </si>
  <si>
    <t>Oruro</t>
  </si>
  <si>
    <t>Bolivia</t>
  </si>
  <si>
    <t>OFF-AP-4735</t>
  </si>
  <si>
    <t>Hoover Refrigerator, Black</t>
  </si>
  <si>
    <t>ES-2015-KB1658548-42276</t>
  </si>
  <si>
    <t>KB-1658548</t>
  </si>
  <si>
    <t>Munich</t>
  </si>
  <si>
    <t>TEC-MA-4207</t>
  </si>
  <si>
    <t>Epson Printer, White</t>
  </si>
  <si>
    <t>IN-2015-EM1414058-42194</t>
  </si>
  <si>
    <t>EM-1414058</t>
  </si>
  <si>
    <t>Eugene Moren</t>
  </si>
  <si>
    <t>Malegaon</t>
  </si>
  <si>
    <t>FUR-BO-3897</t>
  </si>
  <si>
    <t>Dania Floating Shelf Set, Metal</t>
  </si>
  <si>
    <t>ES-2013-KN1639048-41352</t>
  </si>
  <si>
    <t>KN-1639048</t>
  </si>
  <si>
    <t>Euskirchen</t>
  </si>
  <si>
    <t>OFF-ST-5701</t>
  </si>
  <si>
    <t>Rogers Lockers, Industrial</t>
  </si>
  <si>
    <t>IN-2014-SL2015566-41803</t>
  </si>
  <si>
    <t>SL-2015566</t>
  </si>
  <si>
    <t>Sakai</t>
  </si>
  <si>
    <t>Gunma</t>
  </si>
  <si>
    <t>OFF-AP-3864</t>
  </si>
  <si>
    <t>Cuisinart Microwave, Black</t>
  </si>
  <si>
    <t>IN-2014-CM1211578-41783</t>
  </si>
  <si>
    <t>CM-1211578</t>
  </si>
  <si>
    <t>RS-2012-GZ4545108-41088</t>
  </si>
  <si>
    <t>GZ-4545108</t>
  </si>
  <si>
    <t>George Zrebassa</t>
  </si>
  <si>
    <t>Blagoveshchensk</t>
  </si>
  <si>
    <t>Amur</t>
  </si>
  <si>
    <t>MX-2012-DK1298582-41256</t>
  </si>
  <si>
    <t>DK-1298582</t>
  </si>
  <si>
    <t>Tijuana</t>
  </si>
  <si>
    <t>FUR-BO-5966</t>
  </si>
  <si>
    <t>Sauder Library with Doors, Metal</t>
  </si>
  <si>
    <t>IN-2014-DK1298558-41863</t>
  </si>
  <si>
    <t>DK-1298558</t>
  </si>
  <si>
    <t>IN-2013-PN1877527-41527</t>
  </si>
  <si>
    <t>PN-1877527</t>
  </si>
  <si>
    <t>Parhena Norris</t>
  </si>
  <si>
    <t>IN-2014-MS1798058-41801</t>
  </si>
  <si>
    <t>MS-1798058</t>
  </si>
  <si>
    <t>Hyderabad</t>
  </si>
  <si>
    <t>Telangana</t>
  </si>
  <si>
    <t>IN-2014-EH1412578-41936</t>
  </si>
  <si>
    <t>EH-1412578</t>
  </si>
  <si>
    <t>TEC-PH-5246</t>
  </si>
  <si>
    <t>Motorola Audio Dock, Cordless</t>
  </si>
  <si>
    <t>ES-2014-AG1090045-41801</t>
  </si>
  <si>
    <t>AG-1090045</t>
  </si>
  <si>
    <t>Villeneuve-Saint-Georges</t>
  </si>
  <si>
    <t>IN-2015-BS1159066-42139</t>
  </si>
  <si>
    <t>BS-1159066</t>
  </si>
  <si>
    <t>Takasaki</t>
  </si>
  <si>
    <t>TEC-PH-3129</t>
  </si>
  <si>
    <t>Apple Audio Dock, VoIP</t>
  </si>
  <si>
    <t>CA-2014-AH10210140-41690</t>
  </si>
  <si>
    <t>Nashville</t>
  </si>
  <si>
    <t>OFF-PA-6092</t>
  </si>
  <si>
    <t>Speediset Carbonless Redi-Letter 7" x 8 1/2"</t>
  </si>
  <si>
    <t>ES-2012-BP11185139-41252</t>
  </si>
  <si>
    <t>BP-11185139</t>
  </si>
  <si>
    <t>OFF-AP-4730</t>
  </si>
  <si>
    <t>Hoover Microwave, Black</t>
  </si>
  <si>
    <t>MX-2014-BH1171039-41930</t>
  </si>
  <si>
    <t>BH-1171039</t>
  </si>
  <si>
    <t>IR-2014-AS28560-41972</t>
  </si>
  <si>
    <t>AS-28560</t>
  </si>
  <si>
    <t>TEC-PH-3801</t>
  </si>
  <si>
    <t>Cisco Signal Booster, Full Size</t>
  </si>
  <si>
    <t>IN-2013-SC2080058-41310</t>
  </si>
  <si>
    <t>SC-2080058</t>
  </si>
  <si>
    <t>Stuart Calhoun</t>
  </si>
  <si>
    <t>Bhilai</t>
  </si>
  <si>
    <t>ID-2014-SV208157-41679</t>
  </si>
  <si>
    <t>SV-208157</t>
  </si>
  <si>
    <t>FUR-TA-3770</t>
  </si>
  <si>
    <t>Chromcraft Round Table, Fully Assembled</t>
  </si>
  <si>
    <t>IT-2012-MP1817545-41040</t>
  </si>
  <si>
    <t>MP-1817545</t>
  </si>
  <si>
    <t>FUR-TA-3780</t>
  </si>
  <si>
    <t>Chromcraft Wood Table, with Bottom Storage</t>
  </si>
  <si>
    <t>CA-2012-AS10225140-41199</t>
  </si>
  <si>
    <t>AS-102251408</t>
  </si>
  <si>
    <t>Montgomery</t>
  </si>
  <si>
    <t>Alabama</t>
  </si>
  <si>
    <t>TEC-PH-3183</t>
  </si>
  <si>
    <t>Avaya IP Phone 1140E VoIP phone</t>
  </si>
  <si>
    <t>AL-2014-TT114602-41863</t>
  </si>
  <si>
    <t>TT-114602</t>
  </si>
  <si>
    <t>Tonja Turnell</t>
  </si>
  <si>
    <t>Durres</t>
  </si>
  <si>
    <t>Durrës</t>
  </si>
  <si>
    <t>TEC-PH-3818</t>
  </si>
  <si>
    <t>Cisco Speaker Phone, with Caller ID</t>
  </si>
  <si>
    <t>ES-2015-PS1876048-42179</t>
  </si>
  <si>
    <t>PS-1876048</t>
  </si>
  <si>
    <t>Frankfurt</t>
  </si>
  <si>
    <t>IN-2015-RR1952527-42035</t>
  </si>
  <si>
    <t>RR-1952527</t>
  </si>
  <si>
    <t>IN-2015-AC1042027-42150</t>
  </si>
  <si>
    <t>AC-1042027</t>
  </si>
  <si>
    <t>Alyssa Crouse</t>
  </si>
  <si>
    <t>MX-2012-TP2113082-41207</t>
  </si>
  <si>
    <t>TP-2113082</t>
  </si>
  <si>
    <t>IN-2015-CG1204092-42032</t>
  </si>
  <si>
    <t>CG-1204092</t>
  </si>
  <si>
    <t>Catherine Glotzbach</t>
  </si>
  <si>
    <t>FUR-BO-3629</t>
  </si>
  <si>
    <t>Bush Corner Shelving, Mobile</t>
  </si>
  <si>
    <t>ID-2014-BG1103527-41781</t>
  </si>
  <si>
    <t>BG-1103527</t>
  </si>
  <si>
    <t>Anqing</t>
  </si>
  <si>
    <t>OFF-AP-4737</t>
  </si>
  <si>
    <t>Hoover Refrigerator, Silver</t>
  </si>
  <si>
    <t>ID-2012-CR12580144-41132</t>
  </si>
  <si>
    <t>CR-12580144</t>
  </si>
  <si>
    <t>Clay Rozendal</t>
  </si>
  <si>
    <t>TEC-CO-4570</t>
  </si>
  <si>
    <t>Hewlett Copy Machine, Laser</t>
  </si>
  <si>
    <t>TZ-2012-TR11325129-41031</t>
  </si>
  <si>
    <t>TR-11325129</t>
  </si>
  <si>
    <t>Toby Ritter</t>
  </si>
  <si>
    <t>MX-2014-SC2044082-41877</t>
  </si>
  <si>
    <t>SC-2044082</t>
  </si>
  <si>
    <t>Shaun Chance</t>
  </si>
  <si>
    <t>Tamaulipas</t>
  </si>
  <si>
    <t>IN-2013-CA1277558-41548</t>
  </si>
  <si>
    <t>IN-2014-BT1168027-41815</t>
  </si>
  <si>
    <t>BT-1168027</t>
  </si>
  <si>
    <t>CA-2015-AS10225140-42265</t>
  </si>
  <si>
    <t>AS-102251404</t>
  </si>
  <si>
    <t>Provo</t>
  </si>
  <si>
    <t>Utah</t>
  </si>
  <si>
    <t>FUR-BO-4391</t>
  </si>
  <si>
    <t>Global Adaptabilites Bookcase, Cherry/Storm Gray Finish</t>
  </si>
  <si>
    <t>MX-2015-CC1237026-42115</t>
  </si>
  <si>
    <t>CC-1237026</t>
  </si>
  <si>
    <t>Copiapó</t>
  </si>
  <si>
    <t>Atacama</t>
  </si>
  <si>
    <t>Chile</t>
  </si>
  <si>
    <t>FUR-CH-5394</t>
  </si>
  <si>
    <t>Novimex Rocking Chair, Adjustable</t>
  </si>
  <si>
    <t>MX-2015-DC1328582-42091</t>
  </si>
  <si>
    <t>DC-1328582</t>
  </si>
  <si>
    <t>Ensenada</t>
  </si>
  <si>
    <t>FUR-TA-5067</t>
  </si>
  <si>
    <t>Lesro Training Table, Adjustable Height</t>
  </si>
  <si>
    <t>MX-2015-JE1574531-42255</t>
  </si>
  <si>
    <t>JE-1574531</t>
  </si>
  <si>
    <t>Joel Eaton</t>
  </si>
  <si>
    <t>FUR-TA-3357</t>
  </si>
  <si>
    <t>Barricks Wood Table, Fully Assembled</t>
  </si>
  <si>
    <t>MX-2014-DB1321036-41961</t>
  </si>
  <si>
    <t>DB-1321036</t>
  </si>
  <si>
    <t>La Romana</t>
  </si>
  <si>
    <t>MX-2015-LS1720080-42294</t>
  </si>
  <si>
    <t>LS-1720080</t>
  </si>
  <si>
    <t>Fort-de-France</t>
  </si>
  <si>
    <t>Martinique</t>
  </si>
  <si>
    <t>ES-2013-BE11335139-41340</t>
  </si>
  <si>
    <t>BE-11335139</t>
  </si>
  <si>
    <t>Kingswood</t>
  </si>
  <si>
    <t>IN-2013-MH180257-41443</t>
  </si>
  <si>
    <t>MH-180257</t>
  </si>
  <si>
    <t>Michelle Huthwaite</t>
  </si>
  <si>
    <t>OFF-ST-6282</t>
  </si>
  <si>
    <t>Tenex Trays, Industrial</t>
  </si>
  <si>
    <t>IT-2014-JB1592548-41789</t>
  </si>
  <si>
    <t>JB-1592548</t>
  </si>
  <si>
    <t>Joni Blumstein</t>
  </si>
  <si>
    <t>Trier</t>
  </si>
  <si>
    <t>Rhineland-Palatinate</t>
  </si>
  <si>
    <t>ES-2014-TW21025139-41807</t>
  </si>
  <si>
    <t>TW-21025139</t>
  </si>
  <si>
    <t>Leeds</t>
  </si>
  <si>
    <t>IN-2015-GW1460527-42089</t>
  </si>
  <si>
    <t>GW-1460527</t>
  </si>
  <si>
    <t>Giulietta Weimer</t>
  </si>
  <si>
    <t>US-2012-SC2072518-41166</t>
  </si>
  <si>
    <t>SC-2072518</t>
  </si>
  <si>
    <t>Petrópolis</t>
  </si>
  <si>
    <t>Rio de Janeiro</t>
  </si>
  <si>
    <t>ES-2013-LR1691544-41537</t>
  </si>
  <si>
    <t>LR-1691544</t>
  </si>
  <si>
    <t>Vantaa</t>
  </si>
  <si>
    <t>ES-2012-FO1430545-41141</t>
  </si>
  <si>
    <t>FO-1430545</t>
  </si>
  <si>
    <t>Frank Olsen</t>
  </si>
  <si>
    <t>Noisy-le-Grand</t>
  </si>
  <si>
    <t>SY-2013-SV10815126-41541</t>
  </si>
  <si>
    <t>SV-10815126</t>
  </si>
  <si>
    <t>Homs</t>
  </si>
  <si>
    <t>Hims</t>
  </si>
  <si>
    <t>Syria</t>
  </si>
  <si>
    <t>IN-2015-JF1541527-42095</t>
  </si>
  <si>
    <t>JF-1541527</t>
  </si>
  <si>
    <t>Liaoyang</t>
  </si>
  <si>
    <t>CA-2015-AS10225140-42347</t>
  </si>
  <si>
    <t>OFF-AP-3371</t>
  </si>
  <si>
    <t>Belkin 8-Outlet Premiere SurgeMaster II Surge Protectors</t>
  </si>
  <si>
    <t>MX-2014-SS2014018-41658</t>
  </si>
  <si>
    <t>SS-2014018</t>
  </si>
  <si>
    <t>Araguaína</t>
  </si>
  <si>
    <t>Tocantins</t>
  </si>
  <si>
    <t>ID-2015-RP19855130-42348</t>
  </si>
  <si>
    <t>RP-19855130</t>
  </si>
  <si>
    <t>TotalSales</t>
  </si>
  <si>
    <t>Dis_amt</t>
  </si>
  <si>
    <t>Total</t>
  </si>
  <si>
    <t>Sum of Total</t>
  </si>
  <si>
    <t>Row Labels</t>
  </si>
  <si>
    <t>Grand Total</t>
  </si>
  <si>
    <t>Total Sales by Category</t>
  </si>
  <si>
    <t>Total Sales by Segment</t>
  </si>
  <si>
    <t>Total Sales by Region</t>
  </si>
  <si>
    <t>Shipping Days</t>
  </si>
  <si>
    <t>Average of Shipping Days</t>
  </si>
  <si>
    <t>Average Shipping days by Shipping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</si>
</sst>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4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yash mishra" refreshedDate="46203.672991666666" createdVersion="8" refreshedVersion="8" minRefreshableVersion="3" recordCount="867" xr:uid="{6D17CD28-7B07-4E03-9783-6BB0CF3EFCE4}">
  <cacheSource type="worksheet">
    <worksheetSource name="Superstore_Sales"/>
  </cacheSource>
  <cacheFields count="27">
    <cacheField name="Row ID" numFmtId="0">
      <sharedItems containsSemiMixedTypes="0" containsString="0" containsNumber="1" containsInteger="1" minValue="58" maxValue="51284"/>
    </cacheField>
    <cacheField name="Order ID" numFmtId="0">
      <sharedItems/>
    </cacheField>
    <cacheField name="Order Date" numFmtId="14">
      <sharedItems containsSemiMixedTypes="0" containsNonDate="0" containsDate="1" containsString="0" minDate="2012-01-08T00:00:00" maxDate="2016-01-01T00:00:00"/>
    </cacheField>
    <cacheField name="Ship Date" numFmtId="14">
      <sharedItems containsSemiMixedTypes="0" containsNonDate="0" containsDate="1" containsString="0" minDate="2012-01-11T00:00:00" maxDate="2016-01-04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Postal Code" numFmtId="0">
      <sharedItems containsString="0" containsBlank="1" containsNumber="1" containsInteger="1" minValue="2920" maxValue="98198"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Region" numFmtId="0">
      <sharedItems count="22">
        <s v="Central US"/>
        <s v="Oceania"/>
        <s v="Western Europe"/>
        <s v="Western Africa"/>
        <s v="Western US"/>
        <s v="Southern Asia"/>
        <s v="Western Asia"/>
        <s v="South America"/>
        <s v="Eastern Asia"/>
        <s v="Southern Europe"/>
        <s v="Eastern Africa"/>
        <s v="Eastern Europe"/>
        <s v="Northern Europe"/>
        <s v="Central America"/>
        <s v="Eastern US"/>
        <s v="Caribbean"/>
        <s v="Central Africa"/>
        <s v="Southeastern Asia"/>
        <s v="Southern US"/>
        <s v="North Africa"/>
        <s v="Southern Africa"/>
        <s v="Canada"/>
      </sharedItems>
    </cacheField>
    <cacheField name="Market" numFmtId="0">
      <sharedItems/>
    </cacheField>
    <cacheField name="Product ID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3.01" maxValue="9892.74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059.82" maxValue="4946.37"/>
    </cacheField>
    <cacheField name="Shipping Cost" numFmtId="0">
      <sharedItems containsSemiMixedTypes="0" containsString="0" containsNumber="1" minValue="1.1299999999999999" maxValue="923.63"/>
    </cacheField>
    <cacheField name="Order Priority" numFmtId="0">
      <sharedItems/>
    </cacheField>
    <cacheField name="TotalSales" numFmtId="0">
      <sharedItems containsSemiMixedTypes="0" containsString="0" containsNumber="1" minValue="4.18" maxValue="128605.62"/>
    </cacheField>
    <cacheField name="Dis_amt" numFmtId="0">
      <sharedItems containsSemiMixedTypes="0" containsString="0" containsNumber="1" minValue="0" maxValue="203.9796"/>
    </cacheField>
    <cacheField name="Total" numFmtId="0">
      <sharedItems containsSemiMixedTypes="0" containsString="0" containsNumber="1" minValue="3" maxValue="128106.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yash mishra" refreshedDate="46203.680533217594" backgroundQuery="1" createdVersion="8" refreshedVersion="8" minRefreshableVersion="3" recordCount="0" supportSubquery="1" supportAdvancedDrill="1" xr:uid="{735AAA39-E4B1-4DF4-976B-1F87F20F53E3}">
  <cacheSource type="external" connectionId="2"/>
  <cacheFields count="2">
    <cacheField name="[Superstore_Sales].[Ship Mode].[Ship Mode]" caption="Ship Mode" numFmtId="0" hierarchy="5" level="1">
      <sharedItems count="4">
        <s v="First Class"/>
        <s v="Same Day"/>
        <s v="Second Class"/>
        <s v="Standard Class"/>
      </sharedItems>
    </cacheField>
    <cacheField name="[Measures].[Average of Shipping Days]" caption="Average of Shipping Days" numFmtId="0" hierarchy="31" level="32767"/>
  </cacheFields>
  <cacheHierarchies count="32">
    <cacheHierarchy uniqueName="[Superstore_Sales].[Row ID]" caption="Row ID" attribute="1" defaultMemberUniqueName="[Superstore_Sales].[Row ID].[All]" allUniqueName="[Superstore_Sales].[Row ID].[All]" dimensionUniqueName="[Superstore_Sales]" displayFolder="" count="0" memberValueDatatype="20" unbalanced="0"/>
    <cacheHierarchy uniqueName="[Superstore_Sales].[Order ID]" caption="Order ID" attribute="1" defaultMemberUniqueName="[Superstore_Sales].[Order ID].[All]" allUniqueName="[Superstore_Sales].[Order ID].[All]" dimensionUniqueName="[Superstore_Sales]" displayFolder="" count="0" memberValueDatatype="130" unbalanced="0"/>
    <cacheHierarchy uniqueName="[Superstore_Sales].[Order Date]" caption="Order Date" attribute="1" time="1" defaultMemberUniqueName="[Superstore_Sales].[Order Date].[All]" allUniqueName="[Superstore_Sales].[Order Date].[All]" dimensionUniqueName="[Superstore_Sales]" displayFolder="" count="0" memberValueDatatype="7" unbalanced="0"/>
    <cacheHierarchy uniqueName="[Superstore_Sales].[Ship Date]" caption="Ship Date" attribute="1" time="1" defaultMemberUniqueName="[Superstore_Sales].[Ship Date].[All]" allUniqueName="[Superstore_Sales].[Ship Date].[All]" dimensionUniqueName="[Superstore_Sales]" displayFolder="" count="0" memberValueDatatype="7" unbalanced="0"/>
    <cacheHierarchy uniqueName="[Superstore_Sales].[Shipping Days]" caption="Shipping Days" attribute="1" defaultMemberUniqueName="[Superstore_Sales].[Shipping Days].[All]" allUniqueName="[Superstore_Sales].[Shipping Days].[All]" dimensionUniqueName="[Superstore_Sales]" displayFolder="" count="0" memberValueDatatype="20" unbalanced="0"/>
    <cacheHierarchy uniqueName="[Superstore_Sales].[Ship Mode]" caption="Ship Mode" attribute="1" defaultMemberUniqueName="[Superstore_Sales].[Ship Mode].[All]" allUniqueName="[Superstore_Sales].[Ship Mode].[All]" dimensionUniqueName="[Superstore_Sales]" displayFolder="" count="2" memberValueDatatype="130" unbalanced="0">
      <fieldsUsage count="2">
        <fieldUsage x="-1"/>
        <fieldUsage x="0"/>
      </fieldsUsage>
    </cacheHierarchy>
    <cacheHierarchy uniqueName="[Superstore_Sales].[Customer ID]" caption="Customer ID" attribute="1" defaultMemberUniqueName="[Superstore_Sales].[Customer ID].[All]" allUniqueName="[Superstore_Sales].[Customer ID].[All]" dimensionUniqueName="[Superstore_Sales]" displayFolder="" count="0" memberValueDatatype="130" unbalanced="0"/>
    <cacheHierarchy uniqueName="[Superstore_Sales].[Customer Name]" caption="Customer Name" attribute="1" defaultMemberUniqueName="[Superstore_Sales].[Customer Name].[All]" allUniqueName="[Superstore_Sales].[Customer Name].[All]" dimensionUniqueName="[Superstore_Sales]" displayFolder="" count="0" memberValueDatatype="130" unbalanced="0"/>
    <cacheHierarchy uniqueName="[Superstore_Sales].[Segment]" caption="Segment" attribute="1" defaultMemberUniqueName="[Superstore_Sales].[Segment].[All]" allUniqueName="[Superstore_Sales].[Segment].[All]" dimensionUniqueName="[Superstore_Sales]" displayFolder="" count="0" memberValueDatatype="130" unbalanced="0"/>
    <cacheHierarchy uniqueName="[Superstore_Sales].[Postal Code]" caption="Postal Code" attribute="1" defaultMemberUniqueName="[Superstore_Sales].[Postal Code].[All]" allUniqueName="[Superstore_Sales].[Postal Code].[All]" dimensionUniqueName="[Superstore_Sales]" displayFolder="" count="0" memberValueDatatype="20" unbalanced="0"/>
    <cacheHierarchy uniqueName="[Superstore_Sales].[City]" caption="City" attribute="1" defaultMemberUniqueName="[Superstore_Sales].[City].[All]" allUniqueName="[Superstore_Sales].[City].[All]" dimensionUniqueName="[Superstore_Sales]" displayFolder="" count="0" memberValueDatatype="130" unbalanced="0"/>
    <cacheHierarchy uniqueName="[Superstore_Sales].[State]" caption="State" attribute="1" defaultMemberUniqueName="[Superstore_Sales].[State].[All]" allUniqueName="[Superstore_Sales].[State].[All]" dimensionUniqueName="[Superstore_Sales]" displayFolder="" count="0" memberValueDatatype="130" unbalanced="0"/>
    <cacheHierarchy uniqueName="[Superstore_Sales].[Country]" caption="Country" attribute="1" defaultMemberUniqueName="[Superstore_Sales].[Country].[All]" allUniqueName="[Superstore_Sales].[Country].[All]" dimensionUniqueName="[Superstore_Sales]" displayFolder="" count="0" memberValueDatatype="130" unbalanced="0"/>
    <cacheHierarchy uniqueName="[Superstore_Sales].[Region]" caption="Region" attribute="1" defaultMemberUniqueName="[Superstore_Sales].[Region].[All]" allUniqueName="[Superstore_Sales].[Region].[All]" dimensionUniqueName="[Superstore_Sales]" displayFolder="" count="0" memberValueDatatype="130" unbalanced="0"/>
    <cacheHierarchy uniqueName="[Superstore_Sales].[Market]" caption="Market" attribute="1" defaultMemberUniqueName="[Superstore_Sales].[Market].[All]" allUniqueName="[Superstore_Sales].[Market].[All]" dimensionUniqueName="[Superstore_Sales]" displayFolder="" count="0" memberValueDatatype="130" unbalanced="0"/>
    <cacheHierarchy uniqueName="[Superstore_Sales].[Product ID]" caption="Product ID" attribute="1" defaultMemberUniqueName="[Superstore_Sales].[Product ID].[All]" allUniqueName="[Superstore_Sales].[Product ID].[All]" dimensionUniqueName="[Superstore_Sales]" displayFolder="" count="0" memberValueDatatype="130" unbalanced="0"/>
    <cacheHierarchy uniqueName="[Superstore_Sales].[Category]" caption="Category" attribute="1" defaultMemberUniqueName="[Superstore_Sales].[Category].[All]" allUniqueName="[Superstore_Sales].[Category].[All]" dimensionUniqueName="[Superstore_Sales]" displayFolder="" count="0" memberValueDatatype="130" unbalanced="0"/>
    <cacheHierarchy uniqueName="[Superstore_Sales].[Sub-Category]" caption="Sub-Category" attribute="1" defaultMemberUniqueName="[Superstore_Sales].[Sub-Category].[All]" allUniqueName="[Superstore_Sales].[Sub-Category].[All]" dimensionUniqueName="[Superstore_Sales]" displayFolder="" count="0" memberValueDatatype="130" unbalanced="0"/>
    <cacheHierarchy uniqueName="[Superstore_Sales].[Product Name]" caption="Product Name" attribute="1" defaultMemberUniqueName="[Superstore_Sales].[Product Name].[All]" allUniqueName="[Superstore_Sales].[Product Name].[All]" dimensionUniqueName="[Superstore_Sales]" displayFolder="" count="0" memberValueDatatype="130" unbalanced="0"/>
    <cacheHierarchy uniqueName="[Superstore_Sales].[Sales]" caption="Sales" attribute="1" defaultMemberUniqueName="[Superstore_Sales].[Sales].[All]" allUniqueName="[Superstore_Sales].[Sales].[All]" dimensionUniqueName="[Superstore_Sales]" displayFolder="" count="0" memberValueDatatype="5" unbalanced="0"/>
    <cacheHierarchy uniqueName="[Superstore_Sales].[Quantity]" caption="Quantity" attribute="1" defaultMemberUniqueName="[Superstore_Sales].[Quantity].[All]" allUniqueName="[Superstore_Sales].[Quantity].[All]" dimensionUniqueName="[Superstore_Sales]" displayFolder="" count="0" memberValueDatatype="20" unbalanced="0"/>
    <cacheHierarchy uniqueName="[Superstore_Sales].[Discount]" caption="Discount" attribute="1" defaultMemberUniqueName="[Superstore_Sales].[Discount].[All]" allUniqueName="[Superstore_Sales].[Discount].[All]" dimensionUniqueName="[Superstore_Sales]" displayFolder="" count="0" memberValueDatatype="5" unbalanced="0"/>
    <cacheHierarchy uniqueName="[Superstore_Sales].[Profit]" caption="Profit" attribute="1" defaultMemberUniqueName="[Superstore_Sales].[Profit].[All]" allUniqueName="[Superstore_Sales].[Profit].[All]" dimensionUniqueName="[Superstore_Sales]" displayFolder="" count="0" memberValueDatatype="5" unbalanced="0"/>
    <cacheHierarchy uniqueName="[Superstore_Sales].[Shipping Cost]" caption="Shipping Cost" attribute="1" defaultMemberUniqueName="[Superstore_Sales].[Shipping Cost].[All]" allUniqueName="[Superstore_Sales].[Shipping Cost].[All]" dimensionUniqueName="[Superstore_Sales]" displayFolder="" count="0" memberValueDatatype="5" unbalanced="0"/>
    <cacheHierarchy uniqueName="[Superstore_Sales].[Order Priority]" caption="Order Priority" attribute="1" defaultMemberUniqueName="[Superstore_Sales].[Order Priority].[All]" allUniqueName="[Superstore_Sales].[Order Priority].[All]" dimensionUniqueName="[Superstore_Sales]" displayFolder="" count="0" memberValueDatatype="130" unbalanced="0"/>
    <cacheHierarchy uniqueName="[Superstore_Sales].[TotalSales]" caption="TotalSales" attribute="1" defaultMemberUniqueName="[Superstore_Sales].[TotalSales].[All]" allUniqueName="[Superstore_Sales].[TotalSales].[All]" dimensionUniqueName="[Superstore_Sales]" displayFolder="" count="0" memberValueDatatype="5" unbalanced="0"/>
    <cacheHierarchy uniqueName="[Superstore_Sales].[Dis_amt]" caption="Dis_amt" attribute="1" defaultMemberUniqueName="[Superstore_Sales].[Dis_amt].[All]" allUniqueName="[Superstore_Sales].[Dis_amt].[All]" dimensionUniqueName="[Superstore_Sales]" displayFolder="" count="0" memberValueDatatype="5" unbalanced="0"/>
    <cacheHierarchy uniqueName="[Superstore_Sales].[Total]" caption="Total" attribute="1" defaultMemberUniqueName="[Superstore_Sales].[Total].[All]" allUniqueName="[Superstore_Sales].[Total].[All]" dimensionUniqueName="[Superstore_Sales]" displayFolder="" count="0" memberValueDatatype="5" unbalanced="0"/>
    <cacheHierarchy uniqueName="[Measures].[__XL_Count Superstore_Sales]" caption="__XL_Count Superstore_Sales" measure="1" displayFolder="" measureGroup="Superstore_Sales" count="0" hidden="1"/>
    <cacheHierarchy uniqueName="[Measures].[__No measures defined]" caption="__No measures defined" measure="1" displayFolder="" count="0" hidden="1"/>
    <cacheHierarchy uniqueName="[Measures].[Sum of Shipping Days]" caption="Sum of Shipping Days" measure="1" displayFolder="" measureGroup="Superstore_Sal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hipping Days]" caption="Average of Shipping Days" measure="1" displayFolder="" measureGroup="Superstore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uperstore_Sales" uniqueName="[Superstore_Sales]" caption="Superstore_Sales"/>
  </dimensions>
  <measureGroups count="1">
    <measureGroup name="Superstore_Sales" caption="Superstore_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7">
  <r>
    <n v="40098"/>
    <s v="CA-2014-AB10015140-41954"/>
    <d v="2014-11-11T00:00:00"/>
    <d v="2014-11-13T00:00:00"/>
    <s v="First Class"/>
    <s v="AB-100151402"/>
    <s v="Aaron Bergman"/>
    <x v="0"/>
    <n v="73120"/>
    <s v="Oklahoma City"/>
    <s v="Oklahoma"/>
    <s v="United States"/>
    <x v="0"/>
    <s v="USCA"/>
    <s v="TEC-PH-5816"/>
    <x v="0"/>
    <s v="Phones"/>
    <s v="Samsung Convoy 3"/>
    <n v="221.98"/>
    <n v="2"/>
    <n v="0"/>
    <n v="62.15"/>
    <n v="40.770000000000003"/>
    <s v="High"/>
    <n v="443.96"/>
    <n v="0"/>
    <n v="403.19"/>
  </r>
  <r>
    <n v="26341"/>
    <s v="IN-2014-JR162107-41675"/>
    <d v="2014-02-05T00:00:00"/>
    <d v="2014-02-07T00:00:00"/>
    <s v="Second Class"/>
    <s v="JR-162107"/>
    <s v="Justin Ritter"/>
    <x v="1"/>
    <m/>
    <s v="Wollongong"/>
    <s v="New South Wales"/>
    <s v="Australia"/>
    <x v="1"/>
    <s v="Asia Pacific"/>
    <s v="FUR-CH-5379"/>
    <x v="1"/>
    <s v="Chairs"/>
    <s v="Novimex Executive Leather Armchair, Black"/>
    <n v="3709.4"/>
    <n v="9"/>
    <n v="0.1"/>
    <n v="-288.77"/>
    <n v="923.63"/>
    <s v="Critical"/>
    <n v="33384.6"/>
    <n v="33.384599999999999"/>
    <n v="32427.5854"/>
  </r>
  <r>
    <n v="25330"/>
    <s v="IN-2014-CR127307-41929"/>
    <d v="2014-10-17T00:00:00"/>
    <d v="2014-10-18T00:00:00"/>
    <s v="First Class"/>
    <s v="CR-127307"/>
    <s v="Craig Reiter"/>
    <x v="0"/>
    <m/>
    <s v="Brisbane"/>
    <s v="Queensland"/>
    <s v="Australia"/>
    <x v="1"/>
    <s v="Asia Pacific"/>
    <s v="TEC-PH-5356"/>
    <x v="0"/>
    <s v="Phones"/>
    <s v="Nokia Smart Phone, with Caller ID"/>
    <n v="5175.17"/>
    <n v="9"/>
    <n v="0.1"/>
    <n v="919.97"/>
    <n v="915.49"/>
    <s v="Medium"/>
    <n v="46576.53"/>
    <n v="46.576530000000005"/>
    <n v="45614.463470000002"/>
  </r>
  <r>
    <n v="13524"/>
    <s v="ES-2014-KM1637548-41667"/>
    <d v="2014-01-28T00:00:00"/>
    <d v="2014-01-30T00:00:00"/>
    <s v="First Class"/>
    <s v="KM-1637548"/>
    <s v="Katherine Murray"/>
    <x v="2"/>
    <m/>
    <s v="Berlin"/>
    <s v="Berlin"/>
    <s v="Germany"/>
    <x v="2"/>
    <s v="Europe"/>
    <s v="TEC-PH-5267"/>
    <x v="0"/>
    <s v="Phones"/>
    <s v="Motorola Smart Phone, Cordless"/>
    <n v="2892.51"/>
    <n v="5"/>
    <n v="0.1"/>
    <n v="-96.54"/>
    <n v="910.16"/>
    <s v="Medium"/>
    <n v="14462.550000000001"/>
    <n v="14.46255"/>
    <n v="13537.927450000001"/>
  </r>
  <r>
    <n v="47221"/>
    <s v="SG-2014-RH9495111-41948"/>
    <d v="2014-11-05T00:00:00"/>
    <d v="2014-11-06T00:00:00"/>
    <s v="Same Day"/>
    <s v="RH-9495111"/>
    <s v="Rick Hansen"/>
    <x v="0"/>
    <m/>
    <s v="Dakar"/>
    <s v="Dakar"/>
    <s v="Senegal"/>
    <x v="3"/>
    <s v="Africa"/>
    <s v="TEC-CO-6011"/>
    <x v="0"/>
    <s v="Copiers"/>
    <s v="Sharp Wireless Fax, High-Speed"/>
    <n v="2832.96"/>
    <n v="8"/>
    <n v="0"/>
    <n v="311.52"/>
    <n v="903.04"/>
    <s v="Critical"/>
    <n v="22663.68"/>
    <n v="0"/>
    <n v="21760.639999999999"/>
  </r>
  <r>
    <n v="22732"/>
    <s v="IN-2014-JM156557-41818"/>
    <d v="2014-06-28T00:00:00"/>
    <d v="2014-07-01T00:00:00"/>
    <s v="Second Class"/>
    <s v="JM-156557"/>
    <s v="Jim Mitchum"/>
    <x v="1"/>
    <m/>
    <s v="Sydney"/>
    <s v="New South Wales"/>
    <s v="Australia"/>
    <x v="1"/>
    <s v="Asia Pacific"/>
    <s v="TEC-PH-5842"/>
    <x v="0"/>
    <s v="Phones"/>
    <s v="Samsung Smart Phone, with Caller ID"/>
    <n v="2862.68"/>
    <n v="5"/>
    <n v="0.1"/>
    <n v="763.28"/>
    <n v="897.35"/>
    <s v="Critical"/>
    <n v="14313.4"/>
    <n v="14.313400000000001"/>
    <n v="13401.736599999998"/>
  </r>
  <r>
    <n v="30570"/>
    <s v="IN-2012-TS2134092-41219"/>
    <d v="2012-11-06T00:00:00"/>
    <d v="2012-11-08T00:00:00"/>
    <s v="First Class"/>
    <s v="TS-2134092"/>
    <s v="Toby Swindell"/>
    <x v="0"/>
    <m/>
    <s v="Porirua"/>
    <s v="Wellington"/>
    <s v="New Zealand"/>
    <x v="1"/>
    <s v="Asia Pacific"/>
    <s v="FUR-CH-5378"/>
    <x v="1"/>
    <s v="Chairs"/>
    <s v="Novimex Executive Leather Armchair, Adjustable"/>
    <n v="1822.08"/>
    <n v="4"/>
    <n v="0"/>
    <n v="564.84"/>
    <n v="894.77"/>
    <s v="Critical"/>
    <n v="7288.32"/>
    <n v="0"/>
    <n v="6393.5499999999993"/>
  </r>
  <r>
    <n v="31192"/>
    <s v="IN-2013-MB1808592-41378"/>
    <d v="2013-04-14T00:00:00"/>
    <d v="2013-04-18T00:00:00"/>
    <s v="Standard Class"/>
    <s v="MB-1808592"/>
    <s v="Mick Brown"/>
    <x v="0"/>
    <m/>
    <s v="Hamilton"/>
    <s v="Waikato"/>
    <s v="New Zealand"/>
    <x v="1"/>
    <s v="Asia Pacific"/>
    <s v="FUR-TA-3764"/>
    <x v="1"/>
    <s v="Tables"/>
    <s v="Chromcraft Conference Table, Fully Assembled"/>
    <n v="5244.84"/>
    <n v="6"/>
    <n v="0"/>
    <n v="996.48"/>
    <n v="878.38"/>
    <s v="High"/>
    <n v="31469.040000000001"/>
    <n v="0"/>
    <n v="30590.66"/>
  </r>
  <r>
    <n v="36258"/>
    <s v="CA-2012-AB10015140-40974"/>
    <d v="2012-03-06T00:00:00"/>
    <d v="2012-03-07T00:00:00"/>
    <s v="First Class"/>
    <s v="AB-100151404"/>
    <s v="Aaron Bergman"/>
    <x v="0"/>
    <n v="98103"/>
    <s v="Seattle"/>
    <s v="Washington"/>
    <s v="United States"/>
    <x v="4"/>
    <s v="USCA"/>
    <s v="FUR-CH-4421"/>
    <x v="1"/>
    <s v="Chairs"/>
    <s v="Global Push Button Manager's Chair, Indigo"/>
    <n v="48.71"/>
    <n v="1"/>
    <n v="0.2"/>
    <n v="5.48"/>
    <n v="11.13"/>
    <s v="High"/>
    <n v="48.71"/>
    <n v="9.7420000000000007E-2"/>
    <n v="37.482579999999999"/>
  </r>
  <r>
    <n v="28879"/>
    <s v="ID-2013-AJ107801-41383"/>
    <d v="2013-04-19T00:00:00"/>
    <d v="2013-04-22T00:00:00"/>
    <s v="First Class"/>
    <s v="AJ-107801"/>
    <s v="Anthony Jacobs"/>
    <x v="1"/>
    <m/>
    <s v="Kabul"/>
    <s v="Kabul"/>
    <s v="Afghanistan"/>
    <x v="5"/>
    <s v="Asia Pacific"/>
    <s v="FUR-TA-3420"/>
    <x v="1"/>
    <s v="Tables"/>
    <s v="Bevis Conference Table, Fully Assembled"/>
    <n v="4626.1499999999996"/>
    <n v="5"/>
    <n v="0"/>
    <n v="647.54999999999995"/>
    <n v="835.57"/>
    <s v="High"/>
    <n v="23130.75"/>
    <n v="0"/>
    <n v="22295.18"/>
  </r>
  <r>
    <n v="45794"/>
    <s v="SA-2012-MM7260110-41269"/>
    <d v="2012-12-26T00:00:00"/>
    <d v="2012-12-28T00:00:00"/>
    <s v="Second Class"/>
    <s v="MM-7260110"/>
    <s v="Magdelene Morse"/>
    <x v="0"/>
    <m/>
    <s v="Jizan"/>
    <s v="Jizan"/>
    <s v="Saudi Arabia"/>
    <x v="6"/>
    <s v="Asia Pacific"/>
    <s v="TEC-PH-3807"/>
    <x v="0"/>
    <s v="Phones"/>
    <s v="Cisco Smart Phone, with Caller ID"/>
    <n v="2616.96"/>
    <n v="4"/>
    <n v="0"/>
    <n v="1151.4000000000001"/>
    <n v="832.41"/>
    <s v="Critical"/>
    <n v="10467.84"/>
    <n v="0"/>
    <n v="9635.43"/>
  </r>
  <r>
    <n v="4132"/>
    <s v="MX-2013-VF2171518-41591"/>
    <d v="2013-11-13T00:00:00"/>
    <d v="2013-11-13T00:00:00"/>
    <s v="Same Day"/>
    <s v="VF-2171518"/>
    <s v="Vicky Freymann"/>
    <x v="2"/>
    <m/>
    <s v="Toledo"/>
    <s v="Parana"/>
    <s v="Brazil"/>
    <x v="7"/>
    <s v="LATAM"/>
    <s v="FUR-CH-4530"/>
    <x v="1"/>
    <s v="Chairs"/>
    <s v="Harbour Creations Executive Leather Armchair, Adjustable"/>
    <n v="2221.8000000000002"/>
    <n v="7"/>
    <n v="0"/>
    <n v="622.02"/>
    <n v="810.25"/>
    <s v="Critical"/>
    <n v="15552.600000000002"/>
    <n v="0"/>
    <n v="14742.350000000002"/>
  </r>
  <r>
    <n v="27704"/>
    <s v="IN-2014-PF1912027-41796"/>
    <d v="2014-06-06T00:00:00"/>
    <d v="2014-06-08T00:00:00"/>
    <s v="Second Class"/>
    <s v="PF-1912027"/>
    <s v="Peter Fuller"/>
    <x v="0"/>
    <m/>
    <s v="Mudanjiang"/>
    <s v="Heilongjiang"/>
    <s v="China"/>
    <x v="8"/>
    <s v="Asia Pacific"/>
    <s v="OFF-AP-4959"/>
    <x v="2"/>
    <s v="Appliances"/>
    <s v="KitchenAid Microwave, White"/>
    <n v="3701.52"/>
    <n v="12"/>
    <n v="0"/>
    <n v="1036.08"/>
    <n v="804.54"/>
    <s v="Critical"/>
    <n v="44418.239999999998"/>
    <n v="0"/>
    <n v="43613.7"/>
  </r>
  <r>
    <n v="13779"/>
    <s v="ES-2015-BP1118545-42216"/>
    <d v="2015-07-31T00:00:00"/>
    <d v="2015-08-03T00:00:00"/>
    <s v="Second Class"/>
    <s v="BP-1118545"/>
    <s v="Ben Peterman"/>
    <x v="1"/>
    <m/>
    <s v="Paris"/>
    <s v="Ile-de-France"/>
    <s v="France"/>
    <x v="2"/>
    <s v="Europe"/>
    <s v="OFF-AP-3575"/>
    <x v="2"/>
    <s v="Appliances"/>
    <s v="Breville Refrigerator, Red"/>
    <n v="1869.59"/>
    <n v="4"/>
    <n v="0.1"/>
    <n v="186.95"/>
    <n v="801.66"/>
    <s v="Critical"/>
    <n v="7478.36"/>
    <n v="7.4783600000000003"/>
    <n v="6669.2216399999998"/>
  </r>
  <r>
    <n v="39519"/>
    <s v="CA-2012-AB10015140-40958"/>
    <d v="2012-02-19T00:00:00"/>
    <d v="2012-02-25T00:00:00"/>
    <s v="Standard Class"/>
    <s v="AB-100151402"/>
    <s v="Aaron Bergman"/>
    <x v="0"/>
    <n v="76017"/>
    <s v="Arlington"/>
    <s v="Texas"/>
    <s v="United States"/>
    <x v="0"/>
    <s v="USCA"/>
    <s v="OFF-ST-3078"/>
    <x v="2"/>
    <s v="Storage"/>
    <s v="Akro Stacking Bins"/>
    <n v="12.62"/>
    <n v="2"/>
    <n v="0.2"/>
    <n v="-2.52"/>
    <n v="1.97"/>
    <s v="Low"/>
    <n v="25.24"/>
    <n v="5.0479999999999997E-2"/>
    <n v="23.219519999999999"/>
  </r>
  <r>
    <n v="12069"/>
    <s v="ES-2015-PJ1883564-42255"/>
    <d v="2015-09-08T00:00:00"/>
    <d v="2015-09-14T00:00:00"/>
    <s v="Standard Class"/>
    <s v="PJ-1883564"/>
    <s v="Patrick Jones"/>
    <x v="1"/>
    <m/>
    <s v="Prato"/>
    <s v="Tuscany"/>
    <s v="Italy"/>
    <x v="9"/>
    <s v="Europe"/>
    <s v="OFF-AP-4743"/>
    <x v="2"/>
    <s v="Appliances"/>
    <s v="Hoover Stove, Red"/>
    <n v="7958.58"/>
    <n v="14"/>
    <n v="0"/>
    <n v="3979.08"/>
    <n v="778.32"/>
    <s v="Low"/>
    <n v="111420.12"/>
    <n v="0"/>
    <n v="110641.79999999999"/>
  </r>
  <r>
    <n v="22096"/>
    <s v="IN-2015-JS156857-42035"/>
    <d v="2015-01-31T00:00:00"/>
    <d v="2015-02-01T00:00:00"/>
    <s v="First Class"/>
    <s v="JS-156857"/>
    <s v="Jim Sink"/>
    <x v="1"/>
    <m/>
    <s v="Townsville"/>
    <s v="Queensland"/>
    <s v="Australia"/>
    <x v="1"/>
    <s v="Asia Pacific"/>
    <s v="TEC-CO-3597"/>
    <x v="0"/>
    <s v="Copiers"/>
    <s v="Brother Fax Machine, High-Speed"/>
    <n v="2565.59"/>
    <n v="9"/>
    <n v="0.1"/>
    <n v="28.4"/>
    <n v="766.93"/>
    <s v="Critical"/>
    <n v="23090.31"/>
    <n v="23.090310000000002"/>
    <n v="22300.289690000001"/>
  </r>
  <r>
    <n v="49463"/>
    <s v="TZ-2015-RH9555129-42343"/>
    <d v="2015-12-05T00:00:00"/>
    <d v="2015-12-07T00:00:00"/>
    <s v="Second Class"/>
    <s v="RH-9555129"/>
    <s v="Ritsa Hightower"/>
    <x v="0"/>
    <m/>
    <s v="Uvinza"/>
    <s v="Kigoma"/>
    <s v="Tanzania"/>
    <x v="10"/>
    <s v="Africa"/>
    <s v="OFF-AP-4967"/>
    <x v="2"/>
    <s v="Appliances"/>
    <s v="KitchenAid Stove, White"/>
    <n v="3409.74"/>
    <n v="6"/>
    <n v="0"/>
    <n v="818.28"/>
    <n v="763.38"/>
    <s v="High"/>
    <n v="20458.439999999999"/>
    <n v="0"/>
    <n v="19695.059999999998"/>
  </r>
  <r>
    <n v="46630"/>
    <s v="PL-2013-AB600103-41494"/>
    <d v="2013-08-08T00:00:00"/>
    <d v="2013-08-10T00:00:00"/>
    <s v="First Class"/>
    <s v="AB-600103"/>
    <s v="Ann Blume"/>
    <x v="1"/>
    <m/>
    <s v="Bytom"/>
    <s v="Silesia"/>
    <s v="Poland"/>
    <x v="11"/>
    <s v="Europe"/>
    <s v="FUR-TA-4644"/>
    <x v="1"/>
    <s v="Tables"/>
    <s v="Hon Computer Table, with Bottom Storage"/>
    <n v="1977.72"/>
    <n v="4"/>
    <n v="0"/>
    <n v="276.83999999999997"/>
    <n v="759.47"/>
    <s v="Critical"/>
    <n v="7910.88"/>
    <n v="0"/>
    <n v="7151.41"/>
  </r>
  <r>
    <n v="21586"/>
    <s v="IN-2012-JK1532527-41030"/>
    <d v="2012-05-01T00:00:00"/>
    <d v="2012-05-02T00:00:00"/>
    <s v="First Class"/>
    <s v="JK-1532527"/>
    <s v="Jason Klamczynski"/>
    <x v="1"/>
    <m/>
    <s v="Suzhou"/>
    <s v="Anhui"/>
    <s v="China"/>
    <x v="8"/>
    <s v="Asia Pacific"/>
    <s v="FUR-CH-5774"/>
    <x v="1"/>
    <s v="Chairs"/>
    <s v="SAFCO Executive Leather Armchair, Black"/>
    <n v="2754"/>
    <n v="6"/>
    <n v="0"/>
    <n v="358.02"/>
    <n v="752.47"/>
    <s v="Critical"/>
    <n v="16524"/>
    <n v="0"/>
    <n v="15771.53"/>
  </r>
  <r>
    <n v="13528"/>
    <s v="ES-2014-LB16795139-41697"/>
    <d v="2014-02-27T00:00:00"/>
    <d v="2014-03-01T00:00:00"/>
    <s v="Second Class"/>
    <s v="LB-16795139"/>
    <s v="Laurel Beltran"/>
    <x v="2"/>
    <m/>
    <s v="Edinburgh"/>
    <s v="Scotland"/>
    <s v="United Kingdom"/>
    <x v="12"/>
    <s v="Europe"/>
    <s v="OFF-AP-4960"/>
    <x v="2"/>
    <s v="Appliances"/>
    <s v="KitchenAid Refrigerator, Black"/>
    <n v="5273.7"/>
    <n v="10"/>
    <n v="0"/>
    <n v="1898.4"/>
    <n v="730.91"/>
    <s v="High"/>
    <n v="52737"/>
    <n v="0"/>
    <n v="52006.09"/>
  </r>
  <r>
    <n v="1570"/>
    <s v="US-2015-NP1832582-42216"/>
    <d v="2015-07-31T00:00:00"/>
    <d v="2015-08-01T00:00:00"/>
    <s v="First Class"/>
    <s v="NP-1832582"/>
    <s v="Naresj Patel"/>
    <x v="0"/>
    <m/>
    <s v="Juárez"/>
    <s v="Chihuahua"/>
    <s v="Mexico"/>
    <x v="13"/>
    <s v="LATAM"/>
    <s v="TEC-PH-5268"/>
    <x v="0"/>
    <s v="Phones"/>
    <s v="Motorola Smart Phone, Full Size"/>
    <n v="1713.84"/>
    <n v="4"/>
    <n v="0"/>
    <n v="445.52"/>
    <n v="728.96799999999996"/>
    <s v="Critical"/>
    <n v="6855.36"/>
    <n v="0"/>
    <n v="6126.3919999999998"/>
  </r>
  <r>
    <n v="3484"/>
    <s v="MX-2015-VD2167039-42252"/>
    <d v="2015-09-05T00:00:00"/>
    <d v="2015-09-08T00:00:00"/>
    <s v="First Class"/>
    <s v="VD-2167039"/>
    <s v="Valerie Dominguez"/>
    <x v="0"/>
    <m/>
    <s v="Soyapango"/>
    <s v="San Salvador"/>
    <s v="El Salvador"/>
    <x v="13"/>
    <s v="LATAM"/>
    <s v="FUR-TA-4643"/>
    <x v="1"/>
    <s v="Tables"/>
    <s v="Hon Computer Table, Fully Assembled"/>
    <n v="2106.5"/>
    <n v="8"/>
    <n v="0.2"/>
    <n v="526.5"/>
    <n v="728.38900000000001"/>
    <s v="Critical"/>
    <n v="16852"/>
    <n v="33.704000000000001"/>
    <n v="16089.906999999999"/>
  </r>
  <r>
    <n v="30191"/>
    <s v="IN-2012-PB19210127-41259"/>
    <d v="2012-12-16T00:00:00"/>
    <d v="2012-12-19T00:00:00"/>
    <s v="First Class"/>
    <s v="PB-19210127"/>
    <s v="Phillip Breyer"/>
    <x v="1"/>
    <m/>
    <s v="Taipei"/>
    <s v="Taipei City"/>
    <s v="Taiwan"/>
    <x v="8"/>
    <s v="Asia Pacific"/>
    <s v="FUR-TA-5060"/>
    <x v="1"/>
    <s v="Tables"/>
    <s v="Lesro Conference Table, with Bottom Storage"/>
    <n v="1715.16"/>
    <n v="2"/>
    <n v="0"/>
    <n v="720.36"/>
    <n v="725.57"/>
    <s v="Critical"/>
    <n v="3430.32"/>
    <n v="0"/>
    <n v="2704.75"/>
  </r>
  <r>
    <n v="11645"/>
    <s v="ES-2012-EB1411048-40981"/>
    <d v="2012-03-13T00:00:00"/>
    <d v="2012-03-16T00:00:00"/>
    <s v="Second Class"/>
    <s v="EB-1411048"/>
    <s v="Eugene Barchas"/>
    <x v="0"/>
    <m/>
    <s v="Leipzig"/>
    <s v="Saxony"/>
    <s v="Germany"/>
    <x v="2"/>
    <s v="Europe"/>
    <s v="OFF-AP-4743"/>
    <x v="2"/>
    <s v="Appliances"/>
    <s v="Hoover Stove, Red"/>
    <n v="3069.74"/>
    <n v="6"/>
    <n v="0.1"/>
    <n v="1364.24"/>
    <n v="725.34"/>
    <s v="Critical"/>
    <n v="18418.439999999999"/>
    <n v="18.41844"/>
    <n v="17674.681559999997"/>
  </r>
  <r>
    <n v="38460"/>
    <s v="CA-2012-AH10030140-41020"/>
    <d v="2012-04-21T00:00:00"/>
    <d v="2012-04-23T00:00:00"/>
    <s v="Second Class"/>
    <s v="AH-100301406"/>
    <s v="Aaron Hawkins"/>
    <x v="1"/>
    <n v="12180"/>
    <s v="Troy"/>
    <s v="New York"/>
    <s v="United States"/>
    <x v="14"/>
    <s v="USCA"/>
    <s v="OFF-FA-6129"/>
    <x v="2"/>
    <s v="Fasteners"/>
    <s v="Staples"/>
    <n v="247.84"/>
    <n v="8"/>
    <n v="0"/>
    <n v="121.44"/>
    <n v="55.2"/>
    <s v="Critical"/>
    <n v="1982.72"/>
    <n v="0"/>
    <n v="1927.52"/>
  </r>
  <r>
    <n v="22999"/>
    <s v="IN-2013-BP1123058-41329"/>
    <d v="2013-02-24T00:00:00"/>
    <d v="2013-02-24T00:00:00"/>
    <s v="Same Day"/>
    <s v="BP-1123058"/>
    <s v="Benjamin Patterson"/>
    <x v="0"/>
    <m/>
    <s v="Surat"/>
    <s v="Gujarat"/>
    <s v="India"/>
    <x v="5"/>
    <s v="Asia Pacific"/>
    <s v="FUR-CH-5443"/>
    <x v="1"/>
    <s v="Chairs"/>
    <s v="Office Star Executive Leather Armchair, Red"/>
    <n v="1878.72"/>
    <n v="4"/>
    <n v="0"/>
    <n v="582.36"/>
    <n v="704.08"/>
    <s v="Critical"/>
    <n v="7514.88"/>
    <n v="0"/>
    <n v="6810.8"/>
  </r>
  <r>
    <n v="220"/>
    <s v="US-2012-RR1952536-41270"/>
    <d v="2012-12-27T00:00:00"/>
    <d v="2012-12-29T00:00:00"/>
    <s v="Second Class"/>
    <s v="RR-1952536"/>
    <s v="Rick Reed"/>
    <x v="1"/>
    <m/>
    <s v="Santo Domingo"/>
    <s v="Santo Domingo"/>
    <s v="Dominican Republic"/>
    <x v="15"/>
    <s v="LATAM"/>
    <s v="TEC-PH-5841"/>
    <x v="0"/>
    <s v="Phones"/>
    <s v="Samsung Smart Phone, VoIP"/>
    <n v="1696.64"/>
    <n v="5"/>
    <n v="0.2"/>
    <n v="-148.46"/>
    <n v="704.05600000000004"/>
    <s v="Critical"/>
    <n v="8483.2000000000007"/>
    <n v="16.966400000000004"/>
    <n v="7762.1776000000009"/>
  </r>
  <r>
    <n v="10648"/>
    <s v="ES-2013-BS1136545-41472"/>
    <d v="2013-07-17T00:00:00"/>
    <d v="2013-07-19T00:00:00"/>
    <s v="First Class"/>
    <s v="BS-1136545"/>
    <s v="Bill Shonely"/>
    <x v="1"/>
    <m/>
    <s v="Saint-Brieuc"/>
    <s v="Brittany"/>
    <s v="France"/>
    <x v="2"/>
    <s v="Europe"/>
    <s v="TEC-MA-5503"/>
    <x v="0"/>
    <s v="Machines"/>
    <s v="Okidata Inkjet, Wireless"/>
    <n v="2402.87"/>
    <n v="9"/>
    <n v="0.15"/>
    <n v="763.16"/>
    <n v="699.55"/>
    <s v="Critical"/>
    <n v="21625.829999999998"/>
    <n v="32.438744999999997"/>
    <n v="20893.841254999999"/>
  </r>
  <r>
    <n v="40977"/>
    <s v="CA-2013-AH10030140-41635"/>
    <d v="2013-12-27T00:00:00"/>
    <d v="2013-12-31T00:00:00"/>
    <s v="Standard Class"/>
    <s v="AH-100301404"/>
    <s v="Aaron Hawkins"/>
    <x v="1"/>
    <n v="94122"/>
    <s v="San Francisco"/>
    <s v="California"/>
    <s v="United States"/>
    <x v="4"/>
    <s v="USCA"/>
    <s v="TEC-PH-4389"/>
    <x v="0"/>
    <s v="Phones"/>
    <s v="Geemarc AmpliPOWER60"/>
    <n v="668.16"/>
    <n v="9"/>
    <n v="0.2"/>
    <n v="75.17"/>
    <n v="45.74"/>
    <s v="Medium"/>
    <n v="6013.44"/>
    <n v="12.026879999999998"/>
    <n v="5955.6731199999995"/>
  </r>
  <r>
    <n v="21286"/>
    <s v="IN-2012-DP131057-41215"/>
    <d v="2012-11-02T00:00:00"/>
    <d v="2012-11-04T00:00:00"/>
    <s v="Second Class"/>
    <s v="DP-131057"/>
    <s v="Dave Poirier"/>
    <x v="1"/>
    <m/>
    <s v="Gold Coast"/>
    <s v="Queensland"/>
    <s v="Australia"/>
    <x v="1"/>
    <s v="Asia Pacific"/>
    <s v="OFF-AP-3579"/>
    <x v="2"/>
    <s v="Appliances"/>
    <s v="Breville Stove, Red"/>
    <n v="2526.9299999999998"/>
    <n v="5"/>
    <n v="0.1"/>
    <n v="561.48"/>
    <n v="689.8"/>
    <s v="Critical"/>
    <n v="12634.65"/>
    <n v="12.634650000000001"/>
    <n v="11932.21535"/>
  </r>
  <r>
    <n v="47905"/>
    <s v="CG-2012-AH1003033-41165"/>
    <d v="2012-09-13T00:00:00"/>
    <d v="2012-09-14T00:00:00"/>
    <s v="First Class"/>
    <s v="AH-1003033"/>
    <s v="Aaron Hawkins"/>
    <x v="1"/>
    <m/>
    <s v="Kamina"/>
    <s v="Katanga"/>
    <s v="Democratic Republic of the Congo"/>
    <x v="16"/>
    <s v="Africa"/>
    <s v="TEC-PH-3148"/>
    <x v="0"/>
    <s v="Phones"/>
    <s v="Apple Smart Phone, Full Size"/>
    <n v="3817.26"/>
    <n v="6"/>
    <n v="0"/>
    <n v="1068.6600000000001"/>
    <n v="678.15"/>
    <s v="High"/>
    <n v="22903.56"/>
    <n v="0"/>
    <n v="22225.41"/>
  </r>
  <r>
    <n v="36651"/>
    <s v="CA-2012-AH10030140-41041"/>
    <d v="2012-05-12T00:00:00"/>
    <d v="2012-05-18T00:00:00"/>
    <s v="Standard Class"/>
    <s v="AH-100301404"/>
    <s v="Aaron Hawkins"/>
    <x v="1"/>
    <n v="90004"/>
    <s v="Los Angeles"/>
    <s v="California"/>
    <s v="United States"/>
    <x v="4"/>
    <s v="USCA"/>
    <s v="FUR-CH-4840"/>
    <x v="1"/>
    <s v="Chairs"/>
    <s v="Iceberg Nesting Folding Chair, 19w x 6d x 43h"/>
    <n v="279.45999999999998"/>
    <n v="6"/>
    <n v="0.2"/>
    <n v="20.96"/>
    <n v="11.69"/>
    <s v="Medium"/>
    <n v="1676.7599999999998"/>
    <n v="3.3535199999999996"/>
    <n v="1661.7164799999998"/>
  </r>
  <r>
    <n v="40100"/>
    <s v="CA-2012-AH10030140-41273"/>
    <d v="2012-12-30T00:00:00"/>
    <d v="2012-12-31T00:00:00"/>
    <s v="First Class"/>
    <s v="AH-100301406"/>
    <s v="Aaron Hawkins"/>
    <x v="1"/>
    <n v="10035"/>
    <s v="New York City"/>
    <s v="New York"/>
    <s v="United States"/>
    <x v="14"/>
    <s v="USCA"/>
    <s v="TEC-AC-6340"/>
    <x v="0"/>
    <s v="Accessories"/>
    <s v="Verbatim 25 GB 6x Blu-ray Single Layer Recordable Disc, 10/Pack"/>
    <n v="34.770000000000003"/>
    <n v="3"/>
    <n v="0"/>
    <n v="11.47"/>
    <n v="8.2200000000000006"/>
    <s v="High"/>
    <n v="104.31"/>
    <n v="0"/>
    <n v="96.09"/>
  </r>
  <r>
    <n v="15380"/>
    <s v="ES-2015-PO18865139-42018"/>
    <d v="2015-01-14T00:00:00"/>
    <d v="2015-01-18T00:00:00"/>
    <s v="Standard Class"/>
    <s v="PO-18865139"/>
    <s v="Patrick O'Donnell"/>
    <x v="0"/>
    <m/>
    <s v="Stockton-on-Tees"/>
    <s v="England"/>
    <s v="United Kingdom"/>
    <x v="12"/>
    <s v="Europe"/>
    <s v="TEC-CO-3598"/>
    <x v="0"/>
    <s v="Copiers"/>
    <s v="Brother Fax Machine, Laser"/>
    <n v="4141.0200000000004"/>
    <n v="13"/>
    <n v="0"/>
    <n v="1697.67"/>
    <n v="668.96"/>
    <s v="High"/>
    <n v="53833.260000000009"/>
    <n v="0"/>
    <n v="53164.30000000001"/>
  </r>
  <r>
    <n v="28046"/>
    <s v="IN-2012-DL128657-40918"/>
    <d v="2012-01-10T00:00:00"/>
    <d v="2012-01-11T00:00:00"/>
    <s v="First Class"/>
    <s v="DL-128657"/>
    <s v="Dan Lawera"/>
    <x v="0"/>
    <m/>
    <s v="Brisbane"/>
    <s v="Queensland"/>
    <s v="Australia"/>
    <x v="1"/>
    <s v="Asia Pacific"/>
    <s v="TEC-PH-5356"/>
    <x v="0"/>
    <s v="Phones"/>
    <s v="Nokia Smart Phone, with Caller ID"/>
    <n v="2875.1"/>
    <n v="5"/>
    <n v="0.1"/>
    <n v="511.1"/>
    <n v="665.27"/>
    <s v="Medium"/>
    <n v="14375.5"/>
    <n v="14.375500000000002"/>
    <n v="13695.854499999999"/>
  </r>
  <r>
    <n v="21316"/>
    <s v="ID-2014-JB1600059-41873"/>
    <d v="2014-08-22T00:00:00"/>
    <d v="2014-08-26T00:00:00"/>
    <s v="Standard Class"/>
    <s v="JB-1600059"/>
    <s v="Joy Bell-"/>
    <x v="0"/>
    <m/>
    <s v="Mataram"/>
    <s v="Nusa Tenggara Barat"/>
    <s v="Indonesia"/>
    <x v="17"/>
    <s v="Asia Pacific"/>
    <s v="TEC-PH-5268"/>
    <x v="0"/>
    <s v="Phones"/>
    <s v="Motorola Smart Phone, Full Size"/>
    <n v="3200.6"/>
    <n v="6"/>
    <n v="0.17"/>
    <n v="-77.2"/>
    <n v="660.87"/>
    <s v="High"/>
    <n v="19203.599999999999"/>
    <n v="32.646120000000003"/>
    <n v="18510.083879999998"/>
  </r>
  <r>
    <n v="29272"/>
    <s v="IN-2015-BF1100558-42319"/>
    <d v="2015-11-11T00:00:00"/>
    <d v="2015-11-15T00:00:00"/>
    <s v="Standard Class"/>
    <s v="BF-1100558"/>
    <s v="Barry Franz"/>
    <x v="2"/>
    <m/>
    <s v="Gorakhpur"/>
    <s v="Haryana"/>
    <s v="India"/>
    <x v="5"/>
    <s v="Asia Pacific"/>
    <s v="TEC-PH-5269"/>
    <x v="0"/>
    <s v="Phones"/>
    <s v="Motorola Smart Phone, with Caller ID"/>
    <n v="4518.78"/>
    <n v="7"/>
    <n v="0"/>
    <n v="632.52"/>
    <n v="658.69"/>
    <s v="High"/>
    <n v="31631.46"/>
    <n v="0"/>
    <n v="30972.77"/>
  </r>
  <r>
    <n v="25795"/>
    <s v="IN-2015-VG2180558-42273"/>
    <d v="2015-09-26T00:00:00"/>
    <d v="2015-09-28T00:00:00"/>
    <s v="Second Class"/>
    <s v="VG-2180558"/>
    <s v="Vivek Grady"/>
    <x v="1"/>
    <m/>
    <s v="Thiruvananthapuram"/>
    <s v="Kerala"/>
    <s v="India"/>
    <x v="5"/>
    <s v="Asia Pacific"/>
    <s v="FUR-BO-5951"/>
    <x v="1"/>
    <s v="Bookcases"/>
    <s v="Sauder Classic Bookcase, Traditional"/>
    <n v="5667.87"/>
    <n v="13"/>
    <n v="0"/>
    <n v="2097.0300000000002"/>
    <n v="658.35"/>
    <s v="Medium"/>
    <n v="73682.31"/>
    <n v="0"/>
    <n v="73023.959999999992"/>
  </r>
  <r>
    <n v="16681"/>
    <s v="ES-2013-GT14710139-41621"/>
    <d v="2013-12-13T00:00:00"/>
    <d v="2013-12-17T00:00:00"/>
    <s v="Standard Class"/>
    <s v="GT-14710139"/>
    <s v="Greg Tran"/>
    <x v="0"/>
    <m/>
    <s v="Huddersfield"/>
    <s v="England"/>
    <s v="United Kingdom"/>
    <x v="12"/>
    <s v="Europe"/>
    <s v="TEC-PH-5267"/>
    <x v="0"/>
    <s v="Phones"/>
    <s v="Motorola Smart Phone, Cordless"/>
    <n v="5785.02"/>
    <n v="9"/>
    <n v="0"/>
    <n v="404.73"/>
    <n v="656.73"/>
    <s v="High"/>
    <n v="52065.180000000008"/>
    <n v="0"/>
    <n v="51408.450000000004"/>
  </r>
  <r>
    <n v="15953"/>
    <s v="IT-2012-ZC2191048-41174"/>
    <d v="2012-09-22T00:00:00"/>
    <d v="2012-09-24T00:00:00"/>
    <s v="First Class"/>
    <s v="ZC-2191048"/>
    <s v="Zuschuss Carroll"/>
    <x v="0"/>
    <m/>
    <s v="Berlin"/>
    <s v="Berlin"/>
    <s v="Germany"/>
    <x v="2"/>
    <s v="Europe"/>
    <s v="OFF-AP-3874"/>
    <x v="2"/>
    <s v="Appliances"/>
    <s v="Cuisinart Stove, Silver"/>
    <n v="3018.62"/>
    <n v="7"/>
    <n v="0.2"/>
    <n v="377.24"/>
    <n v="655.91"/>
    <s v="Critical"/>
    <n v="21130.34"/>
    <n v="42.260680000000001"/>
    <n v="20432.169320000001"/>
  </r>
  <r>
    <n v="34608"/>
    <s v="CA-2014-AH10030140-41719"/>
    <d v="2014-03-21T00:00:00"/>
    <d v="2014-03-26T00:00:00"/>
    <s v="Second Class"/>
    <s v="AH-100301408"/>
    <s v="Aaron Hawkins"/>
    <x v="1"/>
    <n v="39503"/>
    <s v="Gulfport"/>
    <s v="Mississippi"/>
    <s v="United States"/>
    <x v="18"/>
    <s v="USCA"/>
    <s v="FUR-FU-4072"/>
    <x v="1"/>
    <s v="Furnishings"/>
    <s v="Eldon Image Series Desk Accessories, Ebony"/>
    <n v="86.45"/>
    <n v="7"/>
    <n v="0"/>
    <n v="38.04"/>
    <n v="5.73"/>
    <s v="Medium"/>
    <n v="605.15"/>
    <n v="0"/>
    <n v="599.41999999999996"/>
  </r>
  <r>
    <n v="13847"/>
    <s v="IT-2014-EB1384045-41706"/>
    <d v="2014-03-08T00:00:00"/>
    <d v="2014-03-08T00:00:00"/>
    <s v="Same Day"/>
    <s v="EB-1384045"/>
    <s v="Ellis Ballard"/>
    <x v="1"/>
    <m/>
    <s v="Montreuil"/>
    <s v="Ile-de-France"/>
    <s v="France"/>
    <x v="2"/>
    <s v="Europe"/>
    <s v="FUR-CH-5441"/>
    <x v="1"/>
    <s v="Chairs"/>
    <s v="Office Star Executive Leather Armchair, Adjustable"/>
    <n v="2092.5"/>
    <n v="5"/>
    <n v="0.1"/>
    <n v="720.75"/>
    <n v="652.98"/>
    <s v="Critical"/>
    <n v="10462.5"/>
    <n v="10.4625"/>
    <n v="9799.0575000000008"/>
  </r>
  <r>
    <n v="24341"/>
    <s v="IN-2015-AP1091527-42244"/>
    <d v="2015-08-28T00:00:00"/>
    <d v="2015-08-29T00:00:00"/>
    <s v="First Class"/>
    <s v="AP-1091527"/>
    <s v="Arthur Prichep"/>
    <x v="0"/>
    <m/>
    <s v="Shouguang"/>
    <s v="Shandong"/>
    <s v="China"/>
    <x v="8"/>
    <s v="Asia Pacific"/>
    <s v="FUR-CH-5380"/>
    <x v="1"/>
    <s v="Chairs"/>
    <s v="Novimex Executive Leather Armchair, Red"/>
    <n v="2761.2"/>
    <n v="6"/>
    <n v="0"/>
    <n v="110.34"/>
    <n v="644.75"/>
    <s v="High"/>
    <n v="16567.199999999997"/>
    <n v="0"/>
    <n v="15922.449999999997"/>
  </r>
  <r>
    <n v="28701"/>
    <s v="IN-2015-SW2027558-42125"/>
    <d v="2015-05-01T00:00:00"/>
    <d v="2015-05-01T00:00:00"/>
    <s v="Same Day"/>
    <s v="SW-2027558"/>
    <s v="Scott Williamson"/>
    <x v="0"/>
    <m/>
    <s v="Jamshedpur"/>
    <s v="Jharkhand"/>
    <s v="India"/>
    <x v="5"/>
    <s v="Asia Pacific"/>
    <s v="TEC-MA-5007"/>
    <x v="0"/>
    <s v="Machines"/>
    <s v="Konica Inkjet, White"/>
    <n v="2174.13"/>
    <n v="7"/>
    <n v="0"/>
    <n v="500.01"/>
    <n v="637.86"/>
    <s v="Critical"/>
    <n v="15218.91"/>
    <n v="0"/>
    <n v="14581.05"/>
  </r>
  <r>
    <n v="6550"/>
    <s v="MX-2015-JH15820141-42356"/>
    <d v="2015-12-18T00:00:00"/>
    <d v="2015-12-20T00:00:00"/>
    <s v="Second Class"/>
    <s v="JH-15820141"/>
    <s v="John Huston"/>
    <x v="0"/>
    <m/>
    <s v="Paysandú"/>
    <s v="Paysandú"/>
    <s v="Uruguay"/>
    <x v="7"/>
    <s v="LATAM"/>
    <s v="FUR-CH-4531"/>
    <x v="1"/>
    <s v="Chairs"/>
    <s v="Harbour Creations Executive Leather Armchair, Black"/>
    <n v="3473.14"/>
    <n v="11"/>
    <n v="0"/>
    <n v="868.12"/>
    <n v="634.529"/>
    <s v="High"/>
    <n v="38204.54"/>
    <n v="0"/>
    <n v="37570.010999999999"/>
  </r>
  <r>
    <n v="37425"/>
    <s v="US-2012-AH10030140-41206"/>
    <d v="2012-10-24T00:00:00"/>
    <d v="2012-10-27T00:00:00"/>
    <s v="First Class"/>
    <s v="AH-100301404"/>
    <s v="Aaron Hawkins"/>
    <x v="1"/>
    <n v="94109"/>
    <s v="San Francisco"/>
    <s v="California"/>
    <s v="United States"/>
    <x v="4"/>
    <s v="USCA"/>
    <s v="OFF-BI-4372"/>
    <x v="2"/>
    <s v="Binders"/>
    <s v="GBC VeloBind Cover Sets"/>
    <n v="49.41"/>
    <n v="4"/>
    <n v="0.2"/>
    <n v="18.53"/>
    <n v="2.84"/>
    <s v="High"/>
    <n v="197.64"/>
    <n v="0.39527999999999996"/>
    <n v="194.40471999999997"/>
  </r>
  <r>
    <n v="48360"/>
    <s v="IR-2015-TG1164060-42265"/>
    <d v="2015-09-18T00:00:00"/>
    <d v="2015-09-21T00:00:00"/>
    <s v="First Class"/>
    <s v="TG-1164060"/>
    <s v="Trudy Glocke"/>
    <x v="0"/>
    <m/>
    <s v="Behshahr"/>
    <s v="Mazandaran"/>
    <s v="Iran"/>
    <x v="5"/>
    <s v="Asia Pacific"/>
    <s v="TEC-CO-3678"/>
    <x v="0"/>
    <s v="Copiers"/>
    <s v="Canon Copy Machine, Color"/>
    <n v="2108.64"/>
    <n v="8"/>
    <n v="0"/>
    <n v="527.04"/>
    <n v="630.97"/>
    <s v="Critical"/>
    <n v="16869.12"/>
    <n v="0"/>
    <n v="16238.15"/>
  </r>
  <r>
    <n v="42336"/>
    <s v="MZ-2014-DG330087-41991"/>
    <d v="2014-12-18T00:00:00"/>
    <d v="2014-12-18T00:00:00"/>
    <s v="Same Day"/>
    <s v="DG-330087"/>
    <s v="Deirdre Greer"/>
    <x v="1"/>
    <m/>
    <s v="Maputo"/>
    <s v="Cidade De Maputo"/>
    <s v="Mozambique"/>
    <x v="10"/>
    <s v="Africa"/>
    <s v="TEC-PH-5269"/>
    <x v="0"/>
    <s v="Phones"/>
    <s v="Motorola Smart Phone, with Caller ID"/>
    <n v="2582.16"/>
    <n v="4"/>
    <n v="0"/>
    <n v="593.88"/>
    <n v="627.16999999999996"/>
    <s v="High"/>
    <n v="10328.64"/>
    <n v="0"/>
    <n v="9701.4699999999993"/>
  </r>
  <r>
    <n v="29047"/>
    <s v="IN-2013-SG2047058-41424"/>
    <d v="2013-05-30T00:00:00"/>
    <d v="2013-05-31T00:00:00"/>
    <s v="First Class"/>
    <s v="SG-2047058"/>
    <s v="Sheri Gordon"/>
    <x v="0"/>
    <m/>
    <s v="Bhopal"/>
    <s v="Madhya Pradesh"/>
    <s v="India"/>
    <x v="5"/>
    <s v="Asia Pacific"/>
    <s v="TEC-CO-4590"/>
    <x v="0"/>
    <s v="Copiers"/>
    <s v="Hewlett Wireless Fax, Color"/>
    <n v="1526.52"/>
    <n v="4"/>
    <n v="0"/>
    <n v="732.72"/>
    <n v="625.77"/>
    <s v="Critical"/>
    <n v="6106.08"/>
    <n v="0"/>
    <n v="5480.3099999999995"/>
  </r>
  <r>
    <n v="29601"/>
    <s v="IN-2013-GP1474058-41419"/>
    <d v="2013-05-25T00:00:00"/>
    <d v="2013-05-28T00:00:00"/>
    <s v="Second Class"/>
    <s v="GP-1474058"/>
    <s v="Guy Phonely"/>
    <x v="1"/>
    <m/>
    <s v="Delhi"/>
    <s v="Delhi"/>
    <s v="India"/>
    <x v="5"/>
    <s v="Asia Pacific"/>
    <s v="FUR-TA-3766"/>
    <x v="1"/>
    <s v="Tables"/>
    <s v="Chromcraft Conference Table, with Bottom Storage"/>
    <n v="1745.34"/>
    <n v="2"/>
    <n v="0"/>
    <n v="226.86"/>
    <n v="616.27"/>
    <s v="Critical"/>
    <n v="3490.68"/>
    <n v="0"/>
    <n v="2874.41"/>
  </r>
  <r>
    <n v="23499"/>
    <s v="IN-2015-MW182207-42221"/>
    <d v="2015-08-05T00:00:00"/>
    <d v="2015-08-06T00:00:00"/>
    <s v="First Class"/>
    <s v="MW-182207"/>
    <s v="Mitch Webber"/>
    <x v="0"/>
    <m/>
    <s v="Geraldton"/>
    <s v="Western Australia"/>
    <s v="Australia"/>
    <x v="1"/>
    <s v="Asia Pacific"/>
    <s v="OFF-AP-3577"/>
    <x v="2"/>
    <s v="Appliances"/>
    <s v="Breville Refrigerator, White"/>
    <n v="4191.51"/>
    <n v="9"/>
    <n v="0.1"/>
    <n v="1164.27"/>
    <n v="614.34"/>
    <s v="High"/>
    <n v="37723.590000000004"/>
    <n v="37.723590000000002"/>
    <n v="37071.526410000006"/>
  </r>
  <r>
    <n v="26634"/>
    <s v="IN-2015-CS1246011-42074"/>
    <d v="2015-03-11T00:00:00"/>
    <d v="2015-03-13T00:00:00"/>
    <s v="Second Class"/>
    <s v="CS-1246011"/>
    <s v="Chuck Sachs"/>
    <x v="0"/>
    <m/>
    <s v="Dhaka"/>
    <s v="Dhaka"/>
    <s v="Bangladesh"/>
    <x v="5"/>
    <s v="Asia Pacific"/>
    <s v="FUR-BO-5760"/>
    <x v="1"/>
    <s v="Bookcases"/>
    <s v="Safco Classic Bookcase, Metal"/>
    <n v="3063.27"/>
    <n v="7"/>
    <n v="0"/>
    <n v="581.91"/>
    <n v="609.24"/>
    <s v="High"/>
    <n v="21442.89"/>
    <n v="0"/>
    <n v="20833.649999999998"/>
  </r>
  <r>
    <n v="34496"/>
    <s v="CA-2015-AH10030140-42357"/>
    <d v="2015-12-19T00:00:00"/>
    <d v="2015-12-23T00:00:00"/>
    <s v="Standard Class"/>
    <s v="AH-100301406"/>
    <s v="Aaron Hawkins"/>
    <x v="1"/>
    <n v="19134"/>
    <s v="Philadelphia"/>
    <s v="Pennsylvania"/>
    <s v="United States"/>
    <x v="14"/>
    <s v="USCA"/>
    <s v="OFF-AR-3276"/>
    <x v="2"/>
    <s v="Art"/>
    <s v="Avery Fluorescent Highlighter Four-Color Set"/>
    <n v="18.7"/>
    <n v="7"/>
    <n v="0.2"/>
    <n v="2.34"/>
    <n v="1.1299999999999999"/>
    <s v="Medium"/>
    <n v="130.9"/>
    <n v="0.26180000000000003"/>
    <n v="129.50820000000002"/>
  </r>
  <r>
    <n v="10522"/>
    <s v="ES-2015-MS1798048-42227"/>
    <d v="2015-08-11T00:00:00"/>
    <d v="2015-08-16T00:00:00"/>
    <s v="Second Class"/>
    <s v="MS-1798048"/>
    <s v="Michael Stewart"/>
    <x v="1"/>
    <m/>
    <s v="Munster"/>
    <s v="Lower Saxony"/>
    <s v="Germany"/>
    <x v="2"/>
    <s v="Europe"/>
    <s v="TEC-PH-5839"/>
    <x v="0"/>
    <s v="Phones"/>
    <s v="Samsung Smart Phone, Cordless"/>
    <n v="4473"/>
    <n v="7"/>
    <n v="0"/>
    <n v="313.11"/>
    <n v="604.4"/>
    <s v="Medium"/>
    <n v="31311"/>
    <n v="0"/>
    <n v="30706.6"/>
  </r>
  <r>
    <n v="10549"/>
    <s v="IT-2014-KC1667548-41882"/>
    <d v="2014-08-31T00:00:00"/>
    <d v="2014-09-03T00:00:00"/>
    <s v="First Class"/>
    <s v="KC-1667548"/>
    <s v="Kimberly Carter"/>
    <x v="1"/>
    <m/>
    <s v="Celle"/>
    <s v="Lower Saxony"/>
    <s v="Germany"/>
    <x v="2"/>
    <s v="Europe"/>
    <s v="TEC-PH-3130"/>
    <x v="0"/>
    <s v="Phones"/>
    <s v="Apple Audio Dock, with Caller ID"/>
    <n v="1502.01"/>
    <n v="9"/>
    <n v="0"/>
    <n v="225.18"/>
    <n v="600.21"/>
    <s v="Critical"/>
    <n v="13518.09"/>
    <n v="0"/>
    <n v="12917.880000000001"/>
  </r>
  <r>
    <n v="25314"/>
    <s v="IN-2015-DB1340527-42022"/>
    <d v="2015-01-18T00:00:00"/>
    <d v="2015-01-23T00:00:00"/>
    <s v="Standard Class"/>
    <s v="DB-1340527"/>
    <s v="Denny Blanton"/>
    <x v="0"/>
    <m/>
    <s v="Wuxi"/>
    <s v="Jiangsu"/>
    <s v="China"/>
    <x v="8"/>
    <s v="Asia Pacific"/>
    <s v="FUR-CH-5774"/>
    <x v="1"/>
    <s v="Chairs"/>
    <s v="SAFCO Executive Leather Armchair, Black"/>
    <n v="5049"/>
    <n v="11"/>
    <n v="0"/>
    <n v="656.37"/>
    <n v="595.5"/>
    <s v="High"/>
    <n v="55539"/>
    <n v="0"/>
    <n v="54943.5"/>
  </r>
  <r>
    <n v="32637"/>
    <s v="CA-2015-AS10045140-42007"/>
    <d v="2015-01-03T00:00:00"/>
    <d v="2015-01-05T00:00:00"/>
    <s v="First Class"/>
    <s v="AS-100451408"/>
    <s v="Aaron Smayling"/>
    <x v="1"/>
    <n v="28540"/>
    <s v="Jacksonville"/>
    <s v="North Carolina"/>
    <s v="United States"/>
    <x v="18"/>
    <s v="USCA"/>
    <s v="TEC-MA-3788"/>
    <x v="0"/>
    <s v="Machines"/>
    <s v="Cisco CP-7937G Unified IP Conference Station Phone"/>
    <n v="695.7"/>
    <n v="2"/>
    <n v="0.5"/>
    <n v="-27.83"/>
    <n v="160.19"/>
    <s v="High"/>
    <n v="1391.4"/>
    <n v="6.9570000000000007"/>
    <n v="1224.2529999999999"/>
  </r>
  <r>
    <n v="16653"/>
    <s v="IT-2015-DK13090120-42345"/>
    <d v="2015-12-07T00:00:00"/>
    <d v="2015-12-08T00:00:00"/>
    <s v="First Class"/>
    <s v="DK-13090120"/>
    <s v="Dave Kipp"/>
    <x v="0"/>
    <m/>
    <s v="Seville"/>
    <s v="Andalusía"/>
    <s v="Spain"/>
    <x v="9"/>
    <s v="Europe"/>
    <s v="FUR-BO-5760"/>
    <x v="1"/>
    <s v="Bookcases"/>
    <s v="Safco Classic Bookcase, Metal"/>
    <n v="2188.0500000000002"/>
    <n v="5"/>
    <n v="0"/>
    <n v="1050.1500000000001"/>
    <n v="593.91"/>
    <s v="High"/>
    <n v="10940.25"/>
    <n v="0"/>
    <n v="10346.34"/>
  </r>
  <r>
    <n v="28932"/>
    <s v="IN-2015-CS1184558-42354"/>
    <d v="2015-12-16T00:00:00"/>
    <d v="2015-12-19T00:00:00"/>
    <s v="First Class"/>
    <s v="CS-1184558"/>
    <s v="Cari Sayre"/>
    <x v="1"/>
    <m/>
    <s v="Raipur"/>
    <s v="Uttarakhand"/>
    <s v="India"/>
    <x v="5"/>
    <s v="Asia Pacific"/>
    <s v="FUR-TA-3779"/>
    <x v="1"/>
    <s v="Tables"/>
    <s v="Chromcraft Wood Table, Rectangular"/>
    <n v="1920.36"/>
    <n v="4"/>
    <n v="0"/>
    <n v="652.91999999999996"/>
    <n v="592.77"/>
    <s v="Critical"/>
    <n v="7681.44"/>
    <n v="0"/>
    <n v="7088.67"/>
  </r>
  <r>
    <n v="8029"/>
    <s v="MX-2015-EM1420082-42328"/>
    <d v="2015-11-20T00:00:00"/>
    <d v="2015-11-20T00:00:00"/>
    <s v="Same Day"/>
    <s v="EM-1420082"/>
    <s v="Evan Minnotte"/>
    <x v="2"/>
    <m/>
    <s v="Gómez Palacio"/>
    <s v="Durango"/>
    <s v="Mexico"/>
    <x v="13"/>
    <s v="LATAM"/>
    <s v="TEC-PH-5839"/>
    <x v="0"/>
    <s v="Phones"/>
    <s v="Samsung Smart Phone, Cordless"/>
    <n v="1704"/>
    <n v="4"/>
    <n v="0"/>
    <n v="119.28"/>
    <n v="592.726"/>
    <s v="Critical"/>
    <n v="6816"/>
    <n v="0"/>
    <n v="6223.2740000000003"/>
  </r>
  <r>
    <n v="50411"/>
    <s v="UP-2012-DW3480137-41221"/>
    <d v="2012-11-08T00:00:00"/>
    <d v="2012-11-10T00:00:00"/>
    <s v="First Class"/>
    <s v="DW-3480137"/>
    <s v="Dianna Wilson"/>
    <x v="2"/>
    <m/>
    <s v="Kharkiv"/>
    <s v="Kharkiv"/>
    <s v="Ukraine"/>
    <x v="11"/>
    <s v="Europe"/>
    <s v="FUR-TA-3771"/>
    <x v="1"/>
    <s v="Tables"/>
    <s v="Chromcraft Round Table, Rectangular"/>
    <n v="1858.68"/>
    <n v="4"/>
    <n v="0"/>
    <n v="130.08000000000001"/>
    <n v="590.55999999999995"/>
    <s v="Critical"/>
    <n v="7434.72"/>
    <n v="0"/>
    <n v="6844.16"/>
  </r>
  <r>
    <n v="21191"/>
    <s v="IN-2014-AS1022527-41797"/>
    <d v="2014-06-07T00:00:00"/>
    <d v="2014-06-09T00:00:00"/>
    <s v="First Class"/>
    <s v="AS-1022527"/>
    <s v="Alan Schoenberger"/>
    <x v="1"/>
    <m/>
    <s v="Jinan"/>
    <s v="Shandong"/>
    <s v="China"/>
    <x v="8"/>
    <s v="Asia Pacific"/>
    <s v="FUR-CH-4530"/>
    <x v="1"/>
    <s v="Chairs"/>
    <s v="Harbour Creations Executive Leather Armchair, Adjustable"/>
    <n v="3298.26"/>
    <n v="7"/>
    <n v="0"/>
    <n v="1055.25"/>
    <n v="589.36"/>
    <s v="High"/>
    <n v="23087.82"/>
    <n v="0"/>
    <n v="22498.46"/>
  </r>
  <r>
    <n v="4960"/>
    <s v="MX-2012-ST2053093-41234"/>
    <d v="2012-11-21T00:00:00"/>
    <d v="2012-11-22T00:00:00"/>
    <s v="First Class"/>
    <s v="ST-2053093"/>
    <s v="Shui Tom"/>
    <x v="0"/>
    <m/>
    <s v="Chinandega"/>
    <s v="Chinandega"/>
    <s v="Nicaragua"/>
    <x v="13"/>
    <s v="LATAM"/>
    <s v="OFF-AP-4497"/>
    <x v="2"/>
    <s v="Appliances"/>
    <s v="Hamilton Beach Microwave, Black"/>
    <n v="2443.48"/>
    <n v="13"/>
    <n v="0"/>
    <n v="121.94"/>
    <n v="589.29300000000001"/>
    <s v="Medium"/>
    <n v="31765.24"/>
    <n v="0"/>
    <n v="31175.947"/>
  </r>
  <r>
    <n v="49085"/>
    <s v="CG-2014-BW106533-41727"/>
    <d v="2014-03-29T00:00:00"/>
    <d v="2014-03-31T00:00:00"/>
    <s v="Second Class"/>
    <s v="BW-106533"/>
    <s v="Barry Weirich"/>
    <x v="0"/>
    <m/>
    <s v="Kananga"/>
    <s v="Kasai-Occidental"/>
    <s v="Democratic Republic of the Congo"/>
    <x v="16"/>
    <s v="Africa"/>
    <s v="FUR-CH-4530"/>
    <x v="1"/>
    <s v="Chairs"/>
    <s v="Harbour Creations Executive Leather Armchair, Adjustable"/>
    <n v="3808.8"/>
    <n v="8"/>
    <n v="0"/>
    <n v="1523.52"/>
    <n v="588.13"/>
    <s v="High"/>
    <n v="30470.400000000001"/>
    <n v="0"/>
    <n v="29882.27"/>
  </r>
  <r>
    <n v="21209"/>
    <s v="IN-2015-LA1678059-42242"/>
    <d v="2015-08-26T00:00:00"/>
    <d v="2015-08-27T00:00:00"/>
    <s v="First Class"/>
    <s v="LA-1678059"/>
    <s v="Laura Armstrong"/>
    <x v="1"/>
    <m/>
    <s v="Palembang"/>
    <s v="Sumatera Selatan"/>
    <s v="Indonesia"/>
    <x v="17"/>
    <s v="Asia Pacific"/>
    <s v="FUR-TA-3422"/>
    <x v="1"/>
    <s v="Tables"/>
    <s v="Bevis Conference Table, with Bottom Storage"/>
    <n v="3427.15"/>
    <n v="7"/>
    <n v="0.47"/>
    <n v="-452.81"/>
    <n v="586.57000000000005"/>
    <s v="High"/>
    <n v="23990.05"/>
    <n v="112.75323499999999"/>
    <n v="23290.726764999999"/>
  </r>
  <r>
    <n v="12161"/>
    <s v="ES-2013-AB10150139-41537"/>
    <d v="2013-09-20T00:00:00"/>
    <d v="2013-09-22T00:00:00"/>
    <s v="Second Class"/>
    <s v="AB-10150139"/>
    <s v="Aimee Bixby"/>
    <x v="0"/>
    <m/>
    <s v="London"/>
    <s v="England"/>
    <s v="United Kingdom"/>
    <x v="12"/>
    <s v="Europe"/>
    <s v="TEC-PH-5355"/>
    <x v="0"/>
    <s v="Phones"/>
    <s v="Nokia Smart Phone, Full Size"/>
    <n v="3441.69"/>
    <n v="6"/>
    <n v="0.1"/>
    <n v="38.07"/>
    <n v="585.25"/>
    <s v="High"/>
    <n v="20650.14"/>
    <n v="20.65014"/>
    <n v="20044.239859999998"/>
  </r>
  <r>
    <n v="25438"/>
    <s v="IN-2015-JH158207-42140"/>
    <d v="2015-05-16T00:00:00"/>
    <d v="2015-05-18T00:00:00"/>
    <s v="Second Class"/>
    <s v="JH-158207"/>
    <s v="John Huston"/>
    <x v="0"/>
    <m/>
    <s v="Melbourne"/>
    <s v="Victoria"/>
    <s v="Australia"/>
    <x v="1"/>
    <s v="Asia Pacific"/>
    <s v="TEC-PH-3147"/>
    <x v="0"/>
    <s v="Phones"/>
    <s v="Apple Smart Phone, Cordless"/>
    <n v="2863.35"/>
    <n v="5"/>
    <n v="0.1"/>
    <n v="858.9"/>
    <n v="581.88"/>
    <s v="Critical"/>
    <n v="14316.75"/>
    <n v="14.316750000000003"/>
    <n v="13720.553250000001"/>
  </r>
  <r>
    <n v="33130"/>
    <s v="CA-2015-AS10045140-42218"/>
    <d v="2015-08-02T00:00:00"/>
    <d v="2015-08-08T00:00:00"/>
    <s v="Standard Class"/>
    <s v="AS-100451402"/>
    <s v="Aaron Smayling"/>
    <x v="1"/>
    <n v="78745"/>
    <s v="Austin"/>
    <s v="Texas"/>
    <s v="United States"/>
    <x v="0"/>
    <s v="USCA"/>
    <s v="TEC-MA-3329"/>
    <x v="0"/>
    <s v="Machines"/>
    <s v="Bady BDG101FRU Card Printer"/>
    <n v="1439.98"/>
    <n v="3"/>
    <n v="0.4"/>
    <n v="-264"/>
    <n v="103.62"/>
    <s v="Medium"/>
    <n v="4319.9400000000005"/>
    <n v="17.279760000000003"/>
    <n v="4199.0402400000003"/>
  </r>
  <r>
    <n v="16988"/>
    <s v="ES-2014-BE1141048-41967"/>
    <d v="2014-11-24T00:00:00"/>
    <d v="2014-11-25T00:00:00"/>
    <s v="First Class"/>
    <s v="BE-1141048"/>
    <s v="Bobby Elias"/>
    <x v="0"/>
    <m/>
    <s v="Duisburg"/>
    <s v="North Rhine-Westphalia"/>
    <s v="Germany"/>
    <x v="2"/>
    <s v="Europe"/>
    <s v="TEC-CO-3599"/>
    <x v="0"/>
    <s v="Copiers"/>
    <s v="Brother Ink, Color"/>
    <n v="1487.4"/>
    <n v="10"/>
    <n v="0"/>
    <n v="728.7"/>
    <n v="580.98"/>
    <s v="Critical"/>
    <n v="14874"/>
    <n v="0"/>
    <n v="14293.02"/>
  </r>
  <r>
    <n v="24443"/>
    <s v="IN-2012-SZ2003527-41221"/>
    <d v="2012-11-08T00:00:00"/>
    <d v="2012-11-10T00:00:00"/>
    <s v="Second Class"/>
    <s v="SZ-2003527"/>
    <s v="Sam Zeldin"/>
    <x v="2"/>
    <m/>
    <s v="Nanchong"/>
    <s v="Sichuan"/>
    <s v="China"/>
    <x v="8"/>
    <s v="Asia Pacific"/>
    <s v="TEC-CO-6010"/>
    <x v="0"/>
    <s v="Copiers"/>
    <s v="Sharp Wireless Fax, Digital"/>
    <n v="3200.04"/>
    <n v="9"/>
    <n v="0"/>
    <n v="1183.95"/>
    <n v="576.71"/>
    <s v="Medium"/>
    <n v="28800.36"/>
    <n v="0"/>
    <n v="28223.65"/>
  </r>
  <r>
    <n v="30199"/>
    <s v="IN-2012-RM1937558-41209"/>
    <d v="2012-10-27T00:00:00"/>
    <d v="2012-10-27T00:00:00"/>
    <s v="Same Day"/>
    <s v="RM-1937558"/>
    <s v="Raymond Messe"/>
    <x v="0"/>
    <m/>
    <s v="Naihati"/>
    <s v="West Bengal"/>
    <s v="India"/>
    <x v="5"/>
    <s v="Asia Pacific"/>
    <s v="FUR-CH-5380"/>
    <x v="1"/>
    <s v="Chairs"/>
    <s v="Novimex Executive Leather Armchair, Red"/>
    <n v="2301"/>
    <n v="5"/>
    <n v="0"/>
    <n v="91.95"/>
    <n v="573.27"/>
    <s v="Critical"/>
    <n v="11505"/>
    <n v="0"/>
    <n v="10931.73"/>
  </r>
  <r>
    <n v="13879"/>
    <s v="ES-2015-HG1484545-42327"/>
    <d v="2015-11-19T00:00:00"/>
    <d v="2015-11-23T00:00:00"/>
    <s v="Standard Class"/>
    <s v="HG-1484545"/>
    <s v="Harry Greene"/>
    <x v="0"/>
    <m/>
    <s v="Lille"/>
    <s v="Nord-Pas-de-Calais-Picardie"/>
    <s v="France"/>
    <x v="2"/>
    <s v="Europe"/>
    <s v="FUR-CH-4654"/>
    <x v="1"/>
    <s v="Chairs"/>
    <s v="Hon Executive Leather Armchair, Adjustable"/>
    <n v="5729.35"/>
    <n v="14"/>
    <n v="0.1"/>
    <n v="63.55"/>
    <n v="572.95000000000005"/>
    <s v="High"/>
    <n v="80210.900000000009"/>
    <n v="80.210900000000009"/>
    <n v="79557.739100000006"/>
  </r>
  <r>
    <n v="50788"/>
    <s v="MO-2015-DP310586-42305"/>
    <d v="2015-10-28T00:00:00"/>
    <d v="2015-10-30T00:00:00"/>
    <s v="Second Class"/>
    <s v="DP-310586"/>
    <s v="Dave Poirier"/>
    <x v="1"/>
    <m/>
    <s v="Meknes"/>
    <s v="Meknès-Tafilalet"/>
    <s v="Morocco"/>
    <x v="19"/>
    <s v="Africa"/>
    <s v="TEC-CO-3710"/>
    <x v="0"/>
    <s v="Copiers"/>
    <s v="Canon Wireless Fax, Laser"/>
    <n v="5301.24"/>
    <n v="14"/>
    <n v="0"/>
    <n v="2597.2800000000002"/>
    <n v="568.45000000000005"/>
    <s v="Medium"/>
    <n v="74217.36"/>
    <n v="0"/>
    <n v="73648.91"/>
  </r>
  <r>
    <n v="40834"/>
    <s v="CA-2014-AS10045140-41908"/>
    <d v="2014-09-26T00:00:00"/>
    <d v="2014-09-28T00:00:00"/>
    <s v="First Class"/>
    <s v="AS-100451404"/>
    <s v="Aaron Smayling"/>
    <x v="1"/>
    <n v="94110"/>
    <s v="San Francisco"/>
    <s v="California"/>
    <s v="United States"/>
    <x v="4"/>
    <s v="USCA"/>
    <s v="FUR-BO-3176"/>
    <x v="1"/>
    <s v="Bookcases"/>
    <s v="Atlantic Metals Mobile 4-Shelf Bookcases, Custom Colors"/>
    <n v="477.67"/>
    <n v="2"/>
    <n v="0.15"/>
    <n v="84.29"/>
    <n v="43.01"/>
    <s v="Critical"/>
    <n v="955.34"/>
    <n v="1.4330099999999999"/>
    <n v="910.89699000000007"/>
  </r>
  <r>
    <n v="40425"/>
    <s v="US-2015-AS10045140-42252"/>
    <d v="2015-09-05T00:00:00"/>
    <d v="2015-09-06T00:00:00"/>
    <s v="First Class"/>
    <s v="AS-100451404"/>
    <s v="Aaron Smayling"/>
    <x v="1"/>
    <n v="97756"/>
    <s v="Redmond"/>
    <s v="Oregon"/>
    <s v="United States"/>
    <x v="4"/>
    <s v="USCA"/>
    <s v="OFF-BI-3324"/>
    <x v="2"/>
    <s v="Binders"/>
    <s v="Avery Trapezoid Extra Heavy Duty 4&quot; Binders"/>
    <n v="88.07"/>
    <n v="7"/>
    <n v="0.7"/>
    <n v="-58.72"/>
    <n v="23.88"/>
    <s v="High"/>
    <n v="616.49"/>
    <n v="4.3154300000000001"/>
    <n v="588.29457000000002"/>
  </r>
  <r>
    <n v="18241"/>
    <s v="ES-2014-JB1600048-41668"/>
    <d v="2014-01-29T00:00:00"/>
    <d v="2014-02-05T00:00:00"/>
    <s v="Standard Class"/>
    <s v="JB-1600048"/>
    <s v="Joy Bell-"/>
    <x v="0"/>
    <m/>
    <s v="Krefeld"/>
    <s v="North Rhine-Westphalia"/>
    <s v="Germany"/>
    <x v="2"/>
    <s v="Europe"/>
    <s v="TEC-PH-5268"/>
    <x v="0"/>
    <s v="Phones"/>
    <s v="Motorola Smart Phone, Full Size"/>
    <n v="3219.9"/>
    <n v="5"/>
    <n v="0"/>
    <n v="965.85"/>
    <n v="564.25"/>
    <s v="Low"/>
    <n v="16099.5"/>
    <n v="0"/>
    <n v="15535.25"/>
  </r>
  <r>
    <n v="23013"/>
    <s v="ID-2013-AM1070559-41535"/>
    <d v="2013-09-18T00:00:00"/>
    <d v="2013-09-21T00:00:00"/>
    <s v="Second Class"/>
    <s v="AM-1070559"/>
    <s v="Anne McFarland"/>
    <x v="0"/>
    <m/>
    <s v="Bandung"/>
    <s v="Jawa Barat"/>
    <s v="Indonesia"/>
    <x v="17"/>
    <s v="Asia Pacific"/>
    <s v="OFF-AP-4501"/>
    <x v="2"/>
    <s v="Appliances"/>
    <s v="Hamilton Beach Refrigerator, Black"/>
    <n v="2487.81"/>
    <n v="6"/>
    <n v="0.17"/>
    <n v="-269.79000000000002"/>
    <n v="562.14"/>
    <s v="Critical"/>
    <n v="14926.86"/>
    <n v="25.375662000000002"/>
    <n v="14339.344338000001"/>
  </r>
  <r>
    <n v="45616"/>
    <s v="MO-2014-AB25586-41966"/>
    <d v="2014-11-23T00:00:00"/>
    <d v="2014-11-23T00:00:00"/>
    <s v="Same Day"/>
    <s v="AB-25586"/>
    <s v="Alejandro Ballentine"/>
    <x v="2"/>
    <m/>
    <s v="Casablanca"/>
    <s v="Grand Casablanca"/>
    <s v="Morocco"/>
    <x v="19"/>
    <s v="Africa"/>
    <s v="OFF-AP-4745"/>
    <x v="2"/>
    <s v="Appliances"/>
    <s v="Hoover Stove, White"/>
    <n v="2266.44"/>
    <n v="4"/>
    <n v="0"/>
    <n v="113.28"/>
    <n v="556.45000000000005"/>
    <s v="Medium"/>
    <n v="9065.76"/>
    <n v="0"/>
    <n v="8509.31"/>
  </r>
  <r>
    <n v="25026"/>
    <s v="IN-2013-RP192707-41438"/>
    <d v="2013-06-13T00:00:00"/>
    <d v="2013-06-13T00:00:00"/>
    <s v="Same Day"/>
    <s v="RP-192707"/>
    <s v="Rachel Payne"/>
    <x v="1"/>
    <m/>
    <s v="Sydney"/>
    <s v="New South Wales"/>
    <s v="Australia"/>
    <x v="1"/>
    <s v="Asia Pacific"/>
    <s v="TEC-CO-3611"/>
    <x v="0"/>
    <s v="Copiers"/>
    <s v="Brother Wireless Fax, Laser"/>
    <n v="3068.36"/>
    <n v="9"/>
    <n v="0.1"/>
    <n v="1124.9000000000001"/>
    <n v="555.77"/>
    <s v="High"/>
    <n v="27615.24"/>
    <n v="27.615240000000004"/>
    <n v="27031.854760000002"/>
  </r>
  <r>
    <n v="27962"/>
    <s v="IN-2014-BK1126011-41940"/>
    <d v="2014-10-28T00:00:00"/>
    <d v="2014-10-31T00:00:00"/>
    <s v="First Class"/>
    <s v="BK-1126011"/>
    <s v="Berenike Kampe"/>
    <x v="0"/>
    <m/>
    <s v="Tongi"/>
    <s v="Dhaka"/>
    <s v="Bangladesh"/>
    <x v="5"/>
    <s v="Asia Pacific"/>
    <s v="FUR-BO-4849"/>
    <x v="1"/>
    <s v="Bookcases"/>
    <s v="Ikea Classic Bookcase, Mobile"/>
    <n v="3728.43"/>
    <n v="9"/>
    <n v="0"/>
    <n v="1192.8599999999999"/>
    <n v="553.30999999999995"/>
    <s v="Medium"/>
    <n v="33555.869999999995"/>
    <n v="0"/>
    <n v="33002.559999999998"/>
  </r>
  <r>
    <n v="26669"/>
    <s v="IN-2014-JM1525027-41985"/>
    <d v="2014-12-12T00:00:00"/>
    <d v="2014-12-14T00:00:00"/>
    <s v="First Class"/>
    <s v="JM-1525027"/>
    <s v="Janet Martin"/>
    <x v="0"/>
    <m/>
    <s v="Suzhou"/>
    <s v="Anhui"/>
    <s v="China"/>
    <x v="8"/>
    <s v="Asia Pacific"/>
    <s v="TEC-CO-3678"/>
    <x v="0"/>
    <s v="Copiers"/>
    <s v="Canon Copy Machine, Color"/>
    <n v="1581.48"/>
    <n v="6"/>
    <n v="0"/>
    <n v="0"/>
    <n v="550.74"/>
    <s v="High"/>
    <n v="9488.880000000001"/>
    <n v="0"/>
    <n v="8938.1400000000012"/>
  </r>
  <r>
    <n v="34336"/>
    <s v="CA-2015-AS10045140-42281"/>
    <d v="2015-10-04T00:00:00"/>
    <d v="2015-10-09T00:00:00"/>
    <s v="Standard Class"/>
    <s v="AS-100451404"/>
    <s v="Aaron Smayling"/>
    <x v="1"/>
    <n v="91104"/>
    <s v="Pasadena"/>
    <s v="California"/>
    <s v="United States"/>
    <x v="4"/>
    <s v="USCA"/>
    <s v="FUR-TA-5066"/>
    <x v="1"/>
    <s v="Tables"/>
    <s v="Lesro Sheffield Collection Coffee Table, End Table, Center Table, Corner Table"/>
    <n v="171.29"/>
    <n v="3"/>
    <n v="0.2"/>
    <n v="-6.42"/>
    <n v="12.65"/>
    <s v="Medium"/>
    <n v="513.87"/>
    <n v="1.0277400000000001"/>
    <n v="500.19226000000003"/>
  </r>
  <r>
    <n v="19195"/>
    <s v="ES-2014-NZ1856545-41975"/>
    <d v="2014-12-02T00:00:00"/>
    <d v="2014-12-02T00:00:00"/>
    <s v="Same Day"/>
    <s v="NZ-1856545"/>
    <s v="Nick Zandusky"/>
    <x v="2"/>
    <m/>
    <s v="Paris"/>
    <s v="Ile-de-France"/>
    <s v="France"/>
    <x v="2"/>
    <s v="Europe"/>
    <s v="OFF-AP-4508"/>
    <x v="2"/>
    <s v="Appliances"/>
    <s v="Hamilton Beach Stove, White"/>
    <n v="2432.16"/>
    <n v="5"/>
    <n v="0.1"/>
    <n v="513.36"/>
    <n v="546.9"/>
    <s v="Critical"/>
    <n v="12160.8"/>
    <n v="12.1608"/>
    <n v="11601.7392"/>
  </r>
  <r>
    <n v="26731"/>
    <s v="ID-2014-SC20695102-41667"/>
    <d v="2014-01-28T00:00:00"/>
    <d v="2014-01-30T00:00:00"/>
    <s v="First Class"/>
    <s v="SC-20695102"/>
    <s v="Steve Chapman"/>
    <x v="1"/>
    <m/>
    <s v="Manila"/>
    <s v="National Capital"/>
    <s v="Philippines"/>
    <x v="17"/>
    <s v="Asia Pacific"/>
    <s v="FUR-CH-5443"/>
    <x v="1"/>
    <s v="Chairs"/>
    <s v="Office Star Executive Leather Armchair, Red"/>
    <n v="2465.8200000000002"/>
    <n v="7"/>
    <n v="0.25"/>
    <n v="197.19"/>
    <n v="546.49"/>
    <s v="High"/>
    <n v="17260.740000000002"/>
    <n v="43.151850000000003"/>
    <n v="16671.098150000002"/>
  </r>
  <r>
    <n v="31278"/>
    <s v="IN-2013-NC186257-41401"/>
    <d v="2013-05-07T00:00:00"/>
    <d v="2013-05-07T00:00:00"/>
    <s v="Same Day"/>
    <s v="NC-186257"/>
    <s v="Noah Childs"/>
    <x v="1"/>
    <m/>
    <s v="Newcastle"/>
    <s v="New South Wales"/>
    <s v="Australia"/>
    <x v="1"/>
    <s v="Asia Pacific"/>
    <s v="FUR-TA-3422"/>
    <x v="1"/>
    <s v="Tables"/>
    <s v="Bevis Conference Table, with Bottom Storage"/>
    <n v="1847.52"/>
    <n v="2"/>
    <n v="0"/>
    <n v="738.96"/>
    <n v="545.89"/>
    <s v="High"/>
    <n v="3695.04"/>
    <n v="0"/>
    <n v="3149.15"/>
  </r>
  <r>
    <n v="12035"/>
    <s v="ES-2014-NF183858-41970"/>
    <d v="2014-11-27T00:00:00"/>
    <d v="2014-11-29T00:00:00"/>
    <s v="First Class"/>
    <s v="NF-183858"/>
    <s v="Natalie Fritzler"/>
    <x v="0"/>
    <m/>
    <s v="Graz"/>
    <s v="Styria"/>
    <s v="Austria"/>
    <x v="2"/>
    <s v="Europe"/>
    <s v="FUR-BO-4849"/>
    <x v="1"/>
    <s v="Bookcases"/>
    <s v="Ikea Classic Bookcase, Mobile"/>
    <n v="2899.89"/>
    <n v="7"/>
    <n v="0"/>
    <n v="927.78"/>
    <n v="541.59"/>
    <s v="High"/>
    <n v="20299.23"/>
    <n v="0"/>
    <n v="19757.64"/>
  </r>
  <r>
    <n v="29149"/>
    <s v="IN-2013-NZ185657-41606"/>
    <d v="2013-11-28T00:00:00"/>
    <d v="2013-12-02T00:00:00"/>
    <s v="Second Class"/>
    <s v="NZ-185657"/>
    <s v="Nick Zandusky"/>
    <x v="2"/>
    <m/>
    <s v="Nowra"/>
    <s v="New South Wales"/>
    <s v="Australia"/>
    <x v="1"/>
    <s v="Asia Pacific"/>
    <s v="FUR-CH-5774"/>
    <x v="1"/>
    <s v="Chairs"/>
    <s v="SAFCO Executive Leather Armchair, Black"/>
    <n v="2891.7"/>
    <n v="7"/>
    <n v="0.1"/>
    <n v="96.39"/>
    <n v="541.57000000000005"/>
    <s v="Medium"/>
    <n v="20241.899999999998"/>
    <n v="20.241899999999998"/>
    <n v="19680.088099999997"/>
  </r>
  <r>
    <n v="15896"/>
    <s v="IT-2013-PM1894045-41546"/>
    <d v="2013-09-29T00:00:00"/>
    <d v="2013-09-29T00:00:00"/>
    <s v="Same Day"/>
    <s v="PM-1894045"/>
    <s v="Paul MacIntyre"/>
    <x v="0"/>
    <m/>
    <s v="Boulogne-Billancourt"/>
    <s v="Ile-de-France"/>
    <s v="France"/>
    <x v="2"/>
    <s v="Europe"/>
    <s v="TEC-MA-5572"/>
    <x v="0"/>
    <s v="Machines"/>
    <s v="Panasonic Printer, Red"/>
    <n v="2016.85"/>
    <n v="9"/>
    <n v="0.15"/>
    <n v="-0.05"/>
    <n v="540.77"/>
    <s v="Critical"/>
    <n v="18151.649999999998"/>
    <n v="27.227474999999995"/>
    <n v="17583.652524999998"/>
  </r>
  <r>
    <n v="18307"/>
    <s v="ES-2014-MZ1733545-41885"/>
    <d v="2014-09-03T00:00:00"/>
    <d v="2014-09-05T00:00:00"/>
    <s v="Second Class"/>
    <s v="MZ-1733545"/>
    <s v="Maria Zettner"/>
    <x v="2"/>
    <m/>
    <s v="Malakoff"/>
    <s v="Ile-de-France"/>
    <s v="France"/>
    <x v="2"/>
    <s v="Europe"/>
    <s v="OFF-AP-4503"/>
    <x v="2"/>
    <s v="Appliances"/>
    <s v="Hamilton Beach Refrigerator, Silver"/>
    <n v="3155.54"/>
    <n v="7"/>
    <n v="0.1"/>
    <n v="34.94"/>
    <n v="539.94000000000005"/>
    <s v="High"/>
    <n v="22088.78"/>
    <n v="22.08878"/>
    <n v="21526.751220000002"/>
  </r>
  <r>
    <n v="46257"/>
    <s v="CG-2014-HM498033-41846"/>
    <d v="2014-07-26T00:00:00"/>
    <d v="2014-08-01T00:00:00"/>
    <s v="Standard Class"/>
    <s v="HM-498033"/>
    <s v="Henry MacAllister"/>
    <x v="0"/>
    <m/>
    <s v="Kinshasa"/>
    <s v="Kinshasa"/>
    <s v="Democratic Republic of the Congo"/>
    <x v="16"/>
    <s v="Africa"/>
    <s v="TEC-PH-5268"/>
    <x v="0"/>
    <s v="Phones"/>
    <s v="Motorola Smart Phone, Full Size"/>
    <n v="3856.14"/>
    <n v="6"/>
    <n v="0"/>
    <n v="1465.2"/>
    <n v="533.99"/>
    <s v="Low"/>
    <n v="23136.84"/>
    <n v="0"/>
    <n v="22602.85"/>
  </r>
  <r>
    <n v="21142"/>
    <s v="IN-2015-RW195407-42327"/>
    <d v="2015-11-19T00:00:00"/>
    <d v="2015-11-25T00:00:00"/>
    <s v="Standard Class"/>
    <s v="RW-195407"/>
    <s v="Rick Wilson"/>
    <x v="1"/>
    <m/>
    <s v="Perth"/>
    <s v="Western Australia"/>
    <s v="Australia"/>
    <x v="1"/>
    <s v="Asia Pacific"/>
    <s v="TEC-PH-3806"/>
    <x v="0"/>
    <s v="Phones"/>
    <s v="Cisco Smart Phone, Full Size"/>
    <n v="3524.47"/>
    <n v="6"/>
    <n v="0.1"/>
    <n v="861.37"/>
    <n v="531.28"/>
    <s v="Low"/>
    <n v="21146.82"/>
    <n v="21.146820000000002"/>
    <n v="20594.393179999999"/>
  </r>
  <r>
    <n v="10308"/>
    <s v="ES-2013-LH1715545-41444"/>
    <d v="2013-06-19T00:00:00"/>
    <d v="2013-06-19T00:00:00"/>
    <s v="Same Day"/>
    <s v="LH-1715545"/>
    <s v="Logan Haushalter"/>
    <x v="0"/>
    <m/>
    <s v="Le Bouscat"/>
    <s v="Aquitaine-Limousin-Poitou-Charentes"/>
    <s v="France"/>
    <x v="2"/>
    <s v="Europe"/>
    <s v="TEC-PH-5840"/>
    <x v="0"/>
    <s v="Phones"/>
    <s v="Samsung Smart Phone, Full Size"/>
    <n v="2167.3000000000002"/>
    <n v="4"/>
    <n v="0.15"/>
    <n v="790.42"/>
    <n v="531.09"/>
    <s v="High"/>
    <n v="8669.2000000000007"/>
    <n v="13.003800000000002"/>
    <n v="8125.1062000000002"/>
  </r>
  <r>
    <n v="6776"/>
    <s v="MX-2013-FH1436582-41558"/>
    <d v="2013-10-11T00:00:00"/>
    <d v="2013-10-14T00:00:00"/>
    <s v="First Class"/>
    <s v="FH-1436582"/>
    <s v="Fred Hopkins"/>
    <x v="1"/>
    <m/>
    <s v="Puebla"/>
    <s v="Puebla"/>
    <s v="Mexico"/>
    <x v="13"/>
    <s v="LATAM"/>
    <s v="TEC-PH-5839"/>
    <x v="0"/>
    <s v="Phones"/>
    <s v="Samsung Smart Phone, Cordless"/>
    <n v="2556"/>
    <n v="6"/>
    <n v="0"/>
    <n v="178.92"/>
    <n v="530.48599999999999"/>
    <s v="Medium"/>
    <n v="15336"/>
    <n v="0"/>
    <n v="14805.513999999999"/>
  </r>
  <r>
    <n v="16948"/>
    <s v="ES-2012-KM1666048-41129"/>
    <d v="2012-08-08T00:00:00"/>
    <d v="2012-08-10T00:00:00"/>
    <s v="First Class"/>
    <s v="KM-1666048"/>
    <s v="Khloe Miller"/>
    <x v="0"/>
    <m/>
    <s v="Augsburg"/>
    <s v="Bavaria"/>
    <s v="Germany"/>
    <x v="2"/>
    <s v="Europe"/>
    <s v="TEC-CO-5999"/>
    <x v="0"/>
    <s v="Copiers"/>
    <s v="Sharp Fax Machine, High-Speed"/>
    <n v="1469.25"/>
    <n v="5"/>
    <n v="0"/>
    <n v="308.39999999999998"/>
    <n v="527.87"/>
    <s v="Critical"/>
    <n v="7346.25"/>
    <n v="0"/>
    <n v="6818.38"/>
  </r>
  <r>
    <n v="11611"/>
    <s v="ES-2012-PO1886545-41217"/>
    <d v="2012-11-04T00:00:00"/>
    <d v="2012-11-08T00:00:00"/>
    <s v="Second Class"/>
    <s v="PO-1886545"/>
    <s v="Patrick O'Donnell"/>
    <x v="0"/>
    <m/>
    <s v="Nice"/>
    <s v="Provence-Alpes-Côte d'Azur"/>
    <s v="France"/>
    <x v="2"/>
    <s v="Europe"/>
    <s v="TEC-PH-3807"/>
    <x v="0"/>
    <s v="Phones"/>
    <s v="Cisco Smart Phone, with Caller ID"/>
    <n v="4448.83"/>
    <n v="8"/>
    <n v="0.15"/>
    <n v="1517.71"/>
    <n v="527.85"/>
    <s v="High"/>
    <n v="35590.639999999999"/>
    <n v="53.385959999999997"/>
    <n v="35009.404040000001"/>
  </r>
  <r>
    <n v="35876"/>
    <s v="US-2012-AS10045140-41116"/>
    <d v="2012-07-26T00:00:00"/>
    <d v="2012-08-01T00:00:00"/>
    <s v="Standard Class"/>
    <s v="AS-100451406"/>
    <s v="Aaron Smayling"/>
    <x v="1"/>
    <n v="10035"/>
    <s v="New York City"/>
    <s v="New York"/>
    <s v="United States"/>
    <x v="14"/>
    <s v="USCA"/>
    <s v="OFF-PA-6512"/>
    <x v="2"/>
    <s v="Paper"/>
    <s v="Xerox 1956"/>
    <n v="65.78"/>
    <n v="11"/>
    <n v="0"/>
    <n v="32.229999999999997"/>
    <n v="4.3600000000000003"/>
    <s v="Medium"/>
    <n v="723.58"/>
    <n v="0"/>
    <n v="719.22"/>
  </r>
  <r>
    <n v="1873"/>
    <s v="MX-2014-AB1006028-41755"/>
    <d v="2014-04-26T00:00:00"/>
    <d v="2014-04-28T00:00:00"/>
    <s v="First Class"/>
    <s v="AB-1006028"/>
    <s v="Adam Bellavance"/>
    <x v="2"/>
    <m/>
    <s v="Medellín"/>
    <s v="Antioquia"/>
    <s v="Colombia"/>
    <x v="7"/>
    <s v="LATAM"/>
    <s v="FUR-BO-3891"/>
    <x v="1"/>
    <s v="Bookcases"/>
    <s v="Dania Classic Bookcase, Pine"/>
    <n v="2472.66"/>
    <n v="9"/>
    <n v="0"/>
    <n v="914.76"/>
    <n v="523.46600000000001"/>
    <s v="High"/>
    <n v="22253.94"/>
    <n v="0"/>
    <n v="21730.473999999998"/>
  </r>
  <r>
    <n v="29120"/>
    <s v="IN-2014-DB130607-41999"/>
    <d v="2014-12-26T00:00:00"/>
    <d v="2014-12-26T00:00:00"/>
    <s v="Same Day"/>
    <s v="DB-130607"/>
    <s v="Dave Brooks"/>
    <x v="0"/>
    <m/>
    <s v="Gold Coast"/>
    <s v="Queensland"/>
    <s v="Australia"/>
    <x v="1"/>
    <s v="Asia Pacific"/>
    <s v="OFF-AP-3575"/>
    <x v="2"/>
    <s v="Appliances"/>
    <s v="Breville Refrigerator, Red"/>
    <n v="3739.18"/>
    <n v="8"/>
    <n v="0.1"/>
    <n v="747.82"/>
    <n v="522.79"/>
    <s v="High"/>
    <n v="29913.439999999999"/>
    <n v="29.913440000000001"/>
    <n v="29360.736559999998"/>
  </r>
  <r>
    <n v="11743"/>
    <s v="IT-2014-VM2168591-41711"/>
    <d v="2014-03-13T00:00:00"/>
    <d v="2014-03-13T00:00:00"/>
    <s v="Same Day"/>
    <s v="VM-2168591"/>
    <s v="Valerie Mitchum"/>
    <x v="2"/>
    <m/>
    <s v="Bergen op Zoom"/>
    <s v="North Brabant"/>
    <s v="Netherlands"/>
    <x v="2"/>
    <s v="Europe"/>
    <s v="FUR-CH-5442"/>
    <x v="1"/>
    <s v="Chairs"/>
    <s v="Office Star Executive Leather Armchair, Black"/>
    <n v="2570.87"/>
    <n v="11"/>
    <n v="0.5"/>
    <n v="-2211.17"/>
    <n v="520.89"/>
    <s v="High"/>
    <n v="28279.57"/>
    <n v="141.39785000000001"/>
    <n v="27617.282149999999"/>
  </r>
  <r>
    <n v="32648"/>
    <s v="CA-2014-AS10045140-41727"/>
    <d v="2014-03-29T00:00:00"/>
    <d v="2014-04-01T00:00:00"/>
    <s v="First Class"/>
    <s v="AS-100451408"/>
    <s v="Aaron Smayling"/>
    <x v="1"/>
    <n v="22204"/>
    <s v="Arlington"/>
    <s v="Virginia"/>
    <s v="United States"/>
    <x v="18"/>
    <s v="USCA"/>
    <s v="OFF-ST-4516"/>
    <x v="2"/>
    <s v="Storage"/>
    <s v="Hanging Personal Folder File"/>
    <n v="31.4"/>
    <n v="2"/>
    <n v="0"/>
    <n v="7.85"/>
    <n v="3.81"/>
    <s v="Medium"/>
    <n v="62.8"/>
    <n v="0"/>
    <n v="58.989999999999995"/>
  </r>
  <r>
    <n v="17522"/>
    <s v="ES-2013-DM1352548-41369"/>
    <d v="2013-04-05T00:00:00"/>
    <d v="2013-04-05T00:00:00"/>
    <s v="Same Day"/>
    <s v="DM-1352548"/>
    <s v="Don Miller"/>
    <x v="1"/>
    <m/>
    <s v="Hanover"/>
    <s v="Lower Saxony"/>
    <s v="Germany"/>
    <x v="2"/>
    <s v="Europe"/>
    <s v="TEC-PH-3149"/>
    <x v="0"/>
    <s v="Phones"/>
    <s v="Apple Smart Phone, with Caller ID"/>
    <n v="2875.77"/>
    <n v="9"/>
    <n v="0.5"/>
    <n v="-1783.08"/>
    <n v="516.63"/>
    <s v="High"/>
    <n v="25881.93"/>
    <n v="129.40965"/>
    <n v="25235.890349999998"/>
  </r>
  <r>
    <n v="14721"/>
    <s v="ES-2013-NM18520120-41634"/>
    <d v="2013-12-26T00:00:00"/>
    <d v="2013-12-28T00:00:00"/>
    <s v="Second Class"/>
    <s v="NM-18520120"/>
    <s v="Neoma Murray"/>
    <x v="0"/>
    <m/>
    <s v="Vigo"/>
    <s v="Galicia"/>
    <s v="Spain"/>
    <x v="9"/>
    <s v="Europe"/>
    <s v="FUR-BO-5948"/>
    <x v="1"/>
    <s v="Bookcases"/>
    <s v="Sauder Classic Bookcase, Metal"/>
    <n v="1741.8"/>
    <n v="4"/>
    <n v="0"/>
    <n v="261.24"/>
    <n v="515.24"/>
    <s v="Critical"/>
    <n v="6967.2"/>
    <n v="0"/>
    <n v="6451.96"/>
  </r>
  <r>
    <n v="29629"/>
    <s v="IN-2014-LC168857-41747"/>
    <d v="2014-04-18T00:00:00"/>
    <d v="2014-04-19T00:00:00"/>
    <s v="First Class"/>
    <s v="LC-168857"/>
    <s v="Lena Creighton"/>
    <x v="0"/>
    <m/>
    <s v="Sydney"/>
    <s v="New South Wales"/>
    <s v="Australia"/>
    <x v="1"/>
    <s v="Asia Pacific"/>
    <s v="TEC-CO-6012"/>
    <x v="0"/>
    <s v="Copiers"/>
    <s v="Sharp Wireless Fax, Laser"/>
    <n v="1601.64"/>
    <n v="5"/>
    <n v="0.1"/>
    <n v="587.19000000000005"/>
    <n v="511.47"/>
    <s v="Critical"/>
    <n v="8008.2000000000007"/>
    <n v="8.0082000000000022"/>
    <n v="7488.7218000000003"/>
  </r>
  <r>
    <n v="25868"/>
    <s v="IN-2012-RO1978027-41052"/>
    <d v="2012-05-23T00:00:00"/>
    <d v="2012-05-25T00:00:00"/>
    <s v="Second Class"/>
    <s v="RO-1978027"/>
    <s v="Rose O'Brian"/>
    <x v="0"/>
    <m/>
    <s v="Gaoyou"/>
    <s v="Jiangsu"/>
    <s v="China"/>
    <x v="8"/>
    <s v="Asia Pacific"/>
    <s v="OFF-AP-4738"/>
    <x v="2"/>
    <s v="Appliances"/>
    <s v="Hoover Refrigerator, White"/>
    <n v="3670.8"/>
    <n v="7"/>
    <n v="0"/>
    <n v="367.08"/>
    <n v="510.72"/>
    <s v="High"/>
    <n v="25695.600000000002"/>
    <n v="0"/>
    <n v="25184.880000000001"/>
  </r>
  <r>
    <n v="19559"/>
    <s v="ES-2014-EM1406548-41775"/>
    <d v="2014-05-16T00:00:00"/>
    <d v="2014-05-20T00:00:00"/>
    <s v="Second Class"/>
    <s v="EM-1406548"/>
    <s v="Erin Mull"/>
    <x v="0"/>
    <m/>
    <s v="Bremen"/>
    <s v="Bremen"/>
    <s v="Germany"/>
    <x v="2"/>
    <s v="Europe"/>
    <s v="TEC-CO-4593"/>
    <x v="0"/>
    <s v="Copiers"/>
    <s v="Hewlett Wireless Fax, Laser"/>
    <n v="1900.95"/>
    <n v="5"/>
    <n v="0"/>
    <n v="589.20000000000005"/>
    <n v="506.89"/>
    <s v="High"/>
    <n v="9504.75"/>
    <n v="0"/>
    <n v="8997.86"/>
  </r>
  <r>
    <n v="14070"/>
    <s v="IT-2012-ON1871545-40955"/>
    <d v="2012-02-16T00:00:00"/>
    <d v="2012-02-19T00:00:00"/>
    <s v="Second Class"/>
    <s v="ON-1871545"/>
    <s v="Odella Nelson"/>
    <x v="1"/>
    <m/>
    <s v="Muret"/>
    <s v="Languedoc-Roussillon-Midi-Pyrénées"/>
    <s v="France"/>
    <x v="2"/>
    <s v="Europe"/>
    <s v="FUR-CH-5774"/>
    <x v="1"/>
    <s v="Chairs"/>
    <s v="SAFCO Executive Leather Armchair, Black"/>
    <n v="4544.1000000000004"/>
    <n v="11"/>
    <n v="0.1"/>
    <n v="1868.13"/>
    <n v="506.27"/>
    <s v="Medium"/>
    <n v="49985.100000000006"/>
    <n v="49.98510000000001"/>
    <n v="49428.844900000011"/>
  </r>
  <r>
    <n v="21306"/>
    <s v="IN-2014-VS2182027-41790"/>
    <d v="2014-05-31T00:00:00"/>
    <d v="2014-06-02T00:00:00"/>
    <s v="First Class"/>
    <s v="VS-2182027"/>
    <s v="Vivek Sundaresam"/>
    <x v="0"/>
    <m/>
    <s v="Zigong"/>
    <s v="Sichuan"/>
    <s v="China"/>
    <x v="8"/>
    <s v="Asia Pacific"/>
    <s v="FUR-BO-3639"/>
    <x v="1"/>
    <s v="Bookcases"/>
    <s v="Bush Library with Doors, Metal"/>
    <n v="1455.12"/>
    <n v="4"/>
    <n v="0"/>
    <n v="116.4"/>
    <n v="504.56"/>
    <s v="Critical"/>
    <n v="5820.48"/>
    <n v="0"/>
    <n v="5315.9199999999992"/>
  </r>
  <r>
    <n v="21668"/>
    <s v="IN-2014-CM121157-41913"/>
    <d v="2014-10-01T00:00:00"/>
    <d v="2014-10-02T00:00:00"/>
    <s v="First Class"/>
    <s v="CM-121157"/>
    <s v="Chad McGuire"/>
    <x v="0"/>
    <m/>
    <s v="Adelaide"/>
    <s v="South Australia"/>
    <s v="Australia"/>
    <x v="1"/>
    <s v="Asia Pacific"/>
    <s v="TEC-CO-4790"/>
    <x v="0"/>
    <s v="Copiers"/>
    <s v="HP Wireless Fax, Digital"/>
    <n v="1943.19"/>
    <n v="6"/>
    <n v="0.1"/>
    <n v="258.93"/>
    <n v="499.62"/>
    <s v="High"/>
    <n v="11659.14"/>
    <n v="11.659140000000001"/>
    <n v="11147.860859999999"/>
  </r>
  <r>
    <n v="39465"/>
    <s v="CA-2015-AB10060140-42315"/>
    <d v="2015-11-07T00:00:00"/>
    <d v="2015-11-14T00:00:00"/>
    <s v="Standard Class"/>
    <s v="AB-100601404"/>
    <s v="Adam Bellavance"/>
    <x v="2"/>
    <n v="98105"/>
    <s v="Seattle"/>
    <s v="Washington"/>
    <s v="United States"/>
    <x v="4"/>
    <s v="USCA"/>
    <s v="FUR-TA-4622"/>
    <x v="1"/>
    <s v="Tables"/>
    <s v="Hon 5100 Series Wood Tables"/>
    <n v="2036.86"/>
    <n v="7"/>
    <n v="0"/>
    <n v="366.63"/>
    <n v="524.76"/>
    <s v="Low"/>
    <n v="14258.019999999999"/>
    <n v="0"/>
    <n v="13733.259999999998"/>
  </r>
  <r>
    <n v="31650"/>
    <s v="CA-2014-AB10060140-41884"/>
    <d v="2014-09-02T00:00:00"/>
    <d v="2014-09-04T00:00:00"/>
    <s v="First Class"/>
    <s v="AB-100601406"/>
    <s v="Adam Bellavance"/>
    <x v="2"/>
    <n v="10009"/>
    <s v="New York City"/>
    <s v="New York"/>
    <s v="United States"/>
    <x v="14"/>
    <s v="USCA"/>
    <s v="OFF-BI-4340"/>
    <x v="2"/>
    <s v="Binders"/>
    <s v="GBC DocuBind P400 Electric Binding System"/>
    <n v="4355.17"/>
    <n v="4"/>
    <n v="0.2"/>
    <n v="1415.43"/>
    <n v="82.67"/>
    <s v="Critical"/>
    <n v="17420.68"/>
    <n v="34.841360000000002"/>
    <n v="17303.168640000004"/>
  </r>
  <r>
    <n v="24260"/>
    <s v="ID-2014-JK153257-41984"/>
    <d v="2014-12-11T00:00:00"/>
    <d v="2014-12-14T00:00:00"/>
    <s v="Second Class"/>
    <s v="JK-153257"/>
    <s v="Jason Klamczynski"/>
    <x v="1"/>
    <m/>
    <s v="Adelaide"/>
    <s v="South Australia"/>
    <s v="Australia"/>
    <x v="1"/>
    <s v="Asia Pacific"/>
    <s v="TEC-CO-3709"/>
    <x v="0"/>
    <s v="Copiers"/>
    <s v="Canon Wireless Fax, High-Speed"/>
    <n v="1695.87"/>
    <n v="5"/>
    <n v="0.1"/>
    <n v="-37.83"/>
    <n v="498.62"/>
    <s v="Critical"/>
    <n v="8479.3499999999985"/>
    <n v="8.4793500000000002"/>
    <n v="7972.250649999999"/>
  </r>
  <r>
    <n v="13646"/>
    <s v="IT-2015-RP1927045-42081"/>
    <d v="2015-03-18T00:00:00"/>
    <d v="2015-03-21T00:00:00"/>
    <s v="Second Class"/>
    <s v="RP-1927045"/>
    <s v="Rachel Payne"/>
    <x v="1"/>
    <m/>
    <s v="Chelles"/>
    <s v="Ile-de-France"/>
    <s v="France"/>
    <x v="2"/>
    <s v="Europe"/>
    <s v="TEC-CO-5998"/>
    <x v="0"/>
    <s v="Copiers"/>
    <s v="Sharp Fax Machine, Digital"/>
    <n v="1505.98"/>
    <n v="6"/>
    <n v="0.15"/>
    <n v="-265.76"/>
    <n v="498.52"/>
    <s v="Critical"/>
    <n v="9035.880000000001"/>
    <n v="13.55382"/>
    <n v="8523.8061800000014"/>
  </r>
  <r>
    <n v="23708"/>
    <s v="IN-2015-DW1354078-42357"/>
    <d v="2015-12-19T00:00:00"/>
    <d v="2015-12-20T00:00:00"/>
    <s v="First Class"/>
    <s v="DW-1354078"/>
    <s v="Don Weiss"/>
    <x v="0"/>
    <m/>
    <s v="Kuantan"/>
    <s v="Pahang"/>
    <s v="Malaysia"/>
    <x v="17"/>
    <s v="Asia Pacific"/>
    <s v="TEC-PH-3806"/>
    <x v="0"/>
    <s v="Phones"/>
    <s v="Cisco Smart Phone, Full Size"/>
    <n v="1954.17"/>
    <n v="3"/>
    <n v="0"/>
    <n v="312.66000000000003"/>
    <n v="498.38"/>
    <s v="Critical"/>
    <n v="5862.51"/>
    <n v="0"/>
    <n v="5364.13"/>
  </r>
  <r>
    <n v="33661"/>
    <s v="US-2014-AB10060140-41712"/>
    <d v="2014-03-14T00:00:00"/>
    <d v="2014-03-19T00:00:00"/>
    <s v="Standard Class"/>
    <s v="AB-100601408"/>
    <s v="Adam Bellavance"/>
    <x v="2"/>
    <n v="22980"/>
    <s v="Waynesboro"/>
    <s v="Virginia"/>
    <s v="United States"/>
    <x v="18"/>
    <s v="USCA"/>
    <s v="OFF-AP-4221"/>
    <x v="2"/>
    <s v="Appliances"/>
    <s v="Eureka The Boss Lite 10-Amp Upright Vacuum, Blue"/>
    <n v="160.32"/>
    <n v="2"/>
    <n v="0"/>
    <n v="44.89"/>
    <n v="13.75"/>
    <s v="Medium"/>
    <n v="320.64"/>
    <n v="0"/>
    <n v="306.89"/>
  </r>
  <r>
    <n v="1779"/>
    <s v="MX-2015-GM1444037-42265"/>
    <d v="2015-09-18T00:00:00"/>
    <d v="2015-09-18T00:00:00"/>
    <s v="Same Day"/>
    <s v="GM-1444037"/>
    <s v="Gary McGarr"/>
    <x v="0"/>
    <m/>
    <s v="Quito"/>
    <s v="Pichincha"/>
    <s v="Ecuador"/>
    <x v="7"/>
    <s v="LATAM"/>
    <s v="TEC-CO-3587"/>
    <x v="0"/>
    <s v="Copiers"/>
    <s v="Brother Copy Machine, Color"/>
    <n v="1213.19"/>
    <n v="7"/>
    <n v="2E-3"/>
    <n v="508.01"/>
    <n v="493.40899999999999"/>
    <s v="Critical"/>
    <n v="8492.33"/>
    <n v="0.16984660000000001"/>
    <n v="7998.7511534000005"/>
  </r>
  <r>
    <n v="23880"/>
    <s v="IN-2014-SV2081558-41968"/>
    <d v="2014-11-25T00:00:00"/>
    <d v="2014-11-27T00:00:00"/>
    <s v="First Class"/>
    <s v="SV-2081558"/>
    <s v="Stuart Van"/>
    <x v="1"/>
    <m/>
    <s v="Vadodara"/>
    <s v="Gujarat"/>
    <s v="India"/>
    <x v="5"/>
    <s v="Asia Pacific"/>
    <s v="TEC-CO-4577"/>
    <x v="0"/>
    <s v="Copiers"/>
    <s v="Hewlett Fax Machine, High-Speed"/>
    <n v="1590.6"/>
    <n v="5"/>
    <n v="0"/>
    <n v="572.54999999999995"/>
    <n v="493.2"/>
    <s v="Critical"/>
    <n v="7953"/>
    <n v="0"/>
    <n v="7459.8"/>
  </r>
  <r>
    <n v="27094"/>
    <s v="IN-2014-MM1792027-41950"/>
    <d v="2014-11-07T00:00:00"/>
    <d v="2014-11-10T00:00:00"/>
    <s v="First Class"/>
    <s v="MM-1792027"/>
    <s v="Michael Moore"/>
    <x v="0"/>
    <m/>
    <s v="Sanya"/>
    <s v="Hainan"/>
    <s v="China"/>
    <x v="8"/>
    <s v="Asia Pacific"/>
    <s v="TEC-AC-3405"/>
    <x v="0"/>
    <s v="Accessories"/>
    <s v="Belkin Router, USB"/>
    <n v="2330.64"/>
    <n v="9"/>
    <n v="0"/>
    <n v="1025.46"/>
    <n v="492.79"/>
    <s v="Critical"/>
    <n v="20975.759999999998"/>
    <n v="0"/>
    <n v="20482.969999999998"/>
  </r>
  <r>
    <n v="24424"/>
    <s v="IN-2015-JK1612059-42204"/>
    <d v="2015-07-19T00:00:00"/>
    <d v="2015-07-23T00:00:00"/>
    <s v="Standard Class"/>
    <s v="JK-1612059"/>
    <s v="Julie Kriz"/>
    <x v="2"/>
    <m/>
    <s v="Palembang"/>
    <s v="Sumatera Selatan"/>
    <s v="Indonesia"/>
    <x v="17"/>
    <s v="Asia Pacific"/>
    <s v="FUR-BO-5761"/>
    <x v="1"/>
    <s v="Bookcases"/>
    <s v="Safco Classic Bookcase, Mobile"/>
    <n v="3278.58"/>
    <n v="8"/>
    <n v="7.0000000000000007E-2"/>
    <n v="140.82"/>
    <n v="492.28"/>
    <s v="High"/>
    <n v="26228.639999999999"/>
    <n v="18.360048000000003"/>
    <n v="25717.999952000002"/>
  </r>
  <r>
    <n v="22049"/>
    <s v="ID-2013-EM14200130-41502"/>
    <d v="2013-08-16T00:00:00"/>
    <d v="2013-08-16T00:00:00"/>
    <s v="Same Day"/>
    <s v="EM-14200130"/>
    <s v="Evan Minnotte"/>
    <x v="2"/>
    <m/>
    <s v="Bangkok"/>
    <s v="Bangkok"/>
    <s v="Thailand"/>
    <x v="17"/>
    <s v="Asia Pacific"/>
    <s v="TEC-PH-5268"/>
    <x v="0"/>
    <s v="Phones"/>
    <s v="Motorola Smart Phone, Full Size"/>
    <n v="3741.52"/>
    <n v="7"/>
    <n v="0.17"/>
    <n v="946.63"/>
    <n v="491.91"/>
    <s v="High"/>
    <n v="26190.639999999999"/>
    <n v="44.524087999999999"/>
    <n v="25654.205912000001"/>
  </r>
  <r>
    <n v="40796"/>
    <s v="CA-2015-AB10060140-42314"/>
    <d v="2015-11-06T00:00:00"/>
    <d v="2015-11-08T00:00:00"/>
    <s v="First Class"/>
    <s v="AB-100601402"/>
    <s v="Adam Bellavance"/>
    <x v="2"/>
    <n v="46142"/>
    <s v="Greenwood"/>
    <s v="Indiana"/>
    <s v="United States"/>
    <x v="0"/>
    <s v="USCA"/>
    <s v="OFF-PA-6214"/>
    <x v="2"/>
    <s v="Paper"/>
    <s v="Strathmore Photo Mount Cards"/>
    <n v="67.8"/>
    <n v="10"/>
    <n v="0"/>
    <n v="31.19"/>
    <n v="7.97"/>
    <s v="High"/>
    <n v="678"/>
    <n v="0"/>
    <n v="670.03"/>
  </r>
  <r>
    <n v="23815"/>
    <s v="IN-2013-PM1894059-41284"/>
    <d v="2013-01-10T00:00:00"/>
    <d v="2013-01-14T00:00:00"/>
    <s v="Standard Class"/>
    <s v="PM-1894059"/>
    <s v="Paul MacIntyre"/>
    <x v="0"/>
    <m/>
    <s v="Tasikmalaya"/>
    <s v="Jawa Barat"/>
    <s v="Indonesia"/>
    <x v="17"/>
    <s v="Asia Pacific"/>
    <s v="FUR-BO-5787"/>
    <x v="1"/>
    <s v="Bookcases"/>
    <s v="Safco Library with Doors, Pine"/>
    <n v="3637.6"/>
    <n v="10"/>
    <n v="7.0000000000000007E-2"/>
    <n v="156.4"/>
    <n v="487.86"/>
    <s v="High"/>
    <n v="36376"/>
    <n v="25.463200000000001"/>
    <n v="35862.676800000001"/>
  </r>
  <r>
    <n v="8009"/>
    <s v="MX-2014-AT1043582-41667"/>
    <d v="2014-01-28T00:00:00"/>
    <d v="2014-01-30T00:00:00"/>
    <s v="First Class"/>
    <s v="AT-1043582"/>
    <s v="Alyssa Tate"/>
    <x v="2"/>
    <m/>
    <s v="Guaymas"/>
    <s v="Sonora"/>
    <s v="Mexico"/>
    <x v="13"/>
    <s v="LATAM"/>
    <s v="OFF-AP-4736"/>
    <x v="2"/>
    <s v="Appliances"/>
    <s v="Hoover Refrigerator, Red"/>
    <n v="2455.88"/>
    <n v="7"/>
    <n v="0"/>
    <n v="785.82"/>
    <n v="487.476"/>
    <s v="Medium"/>
    <n v="17191.16"/>
    <n v="0"/>
    <n v="16703.684000000001"/>
  </r>
  <r>
    <n v="30267"/>
    <s v="ID-2013-AB1001527-41439"/>
    <d v="2013-06-14T00:00:00"/>
    <d v="2013-06-17T00:00:00"/>
    <s v="First Class"/>
    <s v="AB-1001527"/>
    <s v="Aaron Bergman"/>
    <x v="0"/>
    <m/>
    <s v="Wuhan"/>
    <s v="Hubei"/>
    <s v="China"/>
    <x v="8"/>
    <s v="Asia Pacific"/>
    <s v="TEC-MA-6150"/>
    <x v="0"/>
    <s v="Machines"/>
    <s v="StarTech Printer, Wireless"/>
    <n v="1024.68"/>
    <n v="8"/>
    <n v="0.5"/>
    <n v="-286.92"/>
    <n v="487.32"/>
    <s v="Critical"/>
    <n v="8197.44"/>
    <n v="40.987200000000001"/>
    <n v="7669.1328000000012"/>
  </r>
  <r>
    <n v="2283"/>
    <s v="MX-2013-PV1898518-41614"/>
    <d v="2013-12-06T00:00:00"/>
    <d v="2013-12-08T00:00:00"/>
    <s v="First Class"/>
    <s v="PV-1898518"/>
    <s v="Paul Van Hugh"/>
    <x v="2"/>
    <m/>
    <s v="Salto"/>
    <s v="São Paulo"/>
    <s v="Brazil"/>
    <x v="7"/>
    <s v="LATAM"/>
    <s v="TEC-AC-5223"/>
    <x v="0"/>
    <s v="Accessories"/>
    <s v="Memorex Router, Bluetooth"/>
    <n v="2297.96"/>
    <n v="14"/>
    <n v="0"/>
    <n v="988.12"/>
    <n v="483.25700000000001"/>
    <s v="High"/>
    <n v="32171.440000000002"/>
    <n v="0"/>
    <n v="31688.183000000001"/>
  </r>
  <r>
    <n v="17765"/>
    <s v="IT-2014-SB2029064-41887"/>
    <d v="2014-09-05T00:00:00"/>
    <d v="2014-09-07T00:00:00"/>
    <s v="Second Class"/>
    <s v="SB-2029064"/>
    <s v="Sean Braxton"/>
    <x v="1"/>
    <m/>
    <s v="Treviso"/>
    <s v="Veneto"/>
    <s v="Italy"/>
    <x v="9"/>
    <s v="Europe"/>
    <s v="TEC-CO-4590"/>
    <x v="0"/>
    <s v="Copiers"/>
    <s v="Hewlett Wireless Fax, Color"/>
    <n v="2671.41"/>
    <n v="7"/>
    <n v="0"/>
    <n v="534.24"/>
    <n v="483.04"/>
    <s v="High"/>
    <n v="18699.87"/>
    <n v="0"/>
    <n v="18216.829999999998"/>
  </r>
  <r>
    <n v="47783"/>
    <s v="SO-2015-SM10005116-42265"/>
    <d v="2015-09-18T00:00:00"/>
    <d v="2015-09-20T00:00:00"/>
    <s v="First Class"/>
    <s v="SM-10005116"/>
    <s v="Sally Matthias"/>
    <x v="0"/>
    <m/>
    <s v="Hargeysa"/>
    <s v="Woqooyi Galbeed"/>
    <s v="Somalia"/>
    <x v="10"/>
    <s v="Africa"/>
    <s v="TEC-PH-5839"/>
    <x v="0"/>
    <s v="Phones"/>
    <s v="Samsung Smart Phone, Cordless"/>
    <n v="3834"/>
    <n v="6"/>
    <n v="0"/>
    <n v="268.38"/>
    <n v="481.04"/>
    <s v="High"/>
    <n v="23004"/>
    <n v="0"/>
    <n v="22522.959999999999"/>
  </r>
  <r>
    <n v="23175"/>
    <s v="IN-2013-KH1633059-41489"/>
    <d v="2013-08-03T00:00:00"/>
    <d v="2013-08-08T00:00:00"/>
    <s v="Standard Class"/>
    <s v="KH-1633059"/>
    <s v="Katharine Harms"/>
    <x v="1"/>
    <m/>
    <s v="Yogyakarta"/>
    <s v="Yogyakarta"/>
    <s v="Indonesia"/>
    <x v="17"/>
    <s v="Asia Pacific"/>
    <s v="OFF-AP-4960"/>
    <x v="2"/>
    <s v="Appliances"/>
    <s v="KitchenAid Refrigerator, Black"/>
    <n v="3501.74"/>
    <n v="8"/>
    <n v="0.17"/>
    <n v="210.86"/>
    <n v="479.96"/>
    <s v="High"/>
    <n v="28013.919999999998"/>
    <n v="47.623663999999998"/>
    <n v="27486.336336"/>
  </r>
  <r>
    <n v="27693"/>
    <s v="IN-2015-MP181757-42347"/>
    <d v="2015-12-09T00:00:00"/>
    <d v="2015-12-11T00:00:00"/>
    <s v="First Class"/>
    <s v="MP-181757"/>
    <s v="Mike Pelletier"/>
    <x v="2"/>
    <m/>
    <s v="Perth"/>
    <s v="Western Australia"/>
    <s v="Australia"/>
    <x v="1"/>
    <s v="Asia Pacific"/>
    <s v="TEC-PH-3149"/>
    <x v="0"/>
    <s v="Phones"/>
    <s v="Apple Smart Phone, with Caller ID"/>
    <n v="1725.46"/>
    <n v="3"/>
    <n v="0.1"/>
    <n v="747.61"/>
    <n v="479.94"/>
    <s v="High"/>
    <n v="5176.38"/>
    <n v="5.17638"/>
    <n v="4691.2636200000006"/>
  </r>
  <r>
    <n v="22134"/>
    <s v="IN-2013-LH1702027-41572"/>
    <d v="2013-10-25T00:00:00"/>
    <d v="2013-10-28T00:00:00"/>
    <s v="First Class"/>
    <s v="LH-1702027"/>
    <s v="Lisa Hazard"/>
    <x v="0"/>
    <m/>
    <s v="Anshan"/>
    <s v="Liaoning"/>
    <s v="China"/>
    <x v="8"/>
    <s v="Asia Pacific"/>
    <s v="TEC-CO-3597"/>
    <x v="0"/>
    <s v="Copiers"/>
    <s v="Brother Fax Machine, High-Speed"/>
    <n v="1583.7"/>
    <n v="5"/>
    <n v="0"/>
    <n v="174.15"/>
    <n v="479.67"/>
    <s v="Critical"/>
    <n v="7918.5"/>
    <n v="0"/>
    <n v="7438.83"/>
  </r>
  <r>
    <n v="36297"/>
    <s v="CA-2015-AB10060140-42132"/>
    <d v="2015-05-08T00:00:00"/>
    <d v="2015-05-13T00:00:00"/>
    <s v="Standard Class"/>
    <s v="AB-100601404"/>
    <s v="Adam Bellavance"/>
    <x v="2"/>
    <n v="90004"/>
    <s v="Los Angeles"/>
    <s v="California"/>
    <s v="United States"/>
    <x v="4"/>
    <s v="USCA"/>
    <s v="TEC-AC-5109"/>
    <x v="0"/>
    <s v="Accessories"/>
    <s v="Logitech G600 MMO Gaming Mouse"/>
    <n v="79.989999999999995"/>
    <n v="1"/>
    <n v="0"/>
    <n v="28.8"/>
    <n v="5.44"/>
    <s v="Medium"/>
    <n v="79.989999999999995"/>
    <n v="0"/>
    <n v="74.55"/>
  </r>
  <r>
    <n v="22488"/>
    <s v="ID-2014-CR126257-41878"/>
    <d v="2014-08-27T00:00:00"/>
    <d v="2014-08-29T00:00:00"/>
    <s v="Second Class"/>
    <s v="CR-126257"/>
    <s v="Corey Roper"/>
    <x v="2"/>
    <m/>
    <s v="Brisbane"/>
    <s v="Queensland"/>
    <s v="Australia"/>
    <x v="1"/>
    <s v="Asia Pacific"/>
    <s v="FUR-BO-5763"/>
    <x v="1"/>
    <s v="Bookcases"/>
    <s v="Safco Classic Bookcase, Traditional"/>
    <n v="2760.35"/>
    <n v="7"/>
    <n v="0.1"/>
    <n v="-214.73"/>
    <n v="475.34"/>
    <s v="High"/>
    <n v="19322.45"/>
    <n v="19.32245"/>
    <n v="18827.787550000001"/>
  </r>
  <r>
    <n v="25678"/>
    <s v="IN-2012-NC1862511-41041"/>
    <d v="2012-05-12T00:00:00"/>
    <d v="2012-05-16T00:00:00"/>
    <s v="Standard Class"/>
    <s v="NC-1862511"/>
    <s v="Noah Childs"/>
    <x v="1"/>
    <m/>
    <s v="Dhaka"/>
    <s v="Dhaka"/>
    <s v="Bangladesh"/>
    <x v="5"/>
    <s v="Asia Pacific"/>
    <s v="TEC-AC-3403"/>
    <x v="0"/>
    <s v="Accessories"/>
    <s v="Belkin Router, Erganomic"/>
    <n v="3078.72"/>
    <n v="12"/>
    <n v="0"/>
    <n v="523.08000000000004"/>
    <n v="474.44"/>
    <s v="High"/>
    <n v="36944.639999999999"/>
    <n v="0"/>
    <n v="36470.199999999997"/>
  </r>
  <r>
    <n v="15376"/>
    <s v="IT-2012-GM1468091-41215"/>
    <d v="2012-11-02T00:00:00"/>
    <d v="2012-11-05T00:00:00"/>
    <s v="First Class"/>
    <s v="GM-1468091"/>
    <s v="Greg Matthias"/>
    <x v="0"/>
    <m/>
    <s v="Amsterdam"/>
    <s v="North Holland"/>
    <s v="Netherlands"/>
    <x v="2"/>
    <s v="Europe"/>
    <s v="OFF-AP-4745"/>
    <x v="2"/>
    <s v="Appliances"/>
    <s v="Hoover Stove, White"/>
    <n v="1983.14"/>
    <n v="7"/>
    <n v="0.5"/>
    <n v="-1784.9"/>
    <n v="473.27"/>
    <s v="High"/>
    <n v="13881.980000000001"/>
    <n v="69.409900000000007"/>
    <n v="13339.3001"/>
  </r>
  <r>
    <n v="15162"/>
    <s v="ES-2015-RA1994545-42218"/>
    <d v="2015-08-02T00:00:00"/>
    <d v="2015-08-03T00:00:00"/>
    <s v="First Class"/>
    <s v="RA-1994545"/>
    <s v="Ryan Akin"/>
    <x v="0"/>
    <m/>
    <s v="Le Petit-Quevilly"/>
    <s v="Normandy"/>
    <s v="France"/>
    <x v="2"/>
    <s v="Europe"/>
    <s v="FUR-BO-3624"/>
    <x v="1"/>
    <s v="Bookcases"/>
    <s v="Bush Classic Bookcase, Metal"/>
    <n v="1112.78"/>
    <n v="3"/>
    <n v="0.1"/>
    <n v="296.66000000000003"/>
    <n v="472"/>
    <s v="Critical"/>
    <n v="3338.34"/>
    <n v="3.3383400000000005"/>
    <n v="2863.0016600000004"/>
  </r>
  <r>
    <n v="18899"/>
    <s v="ES-2012-DB1306048-41171"/>
    <d v="2012-09-19T00:00:00"/>
    <d v="2012-09-21T00:00:00"/>
    <s v="Second Class"/>
    <s v="DB-1306048"/>
    <s v="Dave Brooks"/>
    <x v="0"/>
    <m/>
    <s v="Bochum"/>
    <s v="North Rhine-Westphalia"/>
    <s v="Germany"/>
    <x v="2"/>
    <s v="Europe"/>
    <s v="TEC-CO-4789"/>
    <x v="0"/>
    <s v="Copiers"/>
    <s v="HP Wireless Fax, Color"/>
    <n v="3616.5"/>
    <n v="10"/>
    <n v="0"/>
    <n v="36"/>
    <n v="471.92"/>
    <s v="Critical"/>
    <n v="36165"/>
    <n v="0"/>
    <n v="35693.08"/>
  </r>
  <r>
    <n v="24160"/>
    <s v="IN-2014-RF197357-41709"/>
    <d v="2014-03-11T00:00:00"/>
    <d v="2014-03-15T00:00:00"/>
    <s v="Standard Class"/>
    <s v="RF-197357"/>
    <s v="Roland Fjeld"/>
    <x v="0"/>
    <m/>
    <s v="Perth"/>
    <s v="Western Australia"/>
    <s v="Australia"/>
    <x v="1"/>
    <s v="Asia Pacific"/>
    <s v="TEC-PH-5268"/>
    <x v="0"/>
    <s v="Phones"/>
    <s v="Motorola Smart Phone, Full Size"/>
    <n v="2892.11"/>
    <n v="5"/>
    <n v="0.1"/>
    <n v="160.61000000000001"/>
    <n v="470.29"/>
    <s v="High"/>
    <n v="14460.550000000001"/>
    <n v="14.460550000000003"/>
    <n v="13975.79945"/>
  </r>
  <r>
    <n v="15812"/>
    <s v="ES-2013-JH1582048-41306"/>
    <d v="2013-02-01T00:00:00"/>
    <d v="2013-02-04T00:00:00"/>
    <s v="First Class"/>
    <s v="JH-1582048"/>
    <s v="John Huston"/>
    <x v="0"/>
    <m/>
    <s v="Hamburg"/>
    <s v="Hamburg"/>
    <s v="Germany"/>
    <x v="2"/>
    <s v="Europe"/>
    <s v="TEC-PH-3806"/>
    <x v="0"/>
    <s v="Phones"/>
    <s v="Cisco Smart Phone, Full Size"/>
    <n v="3263.4"/>
    <n v="5"/>
    <n v="0"/>
    <n v="848.4"/>
    <n v="469.29"/>
    <s v="High"/>
    <n v="16317"/>
    <n v="0"/>
    <n v="15847.71"/>
  </r>
  <r>
    <n v="6449"/>
    <s v="MX-2015-DM1295551-42103"/>
    <d v="2015-04-09T00:00:00"/>
    <d v="2015-04-13T00:00:00"/>
    <s v="Standard Class"/>
    <s v="DM-1295551"/>
    <s v="Dario Medina"/>
    <x v="1"/>
    <m/>
    <s v="Mixco"/>
    <s v="Guatemala"/>
    <s v="Guatemala"/>
    <x v="13"/>
    <s v="LATAM"/>
    <s v="FUR-TA-5064"/>
    <x v="1"/>
    <s v="Tables"/>
    <s v="Lesro Round Table, Rectangular"/>
    <n v="3117.09"/>
    <n v="13"/>
    <n v="0.2"/>
    <n v="38.950000000000003"/>
    <n v="466.70299999999997"/>
    <s v="High"/>
    <n v="40522.17"/>
    <n v="81.044340000000005"/>
    <n v="39974.422659999997"/>
  </r>
  <r>
    <n v="32472"/>
    <s v="CA-2014-AB10060140-41881"/>
    <d v="2014-08-30T00:00:00"/>
    <d v="2014-09-04T00:00:00"/>
    <s v="Standard Class"/>
    <s v="AB-100601406"/>
    <s v="Adam Bellavance"/>
    <x v="2"/>
    <n v="3301"/>
    <s v="Concord"/>
    <s v="New Hampshire"/>
    <s v="United States"/>
    <x v="14"/>
    <s v="USCA"/>
    <s v="OFF-SU-2972"/>
    <x v="2"/>
    <s v="Supplies"/>
    <s v="Acme Forged Steel Scissors with Black Enamel Handles"/>
    <n v="27.93"/>
    <n v="3"/>
    <n v="0"/>
    <n v="8.1"/>
    <n v="2.16"/>
    <s v="Medium"/>
    <n v="83.789999999999992"/>
    <n v="0"/>
    <n v="81.63"/>
  </r>
  <r>
    <n v="4394"/>
    <s v="MX-2015-BE1133582-42082"/>
    <d v="2015-03-19T00:00:00"/>
    <d v="2015-03-21T00:00:00"/>
    <s v="First Class"/>
    <s v="BE-1133582"/>
    <s v="Bill Eplett"/>
    <x v="2"/>
    <m/>
    <s v="Morelia"/>
    <s v="Michoacán"/>
    <s v="Mexico"/>
    <x v="13"/>
    <s v="LATAM"/>
    <s v="OFF-AP-4745"/>
    <x v="2"/>
    <s v="Appliances"/>
    <s v="Hoover Stove, White"/>
    <n v="1888.7"/>
    <n v="5"/>
    <n v="0"/>
    <n v="887.6"/>
    <n v="465.91800000000001"/>
    <s v="High"/>
    <n v="9443.5"/>
    <n v="0"/>
    <n v="8977.5820000000003"/>
  </r>
  <r>
    <n v="22058"/>
    <s v="IN-2014-SO2033527-41914"/>
    <d v="2014-10-02T00:00:00"/>
    <d v="2014-10-04T00:00:00"/>
    <s v="First Class"/>
    <s v="SO-2033527"/>
    <s v="Sean O'Donnell"/>
    <x v="0"/>
    <m/>
    <s v="Changchun"/>
    <s v="Jilin"/>
    <s v="China"/>
    <x v="8"/>
    <s v="Asia Pacific"/>
    <s v="OFF-AP-4502"/>
    <x v="2"/>
    <s v="Appliances"/>
    <s v="Hamilton Beach Refrigerator, Red"/>
    <n v="3000.78"/>
    <n v="6"/>
    <n v="0"/>
    <n v="1080.18"/>
    <n v="465.63"/>
    <s v="High"/>
    <n v="18004.68"/>
    <n v="0"/>
    <n v="17539.05"/>
  </r>
  <r>
    <n v="19833"/>
    <s v="ES-2014-DK12835120-41651"/>
    <d v="2014-01-12T00:00:00"/>
    <d v="2014-01-15T00:00:00"/>
    <s v="First Class"/>
    <s v="DK-12835120"/>
    <s v="Damala Kotsonis"/>
    <x v="1"/>
    <m/>
    <s v="Madrid"/>
    <s v="Madrid"/>
    <s v="Spain"/>
    <x v="9"/>
    <s v="Europe"/>
    <s v="OFF-AP-4507"/>
    <x v="2"/>
    <s v="Appliances"/>
    <s v="Hamilton Beach Stove, Silver"/>
    <n v="3801.63"/>
    <n v="7"/>
    <n v="0"/>
    <n v="1444.59"/>
    <n v="465.02"/>
    <s v="Medium"/>
    <n v="26611.41"/>
    <n v="0"/>
    <n v="26146.39"/>
  </r>
  <r>
    <n v="45807"/>
    <s v="SA-2015-LC7050110-42236"/>
    <d v="2015-08-20T00:00:00"/>
    <d v="2015-08-25T00:00:00"/>
    <s v="Standard Class"/>
    <s v="LC-7050110"/>
    <s v="Liz Carlisle"/>
    <x v="0"/>
    <m/>
    <s v="Jeddah"/>
    <s v="Makkah"/>
    <s v="Saudi Arabia"/>
    <x v="6"/>
    <s v="Asia Pacific"/>
    <s v="TEC-PH-3806"/>
    <x v="0"/>
    <s v="Phones"/>
    <s v="Cisco Smart Phone, Full Size"/>
    <n v="5211.12"/>
    <n v="8"/>
    <n v="0"/>
    <n v="1146.24"/>
    <n v="463.98"/>
    <s v="Medium"/>
    <n v="41688.959999999999"/>
    <n v="0"/>
    <n v="41224.979999999996"/>
  </r>
  <r>
    <n v="29484"/>
    <s v="IN-2015-CG125207-42077"/>
    <d v="2015-03-14T00:00:00"/>
    <d v="2015-03-18T00:00:00"/>
    <s v="Standard Class"/>
    <s v="CG-125207"/>
    <s v="Claire Gute"/>
    <x v="0"/>
    <m/>
    <s v="Adelaide"/>
    <s v="South Australia"/>
    <s v="Australia"/>
    <x v="1"/>
    <s v="Asia Pacific"/>
    <s v="OFF-AP-4745"/>
    <x v="2"/>
    <s v="Appliances"/>
    <s v="Hoover Stove, White"/>
    <n v="3569.64"/>
    <n v="7"/>
    <n v="0.1"/>
    <n v="674.16"/>
    <n v="458.54"/>
    <s v="High"/>
    <n v="24987.48"/>
    <n v="24.987480000000001"/>
    <n v="24503.952519999999"/>
  </r>
  <r>
    <n v="36347"/>
    <s v="CA-2013-AB10060140-41535"/>
    <d v="2013-09-18T00:00:00"/>
    <d v="2013-09-24T00:00:00"/>
    <s v="Standard Class"/>
    <s v="AB-100601404"/>
    <s v="Adam Bellavance"/>
    <x v="2"/>
    <n v="98198"/>
    <s v="Des Moines"/>
    <s v="Washington"/>
    <s v="United States"/>
    <x v="4"/>
    <s v="USCA"/>
    <s v="OFF-PA-6420"/>
    <x v="2"/>
    <s v="Paper"/>
    <s v="Wirebound Message Books, Four 2 3/4&quot; x 5&quot; Forms per Page, 600 Sets per Book"/>
    <n v="18.54"/>
    <n v="2"/>
    <n v="0"/>
    <n v="8.7100000000000009"/>
    <n v="1.69"/>
    <s v="Medium"/>
    <n v="37.08"/>
    <n v="0"/>
    <n v="35.39"/>
  </r>
  <r>
    <n v="24015"/>
    <s v="ID-2015-HG1502559-42194"/>
    <d v="2015-07-09T00:00:00"/>
    <d v="2015-07-13T00:00:00"/>
    <s v="Standard Class"/>
    <s v="HG-1502559"/>
    <s v="Hunter Glantz"/>
    <x v="0"/>
    <m/>
    <s v="Medan"/>
    <s v="Sumatera Utara"/>
    <s v="Indonesia"/>
    <x v="17"/>
    <s v="Asia Pacific"/>
    <s v="FUR-BO-5787"/>
    <x v="1"/>
    <s v="Bookcases"/>
    <s v="Safco Library with Doors, Pine"/>
    <n v="2910.08"/>
    <n v="8"/>
    <n v="7.0000000000000007E-2"/>
    <n v="125.12"/>
    <n v="456.32"/>
    <s v="High"/>
    <n v="23280.639999999999"/>
    <n v="16.296448000000002"/>
    <n v="22808.023551999999"/>
  </r>
  <r>
    <n v="20601"/>
    <s v="ID-2014-AD1018059-41801"/>
    <d v="2014-06-11T00:00:00"/>
    <d v="2014-06-15T00:00:00"/>
    <s v="Standard Class"/>
    <s v="AD-1018059"/>
    <s v="Alan Dominguez"/>
    <x v="2"/>
    <m/>
    <s v="Jakarta"/>
    <s v="Jakarta"/>
    <s v="Indonesia"/>
    <x v="17"/>
    <s v="Asia Pacific"/>
    <s v="FUR-CH-4532"/>
    <x v="1"/>
    <s v="Chairs"/>
    <s v="Harbour Creations Executive Leather Armchair, Red"/>
    <n v="3126.4"/>
    <n v="9"/>
    <n v="0.27"/>
    <n v="-128.72"/>
    <n v="455.71"/>
    <s v="High"/>
    <n v="28137.600000000002"/>
    <n v="75.971520000000012"/>
    <n v="27605.918480000004"/>
  </r>
  <r>
    <n v="12051"/>
    <s v="ES-2012-BP11155139-41130"/>
    <d v="2012-08-09T00:00:00"/>
    <d v="2012-08-16T00:00:00"/>
    <s v="Standard Class"/>
    <s v="BP-11155139"/>
    <s v="Becky Pak"/>
    <x v="0"/>
    <m/>
    <s v="London"/>
    <s v="England"/>
    <s v="United Kingdom"/>
    <x v="12"/>
    <s v="Europe"/>
    <s v="TEC-PH-3805"/>
    <x v="0"/>
    <s v="Phones"/>
    <s v="Cisco Smart Phone, Cordless"/>
    <n v="5276.99"/>
    <n v="9"/>
    <n v="0.1"/>
    <n v="1758.89"/>
    <n v="454.81"/>
    <s v="Medium"/>
    <n v="47492.909999999996"/>
    <n v="47.492910000000002"/>
    <n v="46990.607089999998"/>
  </r>
  <r>
    <n v="25915"/>
    <s v="ID-2015-AA10480130-42080"/>
    <d v="2015-03-17T00:00:00"/>
    <d v="2015-03-21T00:00:00"/>
    <s v="Standard Class"/>
    <s v="AA-10480130"/>
    <s v="Andrew Allen"/>
    <x v="0"/>
    <m/>
    <s v="Bangkok"/>
    <s v="Bangkok"/>
    <s v="Thailand"/>
    <x v="17"/>
    <s v="Asia Pacific"/>
    <s v="TEC-PH-5840"/>
    <x v="0"/>
    <s v="Phones"/>
    <s v="Samsung Smart Phone, Full Size"/>
    <n v="2645.38"/>
    <n v="5"/>
    <n v="0.17"/>
    <n v="-0.02"/>
    <n v="452.6"/>
    <s v="High"/>
    <n v="13226.900000000001"/>
    <n v="22.485730000000004"/>
    <n v="12751.814270000001"/>
  </r>
  <r>
    <n v="21639"/>
    <s v="ID-2014-RL196157-41641"/>
    <d v="2014-01-02T00:00:00"/>
    <d v="2014-01-03T00:00:00"/>
    <s v="First Class"/>
    <s v="RL-196157"/>
    <s v="Rob Lucas"/>
    <x v="0"/>
    <m/>
    <s v="Newcastle"/>
    <s v="New South Wales"/>
    <s v="Australia"/>
    <x v="1"/>
    <s v="Asia Pacific"/>
    <s v="FUR-BO-3639"/>
    <x v="1"/>
    <s v="Bookcases"/>
    <s v="Bush Library with Doors, Metal"/>
    <n v="1637.01"/>
    <n v="5"/>
    <n v="0.1"/>
    <n v="-36.39"/>
    <n v="452.28"/>
    <s v="Medium"/>
    <n v="8185.05"/>
    <n v="8.1850500000000004"/>
    <n v="7724.5849500000004"/>
  </r>
  <r>
    <n v="23229"/>
    <s v="ID-2013-SW2024559-41557"/>
    <d v="2013-10-10T00:00:00"/>
    <d v="2013-10-11T00:00:00"/>
    <s v="First Class"/>
    <s v="SW-2024559"/>
    <s v="Scot Wooten"/>
    <x v="0"/>
    <m/>
    <s v="Surakarta"/>
    <s v="Jawa Tengah"/>
    <s v="Indonesia"/>
    <x v="17"/>
    <s v="Asia Pacific"/>
    <s v="TEC-PH-5840"/>
    <x v="0"/>
    <s v="Phones"/>
    <s v="Samsung Smart Phone, Full Size"/>
    <n v="2645.38"/>
    <n v="5"/>
    <n v="0.17"/>
    <n v="-0.02"/>
    <n v="451.03"/>
    <s v="High"/>
    <n v="13226.900000000001"/>
    <n v="22.485730000000004"/>
    <n v="12753.38427"/>
  </r>
  <r>
    <n v="20674"/>
    <s v="IN-2012-BW1111027-41076"/>
    <d v="2012-06-16T00:00:00"/>
    <d v="2012-06-18T00:00:00"/>
    <s v="First Class"/>
    <s v="BW-1111027"/>
    <s v="Bart Watters"/>
    <x v="1"/>
    <m/>
    <s v="Beijing"/>
    <s v="Beijing"/>
    <s v="China"/>
    <x v="8"/>
    <s v="Asia Pacific"/>
    <s v="FUR-TA-3420"/>
    <x v="1"/>
    <s v="Tables"/>
    <s v="Bevis Conference Table, Fully Assembled"/>
    <n v="3238.31"/>
    <n v="5"/>
    <n v="0.3"/>
    <n v="-740.3"/>
    <n v="449.18"/>
    <s v="High"/>
    <n v="16191.55"/>
    <n v="48.574649999999991"/>
    <n v="15693.795349999999"/>
  </r>
  <r>
    <n v="11331"/>
    <s v="ES-2015-YC21895139-42097"/>
    <d v="2015-04-03T00:00:00"/>
    <d v="2015-04-05T00:00:00"/>
    <s v="First Class"/>
    <s v="YC-21895139"/>
    <s v="Yoseph Carroll"/>
    <x v="1"/>
    <m/>
    <s v="London"/>
    <s v="England"/>
    <s v="United Kingdom"/>
    <x v="12"/>
    <s v="Europe"/>
    <s v="FUR-BO-3639"/>
    <x v="1"/>
    <s v="Bookcases"/>
    <s v="Bush Library with Doors, Metal"/>
    <n v="2291.81"/>
    <n v="7"/>
    <n v="0.1"/>
    <n v="127.13"/>
    <n v="448.91"/>
    <s v="High"/>
    <n v="16042.67"/>
    <n v="16.042670000000001"/>
    <n v="15577.717329999999"/>
  </r>
  <r>
    <n v="58"/>
    <s v="MX-2012-JM1558082-41045"/>
    <d v="2012-05-16T00:00:00"/>
    <d v="2012-05-19T00:00:00"/>
    <s v="Second Class"/>
    <s v="JM-1558082"/>
    <s v="Jill Matthias"/>
    <x v="0"/>
    <m/>
    <s v="Tulancingo"/>
    <s v="Hidalgo"/>
    <s v="Mexico"/>
    <x v="13"/>
    <s v="LATAM"/>
    <s v="TEC-PH-5355"/>
    <x v="0"/>
    <s v="Phones"/>
    <s v="Nokia Smart Phone, Full Size"/>
    <n v="2124.5"/>
    <n v="5"/>
    <n v="0"/>
    <n v="488.6"/>
    <n v="447.65699999999998"/>
    <s v="High"/>
    <n v="10622.5"/>
    <n v="0"/>
    <n v="10174.843000000001"/>
  </r>
  <r>
    <n v="45091"/>
    <s v="BO-2015-MZ733513-42046"/>
    <d v="2015-02-11T00:00:00"/>
    <d v="2015-02-15T00:00:00"/>
    <s v="Second Class"/>
    <s v="MZ-733513"/>
    <s v="Maria Zettner"/>
    <x v="2"/>
    <m/>
    <s v="Brest"/>
    <s v="Brest"/>
    <s v="Belarus"/>
    <x v="11"/>
    <s v="Europe"/>
    <s v="FUR-CH-4654"/>
    <x v="1"/>
    <s v="Chairs"/>
    <s v="Hon Executive Leather Armchair, Adjustable"/>
    <n v="2757.78"/>
    <n v="6"/>
    <n v="0"/>
    <n v="744.48"/>
    <n v="446.33"/>
    <s v="High"/>
    <n v="16546.68"/>
    <n v="0"/>
    <n v="16100.35"/>
  </r>
  <r>
    <n v="18990"/>
    <s v="ES-2014-JF15295120-41924"/>
    <d v="2014-10-12T00:00:00"/>
    <d v="2014-10-12T00:00:00"/>
    <s v="Same Day"/>
    <s v="JF-15295120"/>
    <s v="Jason Fortune-"/>
    <x v="0"/>
    <m/>
    <s v="Valencia"/>
    <s v="Valenciana"/>
    <s v="Spain"/>
    <x v="9"/>
    <s v="Europe"/>
    <s v="TEC-AC-4185"/>
    <x v="0"/>
    <s v="Accessories"/>
    <s v="Enermax Router, Bluetooth"/>
    <n v="1549.98"/>
    <n v="6"/>
    <n v="0"/>
    <n v="139.32"/>
    <n v="443.92"/>
    <s v="Critical"/>
    <n v="9299.880000000001"/>
    <n v="0"/>
    <n v="8855.9600000000009"/>
  </r>
  <r>
    <n v="34330"/>
    <s v="CA-2015-AB10060140-42264"/>
    <d v="2015-09-17T00:00:00"/>
    <d v="2015-09-22T00:00:00"/>
    <s v="Standard Class"/>
    <s v="AB-100601406"/>
    <s v="Adam Bellavance"/>
    <x v="2"/>
    <n v="19143"/>
    <s v="Philadelphia"/>
    <s v="Pennsylvania"/>
    <s v="United States"/>
    <x v="14"/>
    <s v="USCA"/>
    <s v="OFF-PA-6596"/>
    <x v="2"/>
    <s v="Paper"/>
    <s v="Xerox 231"/>
    <n v="20.74"/>
    <n v="4"/>
    <n v="0.2"/>
    <n v="7.26"/>
    <n v="1.23"/>
    <s v="High"/>
    <n v="82.96"/>
    <n v="0.16591999999999998"/>
    <n v="81.56407999999999"/>
  </r>
  <r>
    <n v="51130"/>
    <s v="UP-2015-DJ3510137-42202"/>
    <d v="2015-07-17T00:00:00"/>
    <d v="2015-07-19T00:00:00"/>
    <s v="Second Class"/>
    <s v="DJ-3510137"/>
    <s v="Don Jones"/>
    <x v="1"/>
    <m/>
    <s v="Zhytomyr"/>
    <s v="Zhytomyr"/>
    <s v="Ukraine"/>
    <x v="11"/>
    <s v="Europe"/>
    <s v="OFF-AP-4738"/>
    <x v="2"/>
    <s v="Appliances"/>
    <s v="Hoover Refrigerator, White"/>
    <n v="3146.4"/>
    <n v="6"/>
    <n v="0"/>
    <n v="629.28"/>
    <n v="443.55"/>
    <s v="Critical"/>
    <n v="18878.400000000001"/>
    <n v="0"/>
    <n v="18434.850000000002"/>
  </r>
  <r>
    <n v="14405"/>
    <s v="ES-2015-MF1825045-42330"/>
    <d v="2015-11-22T00:00:00"/>
    <d v="2015-11-28T00:00:00"/>
    <s v="Standard Class"/>
    <s v="MF-1825045"/>
    <s v="Monica Federle"/>
    <x v="1"/>
    <m/>
    <s v="Argenteuil"/>
    <s v="Ile-de-France"/>
    <s v="France"/>
    <x v="2"/>
    <s v="Europe"/>
    <s v="TEC-MA-4205"/>
    <x v="0"/>
    <s v="Machines"/>
    <s v="Epson Printer, Durable"/>
    <n v="2456.62"/>
    <n v="11"/>
    <n v="0.15"/>
    <n v="664.72"/>
    <n v="442.49"/>
    <s v="Low"/>
    <n v="27022.82"/>
    <n v="40.534230000000001"/>
    <n v="26539.795769999997"/>
  </r>
  <r>
    <n v="10745"/>
    <s v="IT-2012-TC2129545-41058"/>
    <d v="2012-05-29T00:00:00"/>
    <d v="2012-06-01T00:00:00"/>
    <s v="First Class"/>
    <s v="TC-2129545"/>
    <s v="Toby Carlisle"/>
    <x v="0"/>
    <m/>
    <s v="Talence"/>
    <s v="Aquitaine-Limousin-Poitou-Charentes"/>
    <s v="France"/>
    <x v="2"/>
    <s v="Europe"/>
    <s v="FUR-TA-4642"/>
    <x v="1"/>
    <s v="Tables"/>
    <s v="Hon Computer Table, Adjustable Height"/>
    <n v="2228.64"/>
    <n v="7"/>
    <n v="0.35"/>
    <n v="-754.41"/>
    <n v="440.25"/>
    <s v="Critical"/>
    <n v="15600.48"/>
    <n v="54.601679999999995"/>
    <n v="15105.62832"/>
  </r>
  <r>
    <n v="25850"/>
    <s v="IN-2015-CP1234058-42202"/>
    <d v="2015-07-17T00:00:00"/>
    <d v="2015-07-20T00:00:00"/>
    <s v="First Class"/>
    <s v="CP-1234058"/>
    <s v="Christine Phan"/>
    <x v="1"/>
    <m/>
    <s v="Aurangabad"/>
    <s v="Bihar"/>
    <s v="India"/>
    <x v="5"/>
    <s v="Asia Pacific"/>
    <s v="OFF-AP-4502"/>
    <x v="2"/>
    <s v="Appliances"/>
    <s v="Hamilton Beach Refrigerator, Red"/>
    <n v="4001.04"/>
    <n v="8"/>
    <n v="0"/>
    <n v="1440.24"/>
    <n v="439.65"/>
    <s v="Medium"/>
    <n v="32008.32"/>
    <n v="0"/>
    <n v="31568.67"/>
  </r>
  <r>
    <n v="16109"/>
    <s v="ES-2015-EH1412545-42245"/>
    <d v="2015-08-29T00:00:00"/>
    <d v="2015-09-03T00:00:00"/>
    <s v="Standard Class"/>
    <s v="EH-1412545"/>
    <s v="Eugene Hildebrand"/>
    <x v="2"/>
    <m/>
    <s v="Plaisir"/>
    <s v="Ile-de-France"/>
    <s v="France"/>
    <x v="2"/>
    <s v="Europe"/>
    <s v="TEC-PH-3148"/>
    <x v="0"/>
    <s v="Phones"/>
    <s v="Apple Smart Phone, Full Size"/>
    <n v="4876.88"/>
    <n v="9"/>
    <n v="0.15"/>
    <n v="745.88"/>
    <n v="439.41"/>
    <s v="Medium"/>
    <n v="43891.92"/>
    <n v="65.837879999999998"/>
    <n v="43386.672119999996"/>
  </r>
  <r>
    <n v="22515"/>
    <s v="IN-2013-NC183407-41634"/>
    <d v="2013-12-26T00:00:00"/>
    <d v="2013-12-26T00:00:00"/>
    <s v="Same Day"/>
    <s v="NC-183407"/>
    <s v="Nat Carroll"/>
    <x v="0"/>
    <m/>
    <s v="Melbourne"/>
    <s v="Victoria"/>
    <s v="Australia"/>
    <x v="1"/>
    <s v="Asia Pacific"/>
    <s v="FUR-TA-5054"/>
    <x v="1"/>
    <s v="Tables"/>
    <s v="Lesro Computer Table, Adjustable Height"/>
    <n v="1788.82"/>
    <n v="6"/>
    <n v="0.3"/>
    <n v="204.28"/>
    <n v="439.03"/>
    <s v="Critical"/>
    <n v="10732.92"/>
    <n v="32.19876"/>
    <n v="10261.69124"/>
  </r>
  <r>
    <n v="29651"/>
    <s v="ID-2014-JS1603059-41760"/>
    <d v="2014-05-01T00:00:00"/>
    <d v="2014-05-04T00:00:00"/>
    <s v="Second Class"/>
    <s v="JS-1603059"/>
    <s v="Joy Smith"/>
    <x v="0"/>
    <m/>
    <s v="Medan"/>
    <s v="Sumatera Utara"/>
    <s v="Indonesia"/>
    <x v="17"/>
    <s v="Asia Pacific"/>
    <s v="FUR-TA-5072"/>
    <x v="1"/>
    <s v="Tables"/>
    <s v="Lesro Wood Table, Fully Assembled"/>
    <n v="1242.5899999999999"/>
    <n v="5"/>
    <n v="0.47"/>
    <n v="-140.72"/>
    <n v="437.85"/>
    <s v="Critical"/>
    <n v="6212.95"/>
    <n v="29.200865"/>
    <n v="5745.8991349999997"/>
  </r>
  <r>
    <n v="10670"/>
    <s v="ES-2012-AM10360139-41136"/>
    <d v="2012-08-15T00:00:00"/>
    <d v="2012-08-20T00:00:00"/>
    <s v="Standard Class"/>
    <s v="AM-10360139"/>
    <s v="Alice McCarthy"/>
    <x v="1"/>
    <m/>
    <s v="Harrogate"/>
    <s v="England"/>
    <s v="United Kingdom"/>
    <x v="12"/>
    <s v="Europe"/>
    <s v="TEC-PH-5354"/>
    <x v="0"/>
    <s v="Phones"/>
    <s v="Nokia Smart Phone, Cordless"/>
    <n v="4453.05"/>
    <n v="7"/>
    <n v="0"/>
    <n v="1424.85"/>
    <n v="433.41"/>
    <s v="Medium"/>
    <n v="31171.350000000002"/>
    <n v="0"/>
    <n v="30737.940000000002"/>
  </r>
  <r>
    <n v="24859"/>
    <s v="IN-2015-JF1519021-42341"/>
    <d v="2015-12-03T00:00:00"/>
    <d v="2015-12-07T00:00:00"/>
    <s v="Standard Class"/>
    <s v="JF-1519021"/>
    <s v="Jamie Frazer"/>
    <x v="0"/>
    <m/>
    <s v="Phnom Penh"/>
    <s v="Phnom Penh"/>
    <s v="Cambodia"/>
    <x v="17"/>
    <s v="Asia Pacific"/>
    <s v="FUR-TA-4706"/>
    <x v="1"/>
    <s v="Tables"/>
    <s v="Hon Training Table, Fully Assembled"/>
    <n v="2673.36"/>
    <n v="8"/>
    <n v="0"/>
    <n v="1069.2"/>
    <n v="432.57"/>
    <s v="High"/>
    <n v="21386.880000000001"/>
    <n v="0"/>
    <n v="20954.310000000001"/>
  </r>
  <r>
    <n v="24466"/>
    <s v="IN-2014-AB100157-41815"/>
    <d v="2014-06-25T00:00:00"/>
    <d v="2014-06-29T00:00:00"/>
    <s v="Standard Class"/>
    <s v="AB-100157"/>
    <s v="Aaron Bergman"/>
    <x v="0"/>
    <m/>
    <s v="Mackay"/>
    <s v="Queensland"/>
    <s v="Australia"/>
    <x v="1"/>
    <s v="Asia Pacific"/>
    <s v="FUR-CH-4654"/>
    <x v="1"/>
    <s v="Chairs"/>
    <s v="Hon Executive Leather Armchair, Adjustable"/>
    <n v="2046.2"/>
    <n v="5"/>
    <n v="0.1"/>
    <n v="591.04999999999995"/>
    <n v="432.15"/>
    <s v="High"/>
    <n v="10231"/>
    <n v="10.231"/>
    <n v="9788.6190000000006"/>
  </r>
  <r>
    <n v="15359"/>
    <s v="ES-2014-JG15160139-41660"/>
    <d v="2014-01-21T00:00:00"/>
    <d v="2014-01-24T00:00:00"/>
    <s v="Second Class"/>
    <s v="JG-15160139"/>
    <s v="James Galang"/>
    <x v="0"/>
    <m/>
    <s v="Stockton-on-Tees"/>
    <s v="England"/>
    <s v="United Kingdom"/>
    <x v="12"/>
    <s v="Europe"/>
    <s v="FUR-TA-3344"/>
    <x v="1"/>
    <s v="Tables"/>
    <s v="Barricks Conference Table, Fully Assembled"/>
    <n v="5451.3"/>
    <n v="6"/>
    <n v="0"/>
    <n v="2071.44"/>
    <n v="432.13"/>
    <s v="Medium"/>
    <n v="32707.800000000003"/>
    <n v="0"/>
    <n v="32275.670000000002"/>
  </r>
  <r>
    <n v="39745"/>
    <s v="CA-2015-AH10075140-42301"/>
    <d v="2015-10-24T00:00:00"/>
    <d v="2015-10-25T00:00:00"/>
    <s v="First Class"/>
    <s v="AH-100751406"/>
    <s v="Adam Hart"/>
    <x v="1"/>
    <n v="2920"/>
    <s v="Cranston"/>
    <s v="Rhode Island"/>
    <s v="United States"/>
    <x v="14"/>
    <s v="USCA"/>
    <s v="FUR-TA-5421"/>
    <x v="1"/>
    <s v="Tables"/>
    <s v="Office Impressions End Table, 20-1/2&quot;H x 24&quot;W x 20&quot;D"/>
    <n v="637.9"/>
    <n v="3"/>
    <n v="0.3"/>
    <n v="-127.58"/>
    <n v="188.95"/>
    <s v="Critical"/>
    <n v="1913.6999999999998"/>
    <n v="5.7410999999999994"/>
    <n v="1719.0088999999998"/>
  </r>
  <r>
    <n v="21670"/>
    <s v="IN-2015-AG1033059-42197"/>
    <d v="2015-07-12T00:00:00"/>
    <d v="2015-07-14T00:00:00"/>
    <s v="Second Class"/>
    <s v="AG-1033059"/>
    <s v="Alex Grayson"/>
    <x v="0"/>
    <m/>
    <s v="Jambi"/>
    <s v="Jambi"/>
    <s v="Indonesia"/>
    <x v="17"/>
    <s v="Asia Pacific"/>
    <s v="OFF-AP-3574"/>
    <x v="2"/>
    <s v="Appliances"/>
    <s v="Breville Refrigerator, Black"/>
    <n v="1722.28"/>
    <n v="4"/>
    <n v="0.17"/>
    <n v="539.44000000000005"/>
    <n v="430.04"/>
    <s v="Critical"/>
    <n v="6889.12"/>
    <n v="11.711504"/>
    <n v="6447.3684960000001"/>
  </r>
  <r>
    <n v="17548"/>
    <s v="ES-2015-NF1847548-42248"/>
    <d v="2015-09-01T00:00:00"/>
    <d v="2015-09-01T00:00:00"/>
    <s v="Same Day"/>
    <s v="NF-1847548"/>
    <s v="Neil Französisch"/>
    <x v="2"/>
    <m/>
    <s v="Moers"/>
    <s v="North Rhine-Westphalia"/>
    <s v="Germany"/>
    <x v="2"/>
    <s v="Europe"/>
    <s v="OFF-AP-3581"/>
    <x v="2"/>
    <s v="Appliances"/>
    <s v="Breville Stove, White"/>
    <n v="1007.42"/>
    <n v="2"/>
    <n v="0.1"/>
    <n v="134.30000000000001"/>
    <n v="428.83"/>
    <s v="Critical"/>
    <n v="2014.84"/>
    <n v="2.01484"/>
    <n v="1583.9951599999999"/>
  </r>
  <r>
    <n v="20861"/>
    <s v="IN-2012-DR129407-41066"/>
    <d v="2012-06-06T00:00:00"/>
    <d v="2012-06-10T00:00:00"/>
    <s v="Second Class"/>
    <s v="DR-129407"/>
    <s v="Daniel Raglin"/>
    <x v="2"/>
    <m/>
    <s v="Townsville"/>
    <s v="Queensland"/>
    <s v="Australia"/>
    <x v="1"/>
    <s v="Asia Pacific"/>
    <s v="OFF-AP-4966"/>
    <x v="2"/>
    <s v="Appliances"/>
    <s v="KitchenAid Stove, Silver"/>
    <n v="4624.29"/>
    <n v="9"/>
    <n v="0.1"/>
    <n v="1644.03"/>
    <n v="427.46"/>
    <s v="Medium"/>
    <n v="41618.61"/>
    <n v="41.618609999999997"/>
    <n v="41149.531390000004"/>
  </r>
  <r>
    <n v="17907"/>
    <s v="ES-2012-NB1865548-41194"/>
    <d v="2012-10-12T00:00:00"/>
    <d v="2012-10-12T00:00:00"/>
    <s v="Same Day"/>
    <s v="NB-1865548"/>
    <s v="Nona Balk"/>
    <x v="1"/>
    <m/>
    <s v="Hamburg"/>
    <s v="Hamburg"/>
    <s v="Germany"/>
    <x v="2"/>
    <s v="Europe"/>
    <s v="OFF-ST-6049"/>
    <x v="2"/>
    <s v="Storage"/>
    <s v="Smead Lockers, Wire Frame"/>
    <n v="1066.45"/>
    <n v="6"/>
    <n v="0.1"/>
    <n v="-11.93"/>
    <n v="427.24"/>
    <s v="Critical"/>
    <n v="6398.7000000000007"/>
    <n v="6.3987000000000016"/>
    <n v="5965.0613000000012"/>
  </r>
  <r>
    <n v="24361"/>
    <s v="IN-2014-NM1844527-41800"/>
    <d v="2014-06-10T00:00:00"/>
    <d v="2014-06-10T00:00:00"/>
    <s v="Same Day"/>
    <s v="NM-1844527"/>
    <s v="Nathan Mautz"/>
    <x v="2"/>
    <m/>
    <s v="Shenzhen"/>
    <s v="Guangdong"/>
    <s v="China"/>
    <x v="8"/>
    <s v="Asia Pacific"/>
    <s v="TEC-CO-5991"/>
    <x v="0"/>
    <s v="Copiers"/>
    <s v="Sharp Copy Machine, High-Speed"/>
    <n v="957.6"/>
    <n v="4"/>
    <n v="0"/>
    <n v="0"/>
    <n v="427.1"/>
    <s v="Critical"/>
    <n v="3830.4"/>
    <n v="0"/>
    <n v="3403.3"/>
  </r>
  <r>
    <n v="29968"/>
    <s v="IN-2015-TA213857-42351"/>
    <d v="2015-12-13T00:00:00"/>
    <d v="2015-12-17T00:00:00"/>
    <s v="Standard Class"/>
    <s v="TA-213857"/>
    <s v="Tom Ashbrook"/>
    <x v="2"/>
    <m/>
    <s v="Launceston"/>
    <s v="Tasmania"/>
    <s v="Australia"/>
    <x v="1"/>
    <s v="Asia Pacific"/>
    <s v="OFF-AP-4508"/>
    <x v="2"/>
    <s v="Appliances"/>
    <s v="Hamilton Beach Stove, White"/>
    <n v="4864.32"/>
    <n v="10"/>
    <n v="0.1"/>
    <n v="162.12"/>
    <n v="426.09"/>
    <s v="Medium"/>
    <n v="48643.199999999997"/>
    <n v="48.6432"/>
    <n v="48168.466800000002"/>
  </r>
  <r>
    <n v="32221"/>
    <s v="CA-2014-AH10075140-41898"/>
    <d v="2014-09-16T00:00:00"/>
    <d v="2014-09-21T00:00:00"/>
    <s v="Standard Class"/>
    <s v="AH-100751406"/>
    <s v="Adam Hart"/>
    <x v="1"/>
    <n v="10011"/>
    <s v="New York City"/>
    <s v="New York"/>
    <s v="United States"/>
    <x v="14"/>
    <s v="USCA"/>
    <s v="OFF-BI-4338"/>
    <x v="2"/>
    <s v="Binders"/>
    <s v="GBC DocuBind 300 Electric Binding Machine"/>
    <n v="841.57"/>
    <n v="2"/>
    <n v="0.2"/>
    <n v="294.55"/>
    <n v="57.49"/>
    <s v="Medium"/>
    <n v="1683.14"/>
    <n v="3.3662800000000006"/>
    <n v="1622.2837200000001"/>
  </r>
  <r>
    <n v="28875"/>
    <s v="ID-2015-SC20380102-42165"/>
    <d v="2015-06-10T00:00:00"/>
    <d v="2015-06-11T00:00:00"/>
    <s v="First Class"/>
    <s v="SC-20380102"/>
    <s v="Shahid Collister"/>
    <x v="0"/>
    <m/>
    <s v="Marikina"/>
    <s v="National Capital"/>
    <s v="Philippines"/>
    <x v="17"/>
    <s v="Asia Pacific"/>
    <s v="OFF-AP-3580"/>
    <x v="2"/>
    <s v="Appliances"/>
    <s v="Breville Stove, Silver"/>
    <n v="1433.84"/>
    <n v="3"/>
    <n v="0.15"/>
    <n v="-84.37"/>
    <n v="424.81"/>
    <s v="High"/>
    <n v="4301.5199999999995"/>
    <n v="6.4522799999999991"/>
    <n v="3870.2577199999992"/>
  </r>
  <r>
    <n v="48781"/>
    <s v="SF-2012-PA9060117-40954"/>
    <d v="2012-02-15T00:00:00"/>
    <d v="2012-02-16T00:00:00"/>
    <s v="First Class"/>
    <s v="PA-9060117"/>
    <s v="Pete Armstrong"/>
    <x v="2"/>
    <m/>
    <s v="Johannesburg"/>
    <s v="Gauteng"/>
    <s v="South Africa"/>
    <x v="20"/>
    <s v="Africa"/>
    <s v="OFF-ST-6047"/>
    <x v="2"/>
    <s v="Storage"/>
    <s v="Smead Lockers, Industrial"/>
    <n v="2784.6"/>
    <n v="14"/>
    <n v="0"/>
    <n v="779.52"/>
    <n v="422.25"/>
    <s v="Critical"/>
    <n v="38984.400000000001"/>
    <n v="0"/>
    <n v="38562.15"/>
  </r>
  <r>
    <n v="15922"/>
    <s v="ES-2014-RB19570120-41971"/>
    <d v="2014-11-28T00:00:00"/>
    <d v="2014-12-04T00:00:00"/>
    <s v="Standard Class"/>
    <s v="RB-19570120"/>
    <s v="Rob Beeghly"/>
    <x v="0"/>
    <m/>
    <s v="Barakaldo"/>
    <s v="Basque Country"/>
    <s v="Spain"/>
    <x v="9"/>
    <s v="Europe"/>
    <s v="FUR-BO-5760"/>
    <x v="1"/>
    <s v="Bookcases"/>
    <s v="Safco Classic Bookcase, Metal"/>
    <n v="3063.27"/>
    <n v="7"/>
    <n v="0"/>
    <n v="1470.21"/>
    <n v="419.38"/>
    <s v="Low"/>
    <n v="21442.89"/>
    <n v="0"/>
    <n v="21023.51"/>
  </r>
  <r>
    <n v="39983"/>
    <s v="CA-2014-AH10075140-41817"/>
    <d v="2014-06-27T00:00:00"/>
    <d v="2014-06-27T00:00:00"/>
    <s v="Same Day"/>
    <s v="AH-100751404"/>
    <s v="Adam Hart"/>
    <x v="1"/>
    <n v="90036"/>
    <s v="Los Angeles"/>
    <s v="California"/>
    <s v="United States"/>
    <x v="4"/>
    <s v="USCA"/>
    <s v="OFF-SU-5635"/>
    <x v="2"/>
    <s v="Supplies"/>
    <s v="Premier Electric Letter Opener"/>
    <n v="231.72"/>
    <n v="2"/>
    <n v="0"/>
    <n v="11.59"/>
    <n v="43.08"/>
    <s v="Critical"/>
    <n v="463.44"/>
    <n v="0"/>
    <n v="420.36"/>
  </r>
  <r>
    <n v="33163"/>
    <s v="CA-2015-AH10075140-42110"/>
    <d v="2015-04-16T00:00:00"/>
    <d v="2015-04-19T00:00:00"/>
    <s v="First Class"/>
    <s v="AH-100751404"/>
    <s v="Adam Hart"/>
    <x v="1"/>
    <n v="89015"/>
    <s v="Henderson"/>
    <s v="Nevada"/>
    <s v="United States"/>
    <x v="4"/>
    <s v="USCA"/>
    <s v="FUR-FU-4756"/>
    <x v="1"/>
    <s v="Furnishings"/>
    <s v="Howard Miller 12&quot; Round Wall Clock"/>
    <n v="196.45"/>
    <n v="5"/>
    <n v="0"/>
    <n v="70.72"/>
    <n v="36.520000000000003"/>
    <s v="Medium"/>
    <n v="982.25"/>
    <n v="0"/>
    <n v="945.73"/>
  </r>
  <r>
    <n v="2641"/>
    <s v="US-2012-LH1675036-41129"/>
    <d v="2012-08-08T00:00:00"/>
    <d v="2012-08-08T00:00:00"/>
    <s v="Same Day"/>
    <s v="LH-1675036"/>
    <s v="Larry Hughes"/>
    <x v="0"/>
    <m/>
    <s v="Santo Domingo"/>
    <s v="Santo Domingo"/>
    <s v="Dominican Republic"/>
    <x v="15"/>
    <s v="LATAM"/>
    <s v="TEC-PH-5839"/>
    <x v="0"/>
    <s v="Phones"/>
    <s v="Samsung Smart Phone, Cordless"/>
    <n v="2044.8"/>
    <n v="6"/>
    <n v="0.2"/>
    <n v="-332.28"/>
    <n v="417.99"/>
    <s v="High"/>
    <n v="12268.8"/>
    <n v="24.537599999999998"/>
    <n v="11826.2724"/>
  </r>
  <r>
    <n v="39711"/>
    <s v="CA-2014-AH10075140-41991"/>
    <d v="2014-12-18T00:00:00"/>
    <d v="2014-12-22T00:00:00"/>
    <s v="Standard Class"/>
    <s v="AH-100751402"/>
    <s v="Adam Hart"/>
    <x v="1"/>
    <n v="76017"/>
    <s v="Arlington"/>
    <s v="Texas"/>
    <s v="United States"/>
    <x v="0"/>
    <s v="USCA"/>
    <s v="TEC-AC-6351"/>
    <x v="0"/>
    <s v="Accessories"/>
    <s v="WD My Passport Ultra 1TB Portable External Hard Drive"/>
    <n v="165.6"/>
    <n v="3"/>
    <n v="0.2"/>
    <n v="-6.21"/>
    <n v="11.15"/>
    <s v="Medium"/>
    <n v="496.79999999999995"/>
    <n v="0.99360000000000004"/>
    <n v="484.65639999999996"/>
  </r>
  <r>
    <n v="26068"/>
    <s v="IN-2013-KB1658527-41488"/>
    <d v="2013-08-02T00:00:00"/>
    <d v="2013-08-04T00:00:00"/>
    <s v="First Class"/>
    <s v="KB-1658527"/>
    <s v="Ken Black"/>
    <x v="1"/>
    <m/>
    <s v="Qingdao"/>
    <s v="Shandong"/>
    <s v="China"/>
    <x v="8"/>
    <s v="Asia Pacific"/>
    <s v="TEC-CO-3608"/>
    <x v="0"/>
    <s v="Copiers"/>
    <s v="Brother Wireless Fax, Color"/>
    <n v="1521"/>
    <n v="4"/>
    <n v="0"/>
    <n v="0"/>
    <n v="416.74"/>
    <s v="High"/>
    <n v="6084"/>
    <n v="0"/>
    <n v="5667.26"/>
  </r>
  <r>
    <n v="41716"/>
    <s v="CA-2015-AH1007523-42101"/>
    <d v="2015-04-07T00:00:00"/>
    <d v="2015-04-12T00:00:00"/>
    <s v="Standard Class"/>
    <s v="AH-1007523"/>
    <s v="Adam Hart"/>
    <x v="1"/>
    <m/>
    <s v="Oakville"/>
    <s v="Ontario"/>
    <s v="Canada"/>
    <x v="21"/>
    <s v="USCA"/>
    <s v="OFF-ST-4257"/>
    <x v="2"/>
    <s v="Storage"/>
    <s v="Fellowes File Cart, Blue"/>
    <n v="137.31"/>
    <n v="1"/>
    <n v="0"/>
    <n v="54.9"/>
    <n v="11.13"/>
    <s v="High"/>
    <n v="137.31"/>
    <n v="0"/>
    <n v="126.18"/>
  </r>
  <r>
    <n v="44140"/>
    <s v="IR-2014-MZ751560-41853"/>
    <d v="2014-08-02T00:00:00"/>
    <d v="2014-08-02T00:00:00"/>
    <s v="Same Day"/>
    <s v="MZ-751560"/>
    <s v="Mary Zewe"/>
    <x v="1"/>
    <m/>
    <s v="Shiraz"/>
    <s v="Fars"/>
    <s v="Iran"/>
    <x v="5"/>
    <s v="Asia Pacific"/>
    <s v="TEC-MA-4210"/>
    <x v="0"/>
    <s v="Machines"/>
    <s v="Epson Receipt Printer, Red"/>
    <n v="1141.8"/>
    <n v="10"/>
    <n v="0"/>
    <n v="570.9"/>
    <n v="415.01"/>
    <s v="Critical"/>
    <n v="11418"/>
    <n v="0"/>
    <n v="11002.99"/>
  </r>
  <r>
    <n v="29226"/>
    <s v="IN-2015-DM1334558-42146"/>
    <d v="2015-05-22T00:00:00"/>
    <d v="2015-05-25T00:00:00"/>
    <s v="Second Class"/>
    <s v="DM-1334558"/>
    <s v="Denise Monton"/>
    <x v="1"/>
    <m/>
    <s v="Bokaro"/>
    <s v="Jharkhand"/>
    <s v="India"/>
    <x v="5"/>
    <s v="Asia Pacific"/>
    <s v="OFF-ST-4266"/>
    <x v="2"/>
    <s v="Storage"/>
    <s v="Fellowes Lockers, Blue"/>
    <n v="1865.97"/>
    <n v="9"/>
    <n v="0"/>
    <n v="802.17"/>
    <n v="413.95"/>
    <s v="Critical"/>
    <n v="16793.73"/>
    <n v="0"/>
    <n v="16379.779999999999"/>
  </r>
  <r>
    <n v="27720"/>
    <s v="ID-2012-CA1196566-40949"/>
    <d v="2012-02-10T00:00:00"/>
    <d v="2012-02-15T00:00:00"/>
    <s v="Standard Class"/>
    <s v="CA-1196566"/>
    <s v="Carol Adams"/>
    <x v="1"/>
    <m/>
    <s v="Fuji"/>
    <s v="Shizuoka"/>
    <s v="Japan"/>
    <x v="8"/>
    <s v="Asia Pacific"/>
    <s v="TEC-PH-5841"/>
    <x v="0"/>
    <s v="Phones"/>
    <s v="Samsung Smart Phone, VoIP"/>
    <n v="6998.64"/>
    <n v="11"/>
    <n v="0"/>
    <n v="2939.31"/>
    <n v="413.8"/>
    <s v="Medium"/>
    <n v="76985.040000000008"/>
    <n v="0"/>
    <n v="76571.240000000005"/>
  </r>
  <r>
    <n v="11073"/>
    <s v="ES-2014-SC20305120-41909"/>
    <d v="2014-09-27T00:00:00"/>
    <d v="2014-09-27T00:00:00"/>
    <s v="Same Day"/>
    <s v="SC-20305120"/>
    <s v="Sean Christensen"/>
    <x v="0"/>
    <m/>
    <s v="Benidorm"/>
    <s v="Valenciana"/>
    <s v="Spain"/>
    <x v="9"/>
    <s v="Europe"/>
    <s v="FUR-BO-3903"/>
    <x v="1"/>
    <s v="Bookcases"/>
    <s v="Dania Library with Doors, Pine"/>
    <n v="1091.25"/>
    <n v="3"/>
    <n v="0"/>
    <n v="119.97"/>
    <n v="411.64"/>
    <s v="Critical"/>
    <n v="3273.75"/>
    <n v="0"/>
    <n v="2862.11"/>
  </r>
  <r>
    <n v="24030"/>
    <s v="IN-2015-MH1811558-42157"/>
    <d v="2015-06-02T00:00:00"/>
    <d v="2015-06-04T00:00:00"/>
    <s v="First Class"/>
    <s v="MH-1811558"/>
    <s v="Mick Hernandez"/>
    <x v="2"/>
    <m/>
    <s v="Kozhikode"/>
    <s v="Kerala"/>
    <s v="India"/>
    <x v="5"/>
    <s v="Asia Pacific"/>
    <s v="FUR-BO-4862"/>
    <x v="1"/>
    <s v="Bookcases"/>
    <s v="Ikea Library with Doors, Pine"/>
    <n v="1094.22"/>
    <n v="3"/>
    <n v="0"/>
    <n v="328.23"/>
    <n v="411.06"/>
    <s v="Critical"/>
    <n v="3282.66"/>
    <n v="0"/>
    <n v="2871.6"/>
  </r>
  <r>
    <n v="30202"/>
    <s v="IN-2014-KS163007-41912"/>
    <d v="2014-09-30T00:00:00"/>
    <d v="2014-10-03T00:00:00"/>
    <s v="First Class"/>
    <s v="KS-163007"/>
    <s v="Karen Seio"/>
    <x v="1"/>
    <m/>
    <s v="Adelaide"/>
    <s v="South Australia"/>
    <s v="Australia"/>
    <x v="1"/>
    <s v="Asia Pacific"/>
    <s v="FUR-BO-3640"/>
    <x v="1"/>
    <s v="Bookcases"/>
    <s v="Bush Library with Doors, Mobile"/>
    <n v="1320.62"/>
    <n v="4"/>
    <n v="0.1"/>
    <n v="484.22"/>
    <n v="410.88"/>
    <s v="Critical"/>
    <n v="5282.48"/>
    <n v="5.2824799999999996"/>
    <n v="4866.3175199999996"/>
  </r>
  <r>
    <n v="27230"/>
    <s v="IN-2012-BG1174078-41108"/>
    <d v="2012-07-18T00:00:00"/>
    <d v="2012-07-19T00:00:00"/>
    <s v="First Class"/>
    <s v="BG-1174078"/>
    <s v="Bruce Geld"/>
    <x v="0"/>
    <m/>
    <s v="Kuala Lumpur"/>
    <s v="Kuala Lumpur"/>
    <s v="Malaysia"/>
    <x v="17"/>
    <s v="Asia Pacific"/>
    <s v="TEC-PH-5356"/>
    <x v="0"/>
    <s v="Phones"/>
    <s v="Nokia Smart Phone, with Caller ID"/>
    <n v="2555.64"/>
    <n v="4"/>
    <n v="0"/>
    <n v="664.44"/>
    <n v="410.22"/>
    <s v="High"/>
    <n v="10222.56"/>
    <n v="0"/>
    <n v="9812.34"/>
  </r>
  <r>
    <n v="51284"/>
    <s v="RS-2015-CR2625108-42230"/>
    <d v="2015-08-14T00:00:00"/>
    <d v="2015-08-16T00:00:00"/>
    <s v="Second Class"/>
    <s v="CR-2625108"/>
    <s v="Corey Roper"/>
    <x v="2"/>
    <m/>
    <s v="Astrakhan'"/>
    <s v="Astrakhan'"/>
    <s v="Russia"/>
    <x v="11"/>
    <s v="Europe"/>
    <s v="FUR-BO-5950"/>
    <x v="1"/>
    <s v="Bookcases"/>
    <s v="Sauder Classic Bookcase, Pine"/>
    <n v="3498.72"/>
    <n v="8"/>
    <n v="0"/>
    <n v="594.72"/>
    <n v="410.05"/>
    <s v="Medium"/>
    <n v="27989.759999999998"/>
    <n v="0"/>
    <n v="27579.71"/>
  </r>
  <r>
    <n v="28198"/>
    <s v="IN-2015-DK1309027-42308"/>
    <d v="2015-10-31T00:00:00"/>
    <d v="2015-11-03T00:00:00"/>
    <s v="First Class"/>
    <s v="DK-1309027"/>
    <s v="Dave Kipp"/>
    <x v="0"/>
    <m/>
    <s v="Xiangtan"/>
    <s v="Hunan"/>
    <s v="China"/>
    <x v="8"/>
    <s v="Asia Pacific"/>
    <s v="TEC-CO-3611"/>
    <x v="0"/>
    <s v="Copiers"/>
    <s v="Brother Wireless Fax, Laser"/>
    <n v="2272.86"/>
    <n v="6"/>
    <n v="0"/>
    <n v="977.22"/>
    <n v="406.53"/>
    <s v="High"/>
    <n v="13637.16"/>
    <n v="0"/>
    <n v="13230.63"/>
  </r>
  <r>
    <n v="26028"/>
    <s v="IN-2014-JL1583527-41845"/>
    <d v="2014-07-25T00:00:00"/>
    <d v="2014-07-30T00:00:00"/>
    <s v="Standard Class"/>
    <s v="JL-1583527"/>
    <s v="John Lee"/>
    <x v="0"/>
    <m/>
    <s v="Shaoxing"/>
    <s v="Zhejiang"/>
    <s v="China"/>
    <x v="8"/>
    <s v="Asia Pacific"/>
    <s v="TEC-PH-3806"/>
    <x v="0"/>
    <s v="Phones"/>
    <s v="Cisco Smart Phone, Full Size"/>
    <n v="5211.12"/>
    <n v="8"/>
    <n v="0"/>
    <n v="833.76"/>
    <n v="404.97"/>
    <s v="Medium"/>
    <n v="41688.959999999999"/>
    <n v="0"/>
    <n v="41283.99"/>
  </r>
  <r>
    <n v="26325"/>
    <s v="IN-2015-AP1072058-42284"/>
    <d v="2015-10-07T00:00:00"/>
    <d v="2015-10-11T00:00:00"/>
    <s v="Standard Class"/>
    <s v="AP-1072058"/>
    <s v="Anne Pryor"/>
    <x v="2"/>
    <m/>
    <s v="Jabalpur"/>
    <s v="Madhya Pradesh"/>
    <s v="India"/>
    <x v="5"/>
    <s v="Asia Pacific"/>
    <s v="TEC-PH-5269"/>
    <x v="0"/>
    <s v="Phones"/>
    <s v="Motorola Smart Phone, with Caller ID"/>
    <n v="2582.16"/>
    <n v="4"/>
    <n v="0"/>
    <n v="361.44"/>
    <n v="404.08"/>
    <s v="High"/>
    <n v="10328.64"/>
    <n v="0"/>
    <n v="9924.56"/>
  </r>
  <r>
    <n v="21924"/>
    <s v="IN-2015-CR1282058-42294"/>
    <d v="2015-10-17T00:00:00"/>
    <d v="2015-10-21T00:00:00"/>
    <s v="Standard Class"/>
    <s v="CR-1282058"/>
    <s v="Cyra Reiten"/>
    <x v="2"/>
    <m/>
    <s v="Patna"/>
    <s v="Bihar"/>
    <s v="India"/>
    <x v="5"/>
    <s v="Asia Pacific"/>
    <s v="TEC-PH-5356"/>
    <x v="0"/>
    <s v="Phones"/>
    <s v="Nokia Smart Phone, with Caller ID"/>
    <n v="3194.55"/>
    <n v="5"/>
    <n v="0"/>
    <n v="830.55"/>
    <n v="403.97"/>
    <s v="High"/>
    <n v="15972.75"/>
    <n v="0"/>
    <n v="15568.78"/>
  </r>
  <r>
    <n v="30113"/>
    <s v="IN-2014-BF110807-41976"/>
    <d v="2014-12-03T00:00:00"/>
    <d v="2014-12-06T00:00:00"/>
    <s v="Second Class"/>
    <s v="BF-110807"/>
    <s v="Bart Folk"/>
    <x v="0"/>
    <m/>
    <s v="Adelaide"/>
    <s v="South Australia"/>
    <s v="Australia"/>
    <x v="1"/>
    <s v="Asia Pacific"/>
    <s v="FUR-CH-4531"/>
    <x v="1"/>
    <s v="Chairs"/>
    <s v="Harbour Creations Executive Leather Armchair, Black"/>
    <n v="1705"/>
    <n v="4"/>
    <n v="0.1"/>
    <n v="378.88"/>
    <n v="403.46"/>
    <s v="Critical"/>
    <n v="6820"/>
    <n v="6.82"/>
    <n v="6409.72"/>
  </r>
  <r>
    <n v="30105"/>
    <s v="IN-2015-JM15265102-42316"/>
    <d v="2015-11-08T00:00:00"/>
    <d v="2015-11-10T00:00:00"/>
    <s v="First Class"/>
    <s v="JM-15265102"/>
    <s v="Janet Molinari"/>
    <x v="1"/>
    <m/>
    <s v="Marikina"/>
    <s v="National Capital"/>
    <s v="Philippines"/>
    <x v="17"/>
    <s v="Asia Pacific"/>
    <s v="OFF-AP-3571"/>
    <x v="2"/>
    <s v="Appliances"/>
    <s v="Breville Microwave, Red"/>
    <n v="1538.72"/>
    <n v="6"/>
    <n v="0.15"/>
    <n v="325.7"/>
    <n v="403.26"/>
    <s v="High"/>
    <n v="9232.32"/>
    <n v="13.84848"/>
    <n v="8815.2115199999989"/>
  </r>
  <r>
    <n v="19902"/>
    <s v="IT-2012-TW2102545-41172"/>
    <d v="2012-09-20T00:00:00"/>
    <d v="2012-09-22T00:00:00"/>
    <s v="Second Class"/>
    <s v="TW-2102545"/>
    <s v="Tamara Willingham"/>
    <x v="2"/>
    <m/>
    <s v="La Baule-Escoublac"/>
    <s v="Pays de la Loire"/>
    <s v="France"/>
    <x v="2"/>
    <s v="Europe"/>
    <s v="FUR-BO-5760"/>
    <x v="1"/>
    <s v="Bookcases"/>
    <s v="Safco Classic Bookcase, Metal"/>
    <n v="1181.55"/>
    <n v="3"/>
    <n v="0.1"/>
    <n v="498.81"/>
    <n v="401.25"/>
    <s v="Critical"/>
    <n v="3544.6499999999996"/>
    <n v="3.5446499999999999"/>
    <n v="3139.8553499999998"/>
  </r>
  <r>
    <n v="13998"/>
    <s v="IT-2012-RB1933045-41080"/>
    <d v="2012-06-20T00:00:00"/>
    <d v="2012-06-23T00:00:00"/>
    <s v="First Class"/>
    <s v="RB-1933045"/>
    <s v="Randy Bradley"/>
    <x v="0"/>
    <m/>
    <s v="Dijon"/>
    <s v="Bourgogne-Franche-Comté"/>
    <s v="France"/>
    <x v="2"/>
    <s v="Europe"/>
    <s v="FUR-CH-4530"/>
    <x v="1"/>
    <s v="Chairs"/>
    <s v="Harbour Creations Executive Leather Armchair, Adjustable"/>
    <n v="1696.25"/>
    <n v="4"/>
    <n v="0.1"/>
    <n v="734.93"/>
    <n v="401.13"/>
    <s v="High"/>
    <n v="6785"/>
    <n v="6.7850000000000001"/>
    <n v="6377.085"/>
  </r>
  <r>
    <n v="38383"/>
    <s v="CA-2015-AH10075140-42273"/>
    <d v="2015-09-26T00:00:00"/>
    <d v="2015-09-29T00:00:00"/>
    <s v="First Class"/>
    <s v="AH-100751406"/>
    <s v="Adam Hart"/>
    <x v="1"/>
    <n v="19013"/>
    <s v="Chester"/>
    <s v="Pennsylvania"/>
    <s v="United States"/>
    <x v="14"/>
    <s v="USCA"/>
    <s v="OFF-SU-3839"/>
    <x v="2"/>
    <s v="Supplies"/>
    <s v="Compact Automatic Electric Letter Opener"/>
    <n v="190.9"/>
    <n v="2"/>
    <n v="0.2"/>
    <n v="-42.95"/>
    <n v="8.7200000000000006"/>
    <s v="Medium"/>
    <n v="381.8"/>
    <n v="0.76359999999999995"/>
    <n v="372.31639999999999"/>
  </r>
  <r>
    <n v="37340"/>
    <s v="CA-2015-AH10075140-42144"/>
    <d v="2015-05-20T00:00:00"/>
    <d v="2015-05-25T00:00:00"/>
    <s v="Second Class"/>
    <s v="AH-100751408"/>
    <s v="Adam Hart"/>
    <x v="1"/>
    <n v="37918"/>
    <s v="Knoxville"/>
    <s v="Tennessee"/>
    <s v="United States"/>
    <x v="18"/>
    <s v="USCA"/>
    <s v="FUR-CH-5429"/>
    <x v="1"/>
    <s v="Chairs"/>
    <s v="Office Star - Mesh Screen back chair with Vinyl seat"/>
    <n v="314.35000000000002"/>
    <n v="3"/>
    <n v="0.2"/>
    <n v="-35.36"/>
    <n v="6.19"/>
    <s v="Medium"/>
    <n v="943.05000000000007"/>
    <n v="1.8861000000000001"/>
    <n v="934.97389999999996"/>
  </r>
  <r>
    <n v="47087"/>
    <s v="SF-2015-AB10060117-42334"/>
    <d v="2015-11-26T00:00:00"/>
    <d v="2015-11-29T00:00:00"/>
    <s v="Second Class"/>
    <s v="AB-10060117"/>
    <s v="Adam Bellavance"/>
    <x v="2"/>
    <m/>
    <s v="Cape Town"/>
    <s v="Western Cape"/>
    <s v="South Africa"/>
    <x v="20"/>
    <s v="Africa"/>
    <s v="OFF-AP-4732"/>
    <x v="2"/>
    <s v="Appliances"/>
    <s v="Hoover Microwave, Silver"/>
    <n v="1237.56"/>
    <n v="4"/>
    <n v="0"/>
    <n v="606.36"/>
    <n v="400.03"/>
    <s v="Critical"/>
    <n v="4950.24"/>
    <n v="0"/>
    <n v="4550.21"/>
  </r>
  <r>
    <n v="49833"/>
    <s v="EG-2013-JR567038-41363"/>
    <d v="2013-03-30T00:00:00"/>
    <d v="2013-04-01T00:00:00"/>
    <s v="First Class"/>
    <s v="JR-567038"/>
    <s v="Jim Radford"/>
    <x v="0"/>
    <m/>
    <s v="Cairo"/>
    <s v="Al Qahirah"/>
    <s v="Egypt"/>
    <x v="19"/>
    <s v="Africa"/>
    <s v="TEC-PH-5355"/>
    <x v="0"/>
    <s v="Phones"/>
    <s v="Nokia Smart Phone, Full Size"/>
    <n v="1274.7"/>
    <n v="2"/>
    <n v="0"/>
    <n v="140.16"/>
    <n v="399.96"/>
    <s v="Critical"/>
    <n v="2549.4"/>
    <n v="0"/>
    <n v="2149.44"/>
  </r>
  <r>
    <n v="2080"/>
    <s v="MX-2012-MD1735028-41222"/>
    <d v="2012-11-09T00:00:00"/>
    <d v="2012-11-14T00:00:00"/>
    <s v="Second Class"/>
    <s v="MD-1735028"/>
    <s v="Maribeth Dona"/>
    <x v="0"/>
    <m/>
    <s v="Medellín"/>
    <s v="Antioquia"/>
    <s v="Colombia"/>
    <x v="7"/>
    <s v="LATAM"/>
    <s v="OFF-AP-4962"/>
    <x v="2"/>
    <s v="Appliances"/>
    <s v="KitchenAid Refrigerator, Silver"/>
    <n v="3172.14"/>
    <n v="9"/>
    <n v="0"/>
    <n v="856.44"/>
    <n v="399.84899999999999"/>
    <s v="Medium"/>
    <n v="28549.26"/>
    <n v="0"/>
    <n v="28149.411"/>
  </r>
  <r>
    <n v="10303"/>
    <s v="ES-2013-EB13840139-41487"/>
    <d v="2013-08-01T00:00:00"/>
    <d v="2013-08-06T00:00:00"/>
    <s v="Second Class"/>
    <s v="EB-13840139"/>
    <s v="Ellis Ballard"/>
    <x v="1"/>
    <m/>
    <s v="West Bromwich"/>
    <s v="England"/>
    <s v="United Kingdom"/>
    <x v="12"/>
    <s v="Europe"/>
    <s v="OFF-AP-4743"/>
    <x v="2"/>
    <s v="Appliances"/>
    <s v="Hoover Stove, Red"/>
    <n v="3979.29"/>
    <n v="7"/>
    <n v="0"/>
    <n v="1989.54"/>
    <n v="398.5"/>
    <s v="Medium"/>
    <n v="27855.03"/>
    <n v="0"/>
    <n v="27456.53"/>
  </r>
  <r>
    <n v="41838"/>
    <s v="AJ-2014-JL58359-41662"/>
    <d v="2014-01-23T00:00:00"/>
    <d v="2014-01-27T00:00:00"/>
    <s v="Standard Class"/>
    <s v="JL-58359"/>
    <s v="John Lee"/>
    <x v="0"/>
    <m/>
    <s v="Baku"/>
    <s v="Baki"/>
    <s v="Azerbaijan"/>
    <x v="6"/>
    <s v="Asia Pacific"/>
    <s v="FUR-TA-3358"/>
    <x v="1"/>
    <s v="Tables"/>
    <s v="Barricks Wood Table, Rectangular"/>
    <n v="2058"/>
    <n v="4"/>
    <n v="0"/>
    <n v="946.68"/>
    <n v="393.62"/>
    <s v="High"/>
    <n v="8232"/>
    <n v="0"/>
    <n v="7838.38"/>
  </r>
  <r>
    <n v="28110"/>
    <s v="IN-2012-EP1391559-41049"/>
    <d v="2012-05-20T00:00:00"/>
    <d v="2012-05-24T00:00:00"/>
    <s v="Second Class"/>
    <s v="EP-1391559"/>
    <s v="Emily Phan"/>
    <x v="0"/>
    <m/>
    <s v="Jakarta"/>
    <s v="Jakarta"/>
    <s v="Indonesia"/>
    <x v="17"/>
    <s v="Asia Pacific"/>
    <s v="FUR-BO-5967"/>
    <x v="1"/>
    <s v="Bookcases"/>
    <s v="Sauder Library with Doors, Mobile"/>
    <n v="2539.88"/>
    <n v="7"/>
    <n v="7.0000000000000007E-2"/>
    <n v="709.94"/>
    <n v="393.58"/>
    <s v="High"/>
    <n v="17779.16"/>
    <n v="12.445412000000001"/>
    <n v="17373.134587999997"/>
  </r>
  <r>
    <n v="12449"/>
    <s v="ES-2015-MS17770139-42275"/>
    <d v="2015-09-28T00:00:00"/>
    <d v="2015-10-01T00:00:00"/>
    <s v="First Class"/>
    <s v="MS-17770139"/>
    <s v="Maxwell Schwartz"/>
    <x v="0"/>
    <m/>
    <s v="Burnley"/>
    <s v="England"/>
    <s v="United Kingdom"/>
    <x v="12"/>
    <s v="Europe"/>
    <s v="FUR-BO-3626"/>
    <x v="1"/>
    <s v="Bookcases"/>
    <s v="Bush Classic Bookcase, Pine"/>
    <n v="2898.21"/>
    <n v="7"/>
    <n v="0"/>
    <n v="1420.02"/>
    <n v="393.46"/>
    <s v="High"/>
    <n v="20287.47"/>
    <n v="0"/>
    <n v="19894.010000000002"/>
  </r>
  <r>
    <n v="17848"/>
    <s v="IT-2012-CM1265545-41218"/>
    <d v="2012-11-05T00:00:00"/>
    <d v="2012-11-07T00:00:00"/>
    <s v="First Class"/>
    <s v="CM-1265545"/>
    <s v="Corinna Mitchell"/>
    <x v="2"/>
    <m/>
    <s v="Laval"/>
    <s v="Pays de la Loire"/>
    <s v="France"/>
    <x v="2"/>
    <s v="Europe"/>
    <s v="TEC-MA-5007"/>
    <x v="0"/>
    <s v="Machines"/>
    <s v="Konica Inkjet, White"/>
    <n v="1320.01"/>
    <n v="5"/>
    <n v="0.15"/>
    <n v="357.16"/>
    <n v="390.2"/>
    <s v="Critical"/>
    <n v="6600.05"/>
    <n v="9.9000749999999993"/>
    <n v="6199.9499250000008"/>
  </r>
  <r>
    <n v="46219"/>
    <s v="LH-2015-JC610575-42032"/>
    <d v="2015-01-28T00:00:00"/>
    <d v="2015-01-30T00:00:00"/>
    <s v="Second Class"/>
    <s v="JC-610575"/>
    <s v="Julie Creighton"/>
    <x v="1"/>
    <m/>
    <s v="Vilnius"/>
    <s v="Vilnius"/>
    <s v="Lithuania"/>
    <x v="12"/>
    <s v="Europe"/>
    <s v="FUR-TA-3345"/>
    <x v="1"/>
    <s v="Tables"/>
    <s v="Barricks Conference Table, Rectangular"/>
    <n v="2171.16"/>
    <n v="8"/>
    <n v="0.7"/>
    <n v="-2750.28"/>
    <n v="390.09"/>
    <s v="High"/>
    <n v="17369.28"/>
    <n v="121.58496"/>
    <n v="16857.605039999999"/>
  </r>
  <r>
    <n v="26932"/>
    <s v="IN-2015-GB145307-42260"/>
    <d v="2015-09-13T00:00:00"/>
    <d v="2015-09-19T00:00:00"/>
    <s v="Standard Class"/>
    <s v="GB-145307"/>
    <s v="George Bell"/>
    <x v="1"/>
    <m/>
    <s v="Brisbane"/>
    <s v="Queensland"/>
    <s v="Australia"/>
    <x v="1"/>
    <s v="Asia Pacific"/>
    <s v="TEC-CO-4593"/>
    <x v="0"/>
    <s v="Copiers"/>
    <s v="Hewlett Wireless Fax, Laser"/>
    <n v="4448.22"/>
    <n v="13"/>
    <n v="0.1"/>
    <n v="444.48"/>
    <n v="386.38"/>
    <s v="Medium"/>
    <n v="57826.86"/>
    <n v="57.826860000000003"/>
    <n v="57382.653140000002"/>
  </r>
  <r>
    <n v="32866"/>
    <s v="CA-2015-AH10075140-42335"/>
    <d v="2015-11-27T00:00:00"/>
    <d v="2015-12-01T00:00:00"/>
    <s v="Standard Class"/>
    <s v="AH-100751408"/>
    <s v="Adam Hart"/>
    <x v="1"/>
    <n v="30318"/>
    <s v="Atlanta"/>
    <s v="Georgia"/>
    <s v="United States"/>
    <x v="18"/>
    <s v="USCA"/>
    <s v="OFF-AR-5327"/>
    <x v="2"/>
    <s v="Art"/>
    <s v="Newell 347"/>
    <n v="12.84"/>
    <n v="3"/>
    <n v="0"/>
    <n v="3.72"/>
    <n v="1.88"/>
    <s v="Medium"/>
    <n v="38.519999999999996"/>
    <n v="0"/>
    <n v="36.639999999999993"/>
  </r>
  <r>
    <n v="4817"/>
    <s v="US-2012-JH161805-41264"/>
    <d v="2012-12-21T00:00:00"/>
    <d v="2012-12-23T00:00:00"/>
    <s v="First Class"/>
    <s v="JH-161805"/>
    <s v="Justin Hirsh"/>
    <x v="0"/>
    <m/>
    <s v="Buenos Aires"/>
    <s v="Buenos Aires"/>
    <s v="Argentina"/>
    <x v="7"/>
    <s v="LATAM"/>
    <s v="TEC-PH-3149"/>
    <x v="0"/>
    <s v="Phones"/>
    <s v="Apple Smart Phone, with Caller ID"/>
    <n v="2300.62"/>
    <n v="9"/>
    <n v="0.4"/>
    <n v="38.200000000000003"/>
    <n v="386.00299999999999"/>
    <s v="High"/>
    <n v="20705.579999999998"/>
    <n v="82.822320000000005"/>
    <n v="20236.754679999998"/>
  </r>
  <r>
    <n v="50593"/>
    <s v="EG-2014-MT807038-41675"/>
    <d v="2014-02-05T00:00:00"/>
    <d v="2014-02-07T00:00:00"/>
    <s v="Second Class"/>
    <s v="MT-807038"/>
    <s v="Michelle Tran"/>
    <x v="2"/>
    <m/>
    <s v="Girga"/>
    <s v="Suhaj"/>
    <s v="Egypt"/>
    <x v="19"/>
    <s v="Africa"/>
    <s v="FUR-BO-5951"/>
    <x v="1"/>
    <s v="Bookcases"/>
    <s v="Sauder Classic Bookcase, Traditional"/>
    <n v="2615.94"/>
    <n v="6"/>
    <n v="0"/>
    <n v="1072.44"/>
    <n v="384.41"/>
    <s v="Critical"/>
    <n v="15695.64"/>
    <n v="0"/>
    <n v="15311.23"/>
  </r>
  <r>
    <n v="25445"/>
    <s v="IN-2012-AB1010558-41270"/>
    <d v="2012-12-27T00:00:00"/>
    <d v="2012-12-28T00:00:00"/>
    <s v="First Class"/>
    <s v="AB-1010558"/>
    <s v="Adrian Barton"/>
    <x v="0"/>
    <m/>
    <s v="Kochi"/>
    <s v="Kerala"/>
    <s v="India"/>
    <x v="5"/>
    <s v="Asia Pacific"/>
    <s v="TEC-CO-6010"/>
    <x v="0"/>
    <s v="Copiers"/>
    <s v="Sharp Wireless Fax, Digital"/>
    <n v="1066.68"/>
    <n v="3"/>
    <n v="0"/>
    <n v="394.65"/>
    <n v="383.68"/>
    <s v="Critical"/>
    <n v="3200.04"/>
    <n v="0"/>
    <n v="2816.36"/>
  </r>
  <r>
    <n v="50000"/>
    <s v="LT-2012-CV280572-41025"/>
    <d v="2012-04-26T00:00:00"/>
    <d v="2012-04-29T00:00:00"/>
    <s v="First Class"/>
    <s v="CV-280572"/>
    <s v="Cynthia Voltz"/>
    <x v="1"/>
    <m/>
    <s v="Maseru"/>
    <s v="Maseru"/>
    <s v="Lesotho"/>
    <x v="20"/>
    <s v="Africa"/>
    <s v="TEC-PH-5354"/>
    <x v="0"/>
    <s v="Phones"/>
    <s v="Nokia Smart Phone, Cordless"/>
    <n v="2544.6"/>
    <n v="4"/>
    <n v="0"/>
    <n v="814.2"/>
    <n v="383.01"/>
    <s v="High"/>
    <n v="10178.4"/>
    <n v="0"/>
    <n v="9795.39"/>
  </r>
  <r>
    <n v="30934"/>
    <s v="IN-2012-NH1861092-41187"/>
    <d v="2012-10-05T00:00:00"/>
    <d v="2012-10-10T00:00:00"/>
    <s v="Standard Class"/>
    <s v="NH-1861092"/>
    <s v="Nicole Hansen"/>
    <x v="1"/>
    <m/>
    <s v="Wellington"/>
    <s v="Wellington"/>
    <s v="New Zealand"/>
    <x v="1"/>
    <s v="Asia Pacific"/>
    <s v="FUR-TA-4645"/>
    <x v="1"/>
    <s v="Tables"/>
    <s v="Hon Conference Table, Adjustable Height"/>
    <n v="3694.68"/>
    <n v="4"/>
    <n v="0"/>
    <n v="886.68"/>
    <n v="382.77"/>
    <s v="High"/>
    <n v="14778.72"/>
    <n v="0"/>
    <n v="14395.949999999999"/>
  </r>
  <r>
    <n v="21667"/>
    <s v="ID-2014-HJ1487527-41875"/>
    <d v="2014-08-24T00:00:00"/>
    <d v="2014-08-26T00:00:00"/>
    <s v="Second Class"/>
    <s v="HJ-1487527"/>
    <s v="Heather Jas"/>
    <x v="2"/>
    <m/>
    <s v="Luoyang"/>
    <s v="Henan"/>
    <s v="China"/>
    <x v="8"/>
    <s v="Asia Pacific"/>
    <s v="FUR-TA-5065"/>
    <x v="1"/>
    <s v="Tables"/>
    <s v="Lesro Round Table, with Bottom Storage"/>
    <n v="2214.85"/>
    <n v="7"/>
    <n v="0.3"/>
    <n v="-221.57"/>
    <n v="382.1"/>
    <s v="Critical"/>
    <n v="15503.949999999999"/>
    <n v="46.511849999999995"/>
    <n v="15075.338149999998"/>
  </r>
  <r>
    <n v="8870"/>
    <s v="MX-2014-JL1517518-41903"/>
    <d v="2014-09-21T00:00:00"/>
    <d v="2014-09-24T00:00:00"/>
    <s v="Second Class"/>
    <s v="JL-1517518"/>
    <s v="James Lanier"/>
    <x v="2"/>
    <m/>
    <s v="Feira de Santana"/>
    <s v="Bahia"/>
    <s v="Brazil"/>
    <x v="7"/>
    <s v="LATAM"/>
    <s v="FUR-CH-5776"/>
    <x v="1"/>
    <s v="Chairs"/>
    <s v="SAFCO Executive Leather Armchair, Set of Two"/>
    <n v="1236.48"/>
    <n v="4"/>
    <n v="0"/>
    <n v="111.28"/>
    <n v="381.21899999999999"/>
    <s v="Critical"/>
    <n v="4945.92"/>
    <n v="0"/>
    <n v="4564.701"/>
  </r>
  <r>
    <n v="1899"/>
    <s v="MX-2015-MY1829593-42355"/>
    <d v="2015-12-17T00:00:00"/>
    <d v="2015-12-19T00:00:00"/>
    <s v="First Class"/>
    <s v="MY-1829593"/>
    <s v="Muhammed Yedwab"/>
    <x v="1"/>
    <m/>
    <s v="Matagalpa"/>
    <s v="Matagalpa"/>
    <s v="Nicaragua"/>
    <x v="13"/>
    <s v="LATAM"/>
    <s v="OFF-AP-4505"/>
    <x v="2"/>
    <s v="Appliances"/>
    <s v="Hamilton Beach Stove, Black"/>
    <n v="1805.9"/>
    <n v="5"/>
    <n v="0"/>
    <n v="126.4"/>
    <n v="381.14"/>
    <s v="Critical"/>
    <n v="9029.5"/>
    <n v="0"/>
    <n v="8648.36"/>
  </r>
  <r>
    <n v="36279"/>
    <s v="CA-2012-AH10075140-41228"/>
    <d v="2012-11-15T00:00:00"/>
    <d v="2012-11-21T00:00:00"/>
    <s v="Standard Class"/>
    <s v="AH-100751404"/>
    <s v="Adam Hart"/>
    <x v="1"/>
    <n v="92646"/>
    <s v="Huntington Beach"/>
    <s v="California"/>
    <s v="United States"/>
    <x v="4"/>
    <s v="USCA"/>
    <s v="OFF-LA-5591"/>
    <x v="2"/>
    <s v="Labels"/>
    <s v="Permanent Self-Adhesive File Folder Labels for Typewriters by Universal"/>
    <n v="5.22"/>
    <n v="2"/>
    <n v="0"/>
    <n v="2.4"/>
    <n v="1.51"/>
    <s v="Medium"/>
    <n v="10.44"/>
    <n v="0"/>
    <n v="8.93"/>
  </r>
  <r>
    <n v="39051"/>
    <s v="CA-2013-AH10075140-41629"/>
    <d v="2013-12-21T00:00:00"/>
    <d v="2013-12-23T00:00:00"/>
    <s v="Second Class"/>
    <s v="AH-100751406"/>
    <s v="Adam Hart"/>
    <x v="1"/>
    <n v="43229"/>
    <s v="Columbus"/>
    <s v="Ohio"/>
    <s v="United States"/>
    <x v="14"/>
    <s v="USCA"/>
    <s v="OFF-AR-5458"/>
    <x v="2"/>
    <s v="Art"/>
    <s v="OIC #2 Pencils, Medium Soft"/>
    <n v="3.01"/>
    <n v="2"/>
    <n v="0.2"/>
    <n v="0.34"/>
    <n v="1.38"/>
    <s v="High"/>
    <n v="6.02"/>
    <n v="1.204E-2"/>
    <n v="4.6279599999999999"/>
  </r>
  <r>
    <n v="9857"/>
    <s v="MX-2015-KC1654093-42158"/>
    <d v="2015-06-03T00:00:00"/>
    <d v="2015-06-07T00:00:00"/>
    <s v="Standard Class"/>
    <s v="KC-1654093"/>
    <s v="Kelly Collister"/>
    <x v="0"/>
    <m/>
    <s v="Managua"/>
    <s v="Managua"/>
    <s v="Nicaragua"/>
    <x v="13"/>
    <s v="LATAM"/>
    <s v="OFF-AP-4507"/>
    <x v="2"/>
    <s v="Appliances"/>
    <s v="Hamilton Beach Stove, Silver"/>
    <n v="1810.3"/>
    <n v="5"/>
    <n v="0"/>
    <n v="54.3"/>
    <n v="378.25799999999998"/>
    <s v="High"/>
    <n v="9051.5"/>
    <n v="0"/>
    <n v="8673.2420000000002"/>
  </r>
  <r>
    <n v="2398"/>
    <s v="MX-2015-CS1246093-42259"/>
    <d v="2015-09-12T00:00:00"/>
    <d v="2015-09-14T00:00:00"/>
    <s v="First Class"/>
    <s v="CS-1246093"/>
    <s v="Chuck Sachs"/>
    <x v="0"/>
    <m/>
    <s v="Managua"/>
    <s v="Managua"/>
    <s v="Nicaragua"/>
    <x v="13"/>
    <s v="LATAM"/>
    <s v="TEC-PH-5354"/>
    <x v="0"/>
    <s v="Phones"/>
    <s v="Nokia Smart Phone, Cordless"/>
    <n v="2120.5"/>
    <n v="5"/>
    <n v="0"/>
    <n v="106"/>
    <n v="377.70400000000001"/>
    <s v="Critical"/>
    <n v="10602.5"/>
    <n v="0"/>
    <n v="10224.796"/>
  </r>
  <r>
    <n v="20610"/>
    <s v="IN-2015-HA1492027-42111"/>
    <d v="2015-04-17T00:00:00"/>
    <d v="2015-04-17T00:00:00"/>
    <s v="Same Day"/>
    <s v="HA-1492027"/>
    <s v="Helen Andreada"/>
    <x v="0"/>
    <m/>
    <s v="Wuhai"/>
    <s v="Inner Mongolia"/>
    <s v="China"/>
    <x v="8"/>
    <s v="Asia Pacific"/>
    <s v="TEC-PH-3148"/>
    <x v="0"/>
    <s v="Phones"/>
    <s v="Apple Smart Phone, Full Size"/>
    <n v="1275"/>
    <n v="2"/>
    <n v="0"/>
    <n v="140.22"/>
    <n v="377.58"/>
    <s v="Critical"/>
    <n v="2550"/>
    <n v="0"/>
    <n v="2172.42"/>
  </r>
  <r>
    <n v="19446"/>
    <s v="ES-2013-MT1781545-41599"/>
    <d v="2013-11-21T00:00:00"/>
    <d v="2013-11-24T00:00:00"/>
    <s v="Second Class"/>
    <s v="MT-1781545"/>
    <s v="Meg Tillman"/>
    <x v="0"/>
    <m/>
    <s v="Nantes"/>
    <s v="Pays de la Loire"/>
    <s v="France"/>
    <x v="2"/>
    <s v="Europe"/>
    <s v="TEC-MA-5017"/>
    <x v="0"/>
    <s v="Machines"/>
    <s v="Konica Printer, Wireless"/>
    <n v="1593.65"/>
    <n v="7"/>
    <n v="0.15"/>
    <n v="-225.16"/>
    <n v="377.03"/>
    <s v="Critical"/>
    <n v="11155.550000000001"/>
    <n v="16.733325000000001"/>
    <n v="10761.786675000001"/>
  </r>
  <r>
    <n v="11606"/>
    <s v="ES-2015-FW1439545-42069"/>
    <d v="2015-03-06T00:00:00"/>
    <d v="2015-03-08T00:00:00"/>
    <s v="First Class"/>
    <s v="FW-1439545"/>
    <s v="Fred Wasserman"/>
    <x v="1"/>
    <m/>
    <s v="Strasbourg"/>
    <s v="Alsace-Champagne-Ardenne-Lorraine"/>
    <s v="France"/>
    <x v="2"/>
    <s v="Europe"/>
    <s v="FUR-BO-3627"/>
    <x v="1"/>
    <s v="Bookcases"/>
    <s v="Bush Classic Bookcase, Traditional"/>
    <n v="1114.24"/>
    <n v="3"/>
    <n v="0.1"/>
    <n v="383.71"/>
    <n v="376.88"/>
    <s v="Critical"/>
    <n v="3342.7200000000003"/>
    <n v="3.3427200000000004"/>
    <n v="2962.49728"/>
  </r>
  <r>
    <n v="16161"/>
    <s v="ES-2013-BH1171048-41478"/>
    <d v="2013-07-23T00:00:00"/>
    <d v="2013-07-28T00:00:00"/>
    <s v="Standard Class"/>
    <s v="BH-1171048"/>
    <s v="Brosina Hoffman"/>
    <x v="0"/>
    <m/>
    <s v="Berlin"/>
    <s v="Berlin"/>
    <s v="Germany"/>
    <x v="2"/>
    <s v="Europe"/>
    <s v="TEC-PH-3807"/>
    <x v="0"/>
    <s v="Phones"/>
    <s v="Cisco Smart Phone, with Caller ID"/>
    <n v="2944.08"/>
    <n v="5"/>
    <n v="0.1"/>
    <n v="1112.1300000000001"/>
    <n v="376.58"/>
    <s v="High"/>
    <n v="14720.4"/>
    <n v="14.7204"/>
    <n v="14329.0996"/>
  </r>
  <r>
    <n v="25761"/>
    <s v="ID-2015-DK1289559-42315"/>
    <d v="2015-11-07T00:00:00"/>
    <d v="2015-11-09T00:00:00"/>
    <s v="First Class"/>
    <s v="DK-1289559"/>
    <s v="Dana Kaydos"/>
    <x v="0"/>
    <m/>
    <s v="Surabaya"/>
    <s v="Jawa Timur"/>
    <s v="Indonesia"/>
    <x v="17"/>
    <s v="Asia Pacific"/>
    <s v="OFF-AP-4964"/>
    <x v="2"/>
    <s v="Appliances"/>
    <s v="KitchenAid Stove, Black"/>
    <n v="3309.26"/>
    <n v="7"/>
    <n v="0.17"/>
    <n v="318.86"/>
    <n v="374.8"/>
    <s v="High"/>
    <n v="23164.82"/>
    <n v="39.380194000000003"/>
    <n v="22750.639805999999"/>
  </r>
  <r>
    <n v="6594"/>
    <s v="MX-2015-KD1627018-42330"/>
    <d v="2015-11-22T00:00:00"/>
    <d v="2015-11-24T00:00:00"/>
    <s v="First Class"/>
    <s v="KD-1627018"/>
    <s v="Karen Daniels"/>
    <x v="0"/>
    <m/>
    <s v="Tupã"/>
    <s v="São Paulo"/>
    <s v="Brazil"/>
    <x v="7"/>
    <s v="LATAM"/>
    <s v="FUR-CH-4544"/>
    <x v="1"/>
    <s v="Chairs"/>
    <s v="Harbour Creations Rocking Chair, Adjustable"/>
    <n v="897.48"/>
    <n v="9"/>
    <n v="0"/>
    <n v="322.92"/>
    <n v="374.37599999999998"/>
    <s v="Critical"/>
    <n v="8077.32"/>
    <n v="0"/>
    <n v="7702.9439999999995"/>
  </r>
  <r>
    <n v="17380"/>
    <s v="ES-2012-SC208458-41070"/>
    <d v="2012-06-10T00:00:00"/>
    <d v="2012-06-13T00:00:00"/>
    <s v="First Class"/>
    <s v="SC-208458"/>
    <s v="Sung Chung"/>
    <x v="0"/>
    <m/>
    <s v="Vienna"/>
    <s v="Vienna"/>
    <s v="Austria"/>
    <x v="2"/>
    <s v="Europe"/>
    <s v="FUR-BO-4848"/>
    <x v="1"/>
    <s v="Bookcases"/>
    <s v="Ikea Classic Bookcase, Metal"/>
    <n v="2056.0500000000002"/>
    <n v="5"/>
    <n v="0"/>
    <n v="390.6"/>
    <n v="372.5"/>
    <s v="High"/>
    <n v="10280.25"/>
    <n v="0"/>
    <n v="9907.75"/>
  </r>
  <r>
    <n v="3503"/>
    <s v="MX-2013-CY1274582-41531"/>
    <d v="2013-09-14T00:00:00"/>
    <d v="2013-09-19T00:00:00"/>
    <s v="Standard Class"/>
    <s v="CY-1274582"/>
    <s v="Craig Yedwab"/>
    <x v="1"/>
    <m/>
    <s v="Mexico City"/>
    <s v="Distrito Federal"/>
    <s v="Mexico"/>
    <x v="13"/>
    <s v="LATAM"/>
    <s v="TEC-CO-6010"/>
    <x v="0"/>
    <s v="Copiers"/>
    <s v="Sharp Wireless Fax, Digital"/>
    <n v="2365.66"/>
    <n v="10"/>
    <n v="2E-3"/>
    <n v="18.86"/>
    <n v="372.31799999999998"/>
    <s v="High"/>
    <n v="23656.6"/>
    <n v="0.47313199999999994"/>
    <n v="23283.808868"/>
  </r>
  <r>
    <n v="23537"/>
    <s v="IN-2012-HL150407-41237"/>
    <d v="2012-11-24T00:00:00"/>
    <d v="2012-11-24T00:00:00"/>
    <s v="Same Day"/>
    <s v="HL-150407"/>
    <s v="Hunter Lopez"/>
    <x v="0"/>
    <m/>
    <s v="Hobart"/>
    <s v="Tasmania"/>
    <s v="Australia"/>
    <x v="1"/>
    <s v="Asia Pacific"/>
    <s v="TEC-CO-3596"/>
    <x v="0"/>
    <s v="Copiers"/>
    <s v="Brother Fax Machine, Digital"/>
    <n v="1336.36"/>
    <n v="7"/>
    <n v="0.4"/>
    <n v="44.44"/>
    <n v="371.74"/>
    <s v="Critical"/>
    <n v="9354.5199999999986"/>
    <n v="37.418079999999996"/>
    <n v="8945.3619199999994"/>
  </r>
  <r>
    <n v="26037"/>
    <s v="IN-2013-CT1199566-41496"/>
    <d v="2013-08-10T00:00:00"/>
    <d v="2013-08-12T00:00:00"/>
    <s v="First Class"/>
    <s v="CT-1199566"/>
    <s v="Carol Triggs"/>
    <x v="0"/>
    <m/>
    <s v="Hirakata"/>
    <s v="Osaka"/>
    <s v="Japan"/>
    <x v="8"/>
    <s v="Asia Pacific"/>
    <s v="TEC-CO-4591"/>
    <x v="0"/>
    <s v="Copiers"/>
    <s v="Hewlett Wireless Fax, Digital"/>
    <n v="3038.64"/>
    <n v="8"/>
    <n v="0"/>
    <n v="1245.8399999999999"/>
    <n v="371.51"/>
    <s v="High"/>
    <n v="24309.119999999999"/>
    <n v="0"/>
    <n v="23937.61"/>
  </r>
  <r>
    <n v="20266"/>
    <s v="ES-2014-CC12370139-41718"/>
    <d v="2014-03-20T00:00:00"/>
    <d v="2014-03-23T00:00:00"/>
    <s v="Second Class"/>
    <s v="CC-12370139"/>
    <s v="Christopher Conant"/>
    <x v="0"/>
    <m/>
    <s v="Preston"/>
    <s v="England"/>
    <s v="United Kingdom"/>
    <x v="12"/>
    <s v="Europe"/>
    <s v="OFF-AP-3573"/>
    <x v="2"/>
    <s v="Appliances"/>
    <s v="Breville Microwave, White"/>
    <n v="2698.65"/>
    <n v="9"/>
    <n v="0"/>
    <n v="890.46"/>
    <n v="369.98"/>
    <s v="High"/>
    <n v="24287.850000000002"/>
    <n v="0"/>
    <n v="23917.870000000003"/>
  </r>
  <r>
    <n v="42956"/>
    <s v="LT-2014-GR456072-42003"/>
    <d v="2014-12-30T00:00:00"/>
    <d v="2015-01-04T00:00:00"/>
    <s v="Standard Class"/>
    <s v="GR-456072"/>
    <s v="Georgia Rosenberg"/>
    <x v="1"/>
    <m/>
    <s v="Maseru"/>
    <s v="Maseru"/>
    <s v="Lesotho"/>
    <x v="20"/>
    <s v="Africa"/>
    <s v="TEC-CO-3688"/>
    <x v="0"/>
    <s v="Copiers"/>
    <s v="Canon Fax Machine, High-Speed"/>
    <n v="3799.08"/>
    <n v="12"/>
    <n v="0"/>
    <n v="455.76"/>
    <n v="369.73"/>
    <s v="Medium"/>
    <n v="45588.959999999999"/>
    <n v="0"/>
    <n v="45219.229999999996"/>
  </r>
  <r>
    <n v="21995"/>
    <s v="IN-2013-TT2107058-41551"/>
    <d v="2013-10-04T00:00:00"/>
    <d v="2013-10-09T00:00:00"/>
    <s v="Standard Class"/>
    <s v="TT-2107058"/>
    <s v="Ted Trevino"/>
    <x v="0"/>
    <m/>
    <s v="Agra"/>
    <s v="Uttar Pradesh"/>
    <s v="India"/>
    <x v="5"/>
    <s v="Asia Pacific"/>
    <s v="FUR-CH-4656"/>
    <x v="1"/>
    <s v="Chairs"/>
    <s v="Hon Executive Leather Armchair, Red"/>
    <n v="2756.34"/>
    <n v="6"/>
    <n v="0"/>
    <n v="413.28"/>
    <n v="369.4"/>
    <s v="High"/>
    <n v="16538.04"/>
    <n v="0"/>
    <n v="16168.640000000001"/>
  </r>
  <r>
    <n v="15570"/>
    <s v="IT-2013-PO19195120-41492"/>
    <d v="2013-08-06T00:00:00"/>
    <d v="2013-08-07T00:00:00"/>
    <s v="First Class"/>
    <s v="PO-19195120"/>
    <s v="Phillina Ober"/>
    <x v="2"/>
    <m/>
    <s v="Granollers"/>
    <s v="Catalonia"/>
    <s v="Spain"/>
    <x v="9"/>
    <s v="Europe"/>
    <s v="TEC-PH-3146"/>
    <x v="0"/>
    <s v="Phones"/>
    <s v="Apple Signal Booster, with Caller ID"/>
    <n v="983.88"/>
    <n v="8"/>
    <n v="0.1"/>
    <n v="-11.16"/>
    <n v="369.17"/>
    <s v="Critical"/>
    <n v="7871.04"/>
    <n v="7.8710400000000007"/>
    <n v="7493.9989599999999"/>
  </r>
  <r>
    <n v="25831"/>
    <s v="IN-2013-ED13885144-41549"/>
    <d v="2013-10-02T00:00:00"/>
    <d v="2013-10-02T00:00:00"/>
    <s v="Same Day"/>
    <s v="ED-13885144"/>
    <s v="Emily Ducich"/>
    <x v="2"/>
    <m/>
    <s v="Ho Chi Minh City"/>
    <s v="Ho Chí Minh City"/>
    <s v="Vietnam"/>
    <x v="17"/>
    <s v="Asia Pacific"/>
    <s v="FUR-CH-4530"/>
    <x v="1"/>
    <s v="Chairs"/>
    <s v="Harbour Creations Executive Leather Armchair, Adjustable"/>
    <n v="1719.81"/>
    <n v="5"/>
    <n v="0.27"/>
    <n v="117.66"/>
    <n v="368.44"/>
    <s v="High"/>
    <n v="8599.0499999999993"/>
    <n v="23.217435000000002"/>
    <n v="8207.3925649999983"/>
  </r>
  <r>
    <n v="29383"/>
    <s v="IN-2015-AP1091559-42089"/>
    <d v="2015-03-26T00:00:00"/>
    <d v="2015-03-29T00:00:00"/>
    <s v="First Class"/>
    <s v="AP-1091559"/>
    <s v="Arthur Prichep"/>
    <x v="0"/>
    <m/>
    <s v="Jakarta"/>
    <s v="Jakarta"/>
    <s v="Indonesia"/>
    <x v="17"/>
    <s v="Asia Pacific"/>
    <s v="OFF-AP-4966"/>
    <x v="2"/>
    <s v="Appliances"/>
    <s v="KitchenAid Stove, Silver"/>
    <n v="1421.54"/>
    <n v="3"/>
    <n v="0.17"/>
    <n v="428.12"/>
    <n v="367.57"/>
    <s v="Critical"/>
    <n v="4264.62"/>
    <n v="7.249854"/>
    <n v="3889.800146"/>
  </r>
  <r>
    <n v="879"/>
    <s v="MX-2015-TM2149031-42329"/>
    <d v="2015-11-21T00:00:00"/>
    <d v="2015-11-21T00:00:00"/>
    <s v="Same Day"/>
    <s v="TM-2149031"/>
    <s v="Tony Molinari"/>
    <x v="0"/>
    <m/>
    <s v="Camagüey"/>
    <s v="Camagüey"/>
    <s v="Cuba"/>
    <x v="15"/>
    <s v="LATAM"/>
    <s v="TEC-CO-3597"/>
    <x v="0"/>
    <s v="Copiers"/>
    <s v="Brother Fax Machine, High-Speed"/>
    <n v="1053.69"/>
    <n v="5"/>
    <n v="2E-3"/>
    <n v="441.29"/>
    <n v="367.54899999999998"/>
    <s v="High"/>
    <n v="5268.4500000000007"/>
    <n v="0.105369"/>
    <n v="4900.7956310000009"/>
  </r>
  <r>
    <n v="16997"/>
    <s v="IT-2012-AW1084091-41242"/>
    <d v="2012-11-29T00:00:00"/>
    <d v="2012-11-30T00:00:00"/>
    <s v="First Class"/>
    <s v="AW-1084091"/>
    <s v="Anthony Witt"/>
    <x v="0"/>
    <m/>
    <s v="Amsterdam"/>
    <s v="North Holland"/>
    <s v="Netherlands"/>
    <x v="2"/>
    <s v="Europe"/>
    <s v="TEC-CO-4792"/>
    <x v="0"/>
    <s v="Copiers"/>
    <s v="HP Wireless Fax, Laser"/>
    <n v="1440.84"/>
    <n v="8"/>
    <n v="0.5"/>
    <n v="-1268.04"/>
    <n v="367.35"/>
    <s v="Critical"/>
    <n v="11526.72"/>
    <n v="57.633599999999994"/>
    <n v="11101.7364"/>
  </r>
  <r>
    <n v="47029"/>
    <s v="RO-2013-SG10605107-41614"/>
    <d v="2013-12-06T00:00:00"/>
    <d v="2013-12-06T00:00:00"/>
    <s v="Same Day"/>
    <s v="SG-10605107"/>
    <s v="Speros Goranitis"/>
    <x v="0"/>
    <m/>
    <s v="Piatra-Neamt"/>
    <s v="Neamt"/>
    <s v="Romania"/>
    <x v="11"/>
    <s v="Europe"/>
    <s v="TEC-CO-4571"/>
    <x v="0"/>
    <s v="Copiers"/>
    <s v="Hewlett Fax and Copier, Color"/>
    <n v="1554.48"/>
    <n v="8"/>
    <n v="0"/>
    <n v="341.76"/>
    <n v="366.58"/>
    <s v="High"/>
    <n v="12435.84"/>
    <n v="0"/>
    <n v="12069.26"/>
  </r>
  <r>
    <n v="8378"/>
    <s v="MX-2014-BM1178582-41976"/>
    <d v="2014-12-03T00:00:00"/>
    <d v="2014-12-04T00:00:00"/>
    <s v="First Class"/>
    <s v="BM-1178582"/>
    <s v="Bryan Mills"/>
    <x v="0"/>
    <m/>
    <s v="Milpa Alta"/>
    <s v="Distrito Federal"/>
    <s v="Mexico"/>
    <x v="13"/>
    <s v="LATAM"/>
    <s v="TEC-PH-5839"/>
    <x v="0"/>
    <s v="Phones"/>
    <s v="Samsung Smart Phone, Cordless"/>
    <n v="1278"/>
    <n v="3"/>
    <n v="0"/>
    <n v="89.46"/>
    <n v="365.90199999999999"/>
    <s v="High"/>
    <n v="3834"/>
    <n v="0"/>
    <n v="3468.098"/>
  </r>
  <r>
    <n v="2496"/>
    <s v="MX-2013-FH1436582-41628"/>
    <d v="2013-12-20T00:00:00"/>
    <d v="2013-12-24T00:00:00"/>
    <s v="Standard Class"/>
    <s v="FH-1436582"/>
    <s v="Fred Hopkins"/>
    <x v="1"/>
    <m/>
    <s v="Mexico City"/>
    <s v="Distrito Federal"/>
    <s v="Mexico"/>
    <x v="13"/>
    <s v="LATAM"/>
    <s v="TEC-PH-3806"/>
    <x v="0"/>
    <s v="Phones"/>
    <s v="Cisco Smart Phone, Full Size"/>
    <n v="3474.08"/>
    <n v="8"/>
    <n v="0"/>
    <n v="625.28"/>
    <n v="365.65199999999999"/>
    <s v="High"/>
    <n v="27792.639999999999"/>
    <n v="0"/>
    <n v="27426.988000000001"/>
  </r>
  <r>
    <n v="990"/>
    <s v="MX-2013-DK1337582-41530"/>
    <d v="2013-09-13T00:00:00"/>
    <d v="2013-09-15T00:00:00"/>
    <s v="Second Class"/>
    <s v="DK-1337582"/>
    <s v="Dennis Kane"/>
    <x v="0"/>
    <m/>
    <s v="León"/>
    <s v="Guanajuato"/>
    <s v="Mexico"/>
    <x v="13"/>
    <s v="LATAM"/>
    <s v="TEC-PH-3148"/>
    <x v="0"/>
    <s v="Phones"/>
    <s v="Apple Smart Phone, Full Size"/>
    <n v="2550"/>
    <n v="6"/>
    <n v="0"/>
    <n v="357"/>
    <n v="365.2"/>
    <s v="Medium"/>
    <n v="15300"/>
    <n v="0"/>
    <n v="14934.8"/>
  </r>
  <r>
    <n v="34756"/>
    <s v="CA-2015-AS10090140-42264"/>
    <d v="2015-09-17T00:00:00"/>
    <d v="2015-09-19T00:00:00"/>
    <s v="First Class"/>
    <s v="AS-100901406"/>
    <s v="Adam Shillingsburg"/>
    <x v="0"/>
    <n v="19143"/>
    <s v="Philadelphia"/>
    <s v="Pennsylvania"/>
    <s v="United States"/>
    <x v="14"/>
    <s v="USCA"/>
    <s v="OFF-BI-4343"/>
    <x v="2"/>
    <s v="Binders"/>
    <s v="GBC DocuBind TL300 Electric Binding System"/>
    <n v="538.19000000000005"/>
    <n v="2"/>
    <n v="0.7"/>
    <n v="-412.62"/>
    <n v="209.3"/>
    <s v="Critical"/>
    <n v="1076.3800000000001"/>
    <n v="7.5346599999999997"/>
    <n v="859.54534000000012"/>
  </r>
  <r>
    <n v="40955"/>
    <s v="CA-2012-AS10090140-41173"/>
    <d v="2012-09-21T00:00:00"/>
    <d v="2012-09-28T00:00:00"/>
    <s v="Standard Class"/>
    <s v="AS-100901406"/>
    <s v="Adam Shillingsburg"/>
    <x v="0"/>
    <n v="10035"/>
    <s v="New York City"/>
    <s v="New York"/>
    <s v="United States"/>
    <x v="14"/>
    <s v="USCA"/>
    <s v="FUR-CH-5430"/>
    <x v="1"/>
    <s v="Chairs"/>
    <s v="Office Star - Mid Back Dual function Ergonomic High Back Chair with 2-Way Adjustable Arms"/>
    <n v="579.53"/>
    <n v="4"/>
    <n v="0.1"/>
    <n v="83.71"/>
    <n v="64.56"/>
    <s v="Medium"/>
    <n v="2318.12"/>
    <n v="2.31812"/>
    <n v="2251.24188"/>
  </r>
  <r>
    <n v="33285"/>
    <s v="CA-2013-AS10090140-41587"/>
    <d v="2013-11-09T00:00:00"/>
    <d v="2013-11-13T00:00:00"/>
    <s v="Standard Class"/>
    <s v="AS-100901402"/>
    <s v="Adam Shillingsburg"/>
    <x v="0"/>
    <n v="65807"/>
    <s v="Springfield"/>
    <s v="Missouri"/>
    <s v="United States"/>
    <x v="0"/>
    <s v="USCA"/>
    <s v="FUR-TA-3427"/>
    <x v="1"/>
    <s v="Tables"/>
    <s v="Bevis Round Conference Table Top &amp; Single Column Base"/>
    <n v="1024.3800000000001"/>
    <n v="7"/>
    <n v="0"/>
    <n v="215.12"/>
    <n v="62.17"/>
    <s v="Medium"/>
    <n v="7170.6600000000008"/>
    <n v="0"/>
    <n v="7108.4900000000007"/>
  </r>
  <r>
    <n v="43395"/>
    <s v="TU-2013-SF10200134-41417"/>
    <d v="2013-05-23T00:00:00"/>
    <d v="2013-05-26T00:00:00"/>
    <s v="First Class"/>
    <s v="SF-10200134"/>
    <s v="Sarah Foster"/>
    <x v="0"/>
    <m/>
    <s v="Izmir"/>
    <s v="Izmir"/>
    <s v="Turkey"/>
    <x v="6"/>
    <s v="Asia Pacific"/>
    <s v="TEC-PH-5815"/>
    <x v="0"/>
    <s v="Phones"/>
    <s v="Samsung Audio Dock, with Caller ID"/>
    <n v="934.25"/>
    <n v="14"/>
    <n v="0.6"/>
    <n v="-1331.65"/>
    <n v="363.73"/>
    <s v="High"/>
    <n v="13079.5"/>
    <n v="78.477000000000004"/>
    <n v="12637.293"/>
  </r>
  <r>
    <n v="36524"/>
    <s v="CA-2014-AS10090140-41812"/>
    <d v="2014-06-22T00:00:00"/>
    <d v="2014-06-27T00:00:00"/>
    <s v="Standard Class"/>
    <s v="AS-100901406"/>
    <s v="Adam Shillingsburg"/>
    <x v="0"/>
    <n v="10011"/>
    <s v="New York City"/>
    <s v="New York"/>
    <s v="United States"/>
    <x v="14"/>
    <s v="USCA"/>
    <s v="FUR-BO-5529"/>
    <x v="1"/>
    <s v="Bookcases"/>
    <s v="O'Sullivan Living Dimensions 5-Shelf Bookcases"/>
    <n v="353.57"/>
    <n v="2"/>
    <n v="0.2"/>
    <n v="-44.2"/>
    <n v="48.18"/>
    <s v="High"/>
    <n v="707.14"/>
    <n v="1.41428"/>
    <n v="657.54572000000007"/>
  </r>
  <r>
    <n v="46991"/>
    <s v="SG-2015-JW5220111-42108"/>
    <d v="2015-04-14T00:00:00"/>
    <d v="2015-04-17T00:00:00"/>
    <s v="Second Class"/>
    <s v="JW-5220111"/>
    <s v="Jane Waco"/>
    <x v="1"/>
    <m/>
    <s v="Dakar"/>
    <s v="Dakar"/>
    <s v="Senegal"/>
    <x v="3"/>
    <s v="Africa"/>
    <s v="TEC-PH-3805"/>
    <x v="0"/>
    <s v="Phones"/>
    <s v="Cisco Smart Phone, Cordless"/>
    <n v="3908.88"/>
    <n v="6"/>
    <n v="0"/>
    <n v="1563.48"/>
    <n v="363.16"/>
    <s v="Medium"/>
    <n v="23453.279999999999"/>
    <n v="0"/>
    <n v="23090.12"/>
  </r>
  <r>
    <n v="9711"/>
    <s v="MX-2015-CC1210082-42245"/>
    <d v="2015-08-29T00:00:00"/>
    <d v="2015-09-02T00:00:00"/>
    <s v="Standard Class"/>
    <s v="CC-1210082"/>
    <s v="Chad Cunningham"/>
    <x v="2"/>
    <m/>
    <s v="Coyoacán"/>
    <s v="Distrito Federal"/>
    <s v="Mexico"/>
    <x v="13"/>
    <s v="LATAM"/>
    <s v="TEC-PH-5268"/>
    <x v="0"/>
    <s v="Phones"/>
    <s v="Motorola Smart Phone, Full Size"/>
    <n v="2142.3000000000002"/>
    <n v="5"/>
    <n v="0"/>
    <n v="556.9"/>
    <n v="363.1"/>
    <s v="High"/>
    <n v="10711.5"/>
    <n v="0"/>
    <n v="10348.4"/>
  </r>
  <r>
    <n v="31138"/>
    <s v="ID-2015-RD1993092-42140"/>
    <d v="2015-05-16T00:00:00"/>
    <d v="2015-05-18T00:00:00"/>
    <s v="Second Class"/>
    <s v="RD-1993092"/>
    <s v="Russell D'Ascenzo"/>
    <x v="0"/>
    <m/>
    <s v="Manukau City"/>
    <s v="Auckland"/>
    <s v="New Zealand"/>
    <x v="1"/>
    <s v="Asia Pacific"/>
    <s v="OFF-AP-4961"/>
    <x v="2"/>
    <s v="Appliances"/>
    <s v="KitchenAid Refrigerator, Red"/>
    <n v="1900.58"/>
    <n v="6"/>
    <n v="0.4"/>
    <n v="-348.52"/>
    <n v="360.04"/>
    <s v="High"/>
    <n v="11403.48"/>
    <n v="45.61392"/>
    <n v="10997.826079999999"/>
  </r>
  <r>
    <n v="46655"/>
    <s v="CM-2013-BP123022-41621"/>
    <d v="2013-12-13T00:00:00"/>
    <d v="2013-12-15T00:00:00"/>
    <s v="First Class"/>
    <s v="BP-123022"/>
    <s v="Benjamin Patterson"/>
    <x v="0"/>
    <m/>
    <s v="Yaounde"/>
    <s v="Centre"/>
    <s v="Cameroon"/>
    <x v="16"/>
    <s v="Africa"/>
    <s v="OFF-AP-4733"/>
    <x v="2"/>
    <s v="Appliances"/>
    <s v="Hoover Microwave, White"/>
    <n v="1840.68"/>
    <n v="6"/>
    <n v="0"/>
    <n v="496.98"/>
    <n v="359.58"/>
    <s v="Critical"/>
    <n v="11044.08"/>
    <n v="0"/>
    <n v="10684.5"/>
  </r>
  <r>
    <n v="10365"/>
    <s v="ES-2012-SA20830139-40998"/>
    <d v="2012-03-30T00:00:00"/>
    <d v="2012-04-03T00:00:00"/>
    <s v="Standard Class"/>
    <s v="SA-20830139"/>
    <s v="Sue Ann Reed"/>
    <x v="0"/>
    <m/>
    <s v="Newcastle upon Tyne"/>
    <s v="England"/>
    <s v="United Kingdom"/>
    <x v="12"/>
    <s v="Europe"/>
    <s v="FUR-BO-5950"/>
    <x v="1"/>
    <s v="Bookcases"/>
    <s v="Sauder Classic Bookcase, Pine"/>
    <n v="2624.04"/>
    <n v="6"/>
    <n v="0"/>
    <n v="446.04"/>
    <n v="359.28"/>
    <s v="High"/>
    <n v="15744.24"/>
    <n v="0"/>
    <n v="15384.96"/>
  </r>
  <r>
    <n v="21500"/>
    <s v="IN-2013-EM1381058-41308"/>
    <d v="2013-02-03T00:00:00"/>
    <d v="2013-02-07T00:00:00"/>
    <s v="Second Class"/>
    <s v="EM-1381058"/>
    <s v="Eleni McCrary"/>
    <x v="1"/>
    <m/>
    <s v="Dehra Dun"/>
    <s v="Uttarakhand"/>
    <s v="India"/>
    <x v="5"/>
    <s v="Asia Pacific"/>
    <s v="FUR-BO-5762"/>
    <x v="1"/>
    <s v="Bookcases"/>
    <s v="Safco Classic Bookcase, Pine"/>
    <n v="3076.5"/>
    <n v="7"/>
    <n v="0"/>
    <n v="215.25"/>
    <n v="359.27"/>
    <s v="Medium"/>
    <n v="21535.5"/>
    <n v="0"/>
    <n v="21176.23"/>
  </r>
  <r>
    <n v="28108"/>
    <s v="IN-2014-CS12175130-41788"/>
    <d v="2014-05-29T00:00:00"/>
    <d v="2014-06-01T00:00:00"/>
    <s v="Second Class"/>
    <s v="CS-12175130"/>
    <s v="Charles Sheldon"/>
    <x v="1"/>
    <m/>
    <s v="Bangkok"/>
    <s v="Bangkok"/>
    <s v="Thailand"/>
    <x v="17"/>
    <s v="Asia Pacific"/>
    <s v="TEC-PH-5356"/>
    <x v="0"/>
    <s v="Phones"/>
    <s v="Nokia Smart Phone, with Caller ID"/>
    <n v="3181.77"/>
    <n v="6"/>
    <n v="0.17"/>
    <n v="344.97"/>
    <n v="359.09"/>
    <s v="Medium"/>
    <n v="19090.62"/>
    <n v="32.454053999999999"/>
    <n v="18699.075945999997"/>
  </r>
  <r>
    <n v="16456"/>
    <s v="IT-2013-JD16060120-41515"/>
    <d v="2013-08-29T00:00:00"/>
    <d v="2013-09-01T00:00:00"/>
    <s v="First Class"/>
    <s v="JD-16060120"/>
    <s v="Julia Dunbar"/>
    <x v="0"/>
    <m/>
    <s v="Santander"/>
    <s v="Cantabria"/>
    <s v="Spain"/>
    <x v="9"/>
    <s v="Europe"/>
    <s v="OFF-ST-5691"/>
    <x v="2"/>
    <s v="Storage"/>
    <s v="Rogers File Cart, Blue"/>
    <n v="1392.63"/>
    <n v="11"/>
    <n v="0.1"/>
    <n v="-139.56"/>
    <n v="358.96"/>
    <s v="Critical"/>
    <n v="15318.93"/>
    <n v="15.31893"/>
    <n v="14944.651070000002"/>
  </r>
  <r>
    <n v="23791"/>
    <s v="IN-2012-GH1466527-41074"/>
    <d v="2012-06-14T00:00:00"/>
    <d v="2012-06-16T00:00:00"/>
    <s v="First Class"/>
    <s v="GH-1466527"/>
    <s v="Greg Hansen"/>
    <x v="0"/>
    <m/>
    <s v="Cangzhou"/>
    <s v="Hebei"/>
    <s v="China"/>
    <x v="8"/>
    <s v="Asia Pacific"/>
    <s v="FUR-CH-5412"/>
    <x v="1"/>
    <s v="Chairs"/>
    <s v="Novimex Swivel Stool, Black"/>
    <n v="1296.24"/>
    <n v="8"/>
    <n v="0"/>
    <n v="285.12"/>
    <n v="358.85"/>
    <s v="Critical"/>
    <n v="10369.92"/>
    <n v="0"/>
    <n v="10011.07"/>
  </r>
  <r>
    <n v="28128"/>
    <s v="IN-2015-CM1193527-42244"/>
    <d v="2015-08-28T00:00:00"/>
    <d v="2015-08-31T00:00:00"/>
    <s v="First Class"/>
    <s v="CM-1193527"/>
    <s v="Carlos Meador"/>
    <x v="0"/>
    <m/>
    <s v="Shanghai"/>
    <s v="Shanghai"/>
    <s v="China"/>
    <x v="8"/>
    <s v="Asia Pacific"/>
    <s v="OFF-AP-3578"/>
    <x v="2"/>
    <s v="Appliances"/>
    <s v="Breville Stove, Black"/>
    <n v="1682.91"/>
    <n v="3"/>
    <n v="0"/>
    <n v="487.98"/>
    <n v="358.51"/>
    <s v="Medium"/>
    <n v="5048.7300000000005"/>
    <n v="0"/>
    <n v="4690.22"/>
  </r>
  <r>
    <n v="4585"/>
    <s v="MX-2012-JB1600093-41208"/>
    <d v="2012-10-26T00:00:00"/>
    <d v="2012-10-27T00:00:00"/>
    <s v="First Class"/>
    <s v="JB-1600093"/>
    <s v="Joy Bell-"/>
    <x v="0"/>
    <m/>
    <s v="León"/>
    <s v="León"/>
    <s v="Nicaragua"/>
    <x v="13"/>
    <s v="LATAM"/>
    <s v="TEC-PH-5839"/>
    <x v="0"/>
    <s v="Phones"/>
    <s v="Samsung Smart Phone, Cordless"/>
    <n v="1278"/>
    <n v="3"/>
    <n v="0"/>
    <n v="89.46"/>
    <n v="358.17599999999999"/>
    <s v="Critical"/>
    <n v="3834"/>
    <n v="0"/>
    <n v="3475.8240000000001"/>
  </r>
  <r>
    <n v="41299"/>
    <s v="RS-2015-RB9465108-42082"/>
    <d v="2015-03-19T00:00:00"/>
    <d v="2015-03-23T00:00:00"/>
    <s v="Second Class"/>
    <s v="RB-9465108"/>
    <s v="Rick Bensley"/>
    <x v="2"/>
    <m/>
    <s v="Rybinsk"/>
    <s v="Yaroslavl'"/>
    <s v="Russia"/>
    <x v="11"/>
    <s v="Europe"/>
    <s v="TEC-PH-5268"/>
    <x v="0"/>
    <s v="Phones"/>
    <s v="Motorola Smart Phone, Full Size"/>
    <n v="2570.7600000000002"/>
    <n v="4"/>
    <n v="0"/>
    <n v="976.8"/>
    <n v="357.89"/>
    <s v="Medium"/>
    <n v="10283.040000000001"/>
    <n v="0"/>
    <n v="9925.1500000000015"/>
  </r>
  <r>
    <n v="8753"/>
    <s v="MX-2015-RB1979518-42258"/>
    <d v="2015-09-11T00:00:00"/>
    <d v="2015-09-18T00:00:00"/>
    <s v="Standard Class"/>
    <s v="RB-1979518"/>
    <s v="Ross Baird"/>
    <x v="2"/>
    <m/>
    <s v="Ibiúna"/>
    <s v="São Paulo"/>
    <s v="Brazil"/>
    <x v="7"/>
    <s v="LATAM"/>
    <s v="FUR-TA-3763"/>
    <x v="1"/>
    <s v="Tables"/>
    <s v="Chromcraft Conference Table, Adjustable Height"/>
    <n v="2332.96"/>
    <n v="5"/>
    <n v="0.2"/>
    <n v="349.86"/>
    <n v="357.78899999999999"/>
    <s v="Low"/>
    <n v="11664.8"/>
    <n v="23.329599999999999"/>
    <n v="11283.681399999999"/>
  </r>
  <r>
    <n v="31293"/>
    <s v="ID-2013-PO191957-41514"/>
    <d v="2013-08-28T00:00:00"/>
    <d v="2013-08-28T00:00:00"/>
    <s v="Same Day"/>
    <s v="PO-191957"/>
    <s v="Phillina Ober"/>
    <x v="2"/>
    <m/>
    <s v="Gold Coast"/>
    <s v="Queensland"/>
    <s v="Australia"/>
    <x v="1"/>
    <s v="Asia Pacific"/>
    <s v="FUR-BO-5762"/>
    <x v="1"/>
    <s v="Bookcases"/>
    <s v="Safco Classic Bookcase, Pine"/>
    <n v="1582.2"/>
    <n v="6"/>
    <n v="0.4"/>
    <n v="-870.3"/>
    <n v="357.21"/>
    <s v="Critical"/>
    <n v="9493.2000000000007"/>
    <n v="37.972800000000007"/>
    <n v="9098.017200000002"/>
  </r>
  <r>
    <n v="31033"/>
    <s v="IN-2014-TS212057-41852"/>
    <d v="2014-08-01T00:00:00"/>
    <d v="2014-08-04T00:00:00"/>
    <s v="Second Class"/>
    <s v="TS-212057"/>
    <s v="Thomas Seio"/>
    <x v="1"/>
    <m/>
    <s v="Canberra"/>
    <s v="Australian Capital Territory"/>
    <s v="Australia"/>
    <x v="1"/>
    <s v="Asia Pacific"/>
    <s v="FUR-TA-5053"/>
    <x v="1"/>
    <s v="Tables"/>
    <s v="Lesro Coffee Table, with Bottom Storage"/>
    <n v="1512"/>
    <n v="6"/>
    <n v="0"/>
    <n v="498.96"/>
    <n v="356.84"/>
    <s v="Critical"/>
    <n v="9072"/>
    <n v="0"/>
    <n v="8715.16"/>
  </r>
  <r>
    <n v="49752"/>
    <s v="SF-2015-MV8190117-42362"/>
    <d v="2015-12-24T00:00:00"/>
    <d v="2015-12-27T00:00:00"/>
    <s v="First Class"/>
    <s v="MV-8190117"/>
    <s v="Mike Vittorini"/>
    <x v="0"/>
    <m/>
    <s v="Port Elizabeth"/>
    <s v="Eastern Cape"/>
    <s v="South Africa"/>
    <x v="20"/>
    <s v="Africa"/>
    <s v="TEC-PH-3148"/>
    <x v="0"/>
    <s v="Phones"/>
    <s v="Apple Smart Phone, Full Size"/>
    <n v="2550"/>
    <n v="4"/>
    <n v="0"/>
    <n v="714"/>
    <n v="355.92"/>
    <s v="Medium"/>
    <n v="10200"/>
    <n v="0"/>
    <n v="9844.08"/>
  </r>
  <r>
    <n v="20145"/>
    <s v="ES-2013-BD11560139-41327"/>
    <d v="2013-02-22T00:00:00"/>
    <d v="2013-02-25T00:00:00"/>
    <s v="First Class"/>
    <s v="BD-11560139"/>
    <s v="Brendan Dodson"/>
    <x v="2"/>
    <m/>
    <s v="Cambridge"/>
    <s v="England"/>
    <s v="United Kingdom"/>
    <x v="12"/>
    <s v="Europe"/>
    <s v="FUR-CH-4655"/>
    <x v="1"/>
    <s v="Chairs"/>
    <s v="Hon Executive Leather Armchair, Black"/>
    <n v="2285.6999999999998"/>
    <n v="5"/>
    <n v="0"/>
    <n v="845.7"/>
    <n v="355.06"/>
    <s v="High"/>
    <n v="11428.5"/>
    <n v="0"/>
    <n v="11073.44"/>
  </r>
  <r>
    <n v="24211"/>
    <s v="IN-2015-PS1876059-42288"/>
    <d v="2015-10-11T00:00:00"/>
    <d v="2015-10-13T00:00:00"/>
    <s v="Second Class"/>
    <s v="PS-1876059"/>
    <s v="Pamela Stobb"/>
    <x v="0"/>
    <m/>
    <s v="Bandung"/>
    <s v="Jawa Barat"/>
    <s v="Indonesia"/>
    <x v="17"/>
    <s v="Asia Pacific"/>
    <s v="FUR-BO-3648"/>
    <x v="1"/>
    <s v="Bookcases"/>
    <s v="Bush Stackable Bookrack, Traditional"/>
    <n v="1029.26"/>
    <n v="9"/>
    <n v="7.0000000000000007E-2"/>
    <n v="10.82"/>
    <n v="354.47"/>
    <s v="Critical"/>
    <n v="9263.34"/>
    <n v="6.4843380000000002"/>
    <n v="8902.3856620000006"/>
  </r>
  <r>
    <n v="4027"/>
    <s v="US-2015-FM1421551-42115"/>
    <d v="2015-04-21T00:00:00"/>
    <d v="2015-04-23T00:00:00"/>
    <s v="Second Class"/>
    <s v="FM-1421551"/>
    <s v="Filia McAdams"/>
    <x v="1"/>
    <m/>
    <s v="Mixco"/>
    <s v="Guatemala"/>
    <s v="Guatemala"/>
    <x v="13"/>
    <s v="LATAM"/>
    <s v="TEC-CO-4577"/>
    <x v="0"/>
    <s v="Copiers"/>
    <s v="Hewlett Fax Machine, High-Speed"/>
    <n v="1058.28"/>
    <n v="5"/>
    <n v="2E-3"/>
    <n v="-2.12"/>
    <n v="354.423"/>
    <s v="Critical"/>
    <n v="5291.4"/>
    <n v="0.10582799999999999"/>
    <n v="4936.8711720000001"/>
  </r>
  <r>
    <n v="23212"/>
    <s v="IN-2014-CA1277558-41802"/>
    <d v="2014-06-12T00:00:00"/>
    <d v="2014-06-17T00:00:00"/>
    <s v="Standard Class"/>
    <s v="CA-1277558"/>
    <s v="Cynthia Arntzen"/>
    <x v="0"/>
    <m/>
    <s v="Kota"/>
    <s v="Chhattisgarh"/>
    <s v="India"/>
    <x v="5"/>
    <s v="Asia Pacific"/>
    <s v="TEC-PH-3149"/>
    <x v="0"/>
    <s v="Phones"/>
    <s v="Apple Smart Phone, with Caller ID"/>
    <n v="5751.54"/>
    <n v="9"/>
    <n v="0"/>
    <n v="2817.99"/>
    <n v="353.85"/>
    <s v="Medium"/>
    <n v="51763.86"/>
    <n v="0"/>
    <n v="51410.01"/>
  </r>
  <r>
    <n v="14952"/>
    <s v="ES-2014-CD1279048-41899"/>
    <d v="2014-09-17T00:00:00"/>
    <d v="2014-09-20T00:00:00"/>
    <s v="First Class"/>
    <s v="CD-1279048"/>
    <s v="Cynthia Delaney"/>
    <x v="2"/>
    <m/>
    <s v="Munster"/>
    <s v="Lower Saxony"/>
    <s v="Germany"/>
    <x v="2"/>
    <s v="Europe"/>
    <s v="FUR-BO-5969"/>
    <x v="1"/>
    <s v="Bookcases"/>
    <s v="Sauder Library with Doors, Traditional"/>
    <n v="2442.0700000000002"/>
    <n v="7"/>
    <n v="0.1"/>
    <n v="-244.25"/>
    <n v="353.57"/>
    <s v="High"/>
    <n v="17094.490000000002"/>
    <n v="17.094490000000004"/>
    <n v="16723.825510000002"/>
  </r>
  <r>
    <n v="30312"/>
    <s v="IN-2015-NL1831092-42266"/>
    <d v="2015-09-19T00:00:00"/>
    <d v="2015-09-19T00:00:00"/>
    <s v="Same Day"/>
    <s v="NL-1831092"/>
    <s v="Nancy Lomonaco"/>
    <x v="2"/>
    <m/>
    <s v="Christchurch"/>
    <s v="Canterbury"/>
    <s v="New Zealand"/>
    <x v="1"/>
    <s v="Asia Pacific"/>
    <s v="OFF-ST-6046"/>
    <x v="2"/>
    <s v="Storage"/>
    <s v="Smead Lockers, Blue"/>
    <n v="1190.52"/>
    <n v="6"/>
    <n v="0"/>
    <n v="178.56"/>
    <n v="353.42"/>
    <s v="Critical"/>
    <n v="7143.12"/>
    <n v="0"/>
    <n v="6789.7"/>
  </r>
  <r>
    <n v="11657"/>
    <s v="IT-2015-TB2105545-42334"/>
    <d v="2015-11-26T00:00:00"/>
    <d v="2015-12-03T00:00:00"/>
    <s v="Standard Class"/>
    <s v="TB-2105545"/>
    <s v="Ted Butterfield"/>
    <x v="0"/>
    <m/>
    <s v="Vincennes"/>
    <s v="Ile-de-France"/>
    <s v="France"/>
    <x v="2"/>
    <s v="Europe"/>
    <s v="OFF-AP-4502"/>
    <x v="2"/>
    <s v="Appliances"/>
    <s v="Hamilton Beach Refrigerator, Red"/>
    <n v="3150.82"/>
    <n v="7"/>
    <n v="0.1"/>
    <n v="-35.090000000000003"/>
    <n v="353.04"/>
    <s v="Medium"/>
    <n v="22055.74"/>
    <n v="22.05574"/>
    <n v="21680.644260000001"/>
  </r>
  <r>
    <n v="26759"/>
    <s v="IN-2015-KD1649527-42175"/>
    <d v="2015-06-20T00:00:00"/>
    <d v="2015-06-26T00:00:00"/>
    <s v="Standard Class"/>
    <s v="KD-1649527"/>
    <s v="Keith Dawkins"/>
    <x v="1"/>
    <m/>
    <s v="Chongqing"/>
    <s v="Chongqing"/>
    <s v="China"/>
    <x v="8"/>
    <s v="Asia Pacific"/>
    <s v="FUR-BO-3627"/>
    <x v="1"/>
    <s v="Bookcases"/>
    <s v="Bush Classic Bookcase, Traditional"/>
    <n v="2063.4"/>
    <n v="5"/>
    <n v="0"/>
    <n v="123.75"/>
    <n v="352.64"/>
    <s v="Low"/>
    <n v="10317"/>
    <n v="0"/>
    <n v="9964.36"/>
  </r>
  <r>
    <n v="50837"/>
    <s v="HU-2015-EH412557-42300"/>
    <d v="2015-10-23T00:00:00"/>
    <d v="2015-10-25T00:00:00"/>
    <s v="First Class"/>
    <s v="EH-412557"/>
    <s v="Eugene Hildebrand"/>
    <x v="2"/>
    <m/>
    <s v="Gyula"/>
    <s v="Bekes"/>
    <s v="Hungary"/>
    <x v="11"/>
    <s v="Europe"/>
    <s v="OFF-ST-5702"/>
    <x v="2"/>
    <s v="Storage"/>
    <s v="Rogers Lockers, Single Width"/>
    <n v="1269.9000000000001"/>
    <n v="6"/>
    <n v="0"/>
    <n v="558.72"/>
    <n v="352.52"/>
    <s v="High"/>
    <n v="7619.4000000000005"/>
    <n v="0"/>
    <n v="7266.880000000001"/>
  </r>
  <r>
    <n v="20869"/>
    <s v="IN-2012-KB1660058-41136"/>
    <d v="2012-08-15T00:00:00"/>
    <d v="2012-08-19T00:00:00"/>
    <s v="Standard Class"/>
    <s v="KB-1660058"/>
    <s v="Ken Brennan"/>
    <x v="1"/>
    <m/>
    <s v="Lucknow"/>
    <s v="Uttar Pradesh"/>
    <s v="India"/>
    <x v="5"/>
    <s v="Asia Pacific"/>
    <s v="FUR-BO-3639"/>
    <x v="1"/>
    <s v="Bookcases"/>
    <s v="Bush Library with Doors, Metal"/>
    <n v="3274.02"/>
    <n v="9"/>
    <n v="0"/>
    <n v="261.89999999999998"/>
    <n v="351.08"/>
    <s v="Medium"/>
    <n v="29466.18"/>
    <n v="0"/>
    <n v="29115.1"/>
  </r>
  <r>
    <n v="33698"/>
    <s v="CA-2015-AS10090140-42096"/>
    <d v="2015-04-02T00:00:00"/>
    <d v="2015-04-05T00:00:00"/>
    <s v="Second Class"/>
    <s v="AS-100901402"/>
    <s v="Adam Shillingsburg"/>
    <x v="0"/>
    <n v="65807"/>
    <s v="Springfield"/>
    <s v="Missouri"/>
    <s v="United States"/>
    <x v="0"/>
    <s v="USCA"/>
    <s v="OFF-ST-4516"/>
    <x v="2"/>
    <s v="Storage"/>
    <s v="Hanging Personal Folder File"/>
    <n v="94.2"/>
    <n v="6"/>
    <n v="0"/>
    <n v="23.55"/>
    <n v="12.42"/>
    <s v="High"/>
    <n v="565.20000000000005"/>
    <n v="0"/>
    <n v="552.78000000000009"/>
  </r>
  <r>
    <n v="15132"/>
    <s v="ES-2015-MG1769564-42018"/>
    <d v="2015-01-14T00:00:00"/>
    <d v="2015-01-16T00:00:00"/>
    <s v="First Class"/>
    <s v="MG-1769564"/>
    <s v="Maureen Gnade"/>
    <x v="0"/>
    <m/>
    <s v="Turin"/>
    <s v="Piedmont"/>
    <s v="Italy"/>
    <x v="9"/>
    <s v="Europe"/>
    <s v="TEC-CO-6012"/>
    <x v="0"/>
    <s v="Copiers"/>
    <s v="Sharp Wireless Fax, Laser"/>
    <n v="2847.36"/>
    <n v="8"/>
    <n v="0"/>
    <n v="711.84"/>
    <n v="350.68"/>
    <s v="High"/>
    <n v="22778.880000000001"/>
    <n v="0"/>
    <n v="22428.2"/>
  </r>
  <r>
    <n v="27129"/>
    <s v="ID-2015-VF21715102-42321"/>
    <d v="2015-11-13T00:00:00"/>
    <d v="2015-11-15T00:00:00"/>
    <s v="Second Class"/>
    <s v="VF-21715102"/>
    <s v="Vicky Freymann"/>
    <x v="2"/>
    <m/>
    <s v="Manila"/>
    <s v="National Capital"/>
    <s v="Philippines"/>
    <x v="17"/>
    <s v="Asia Pacific"/>
    <s v="FUR-CH-5380"/>
    <x v="1"/>
    <s v="Chairs"/>
    <s v="Novimex Executive Leather Armchair, Red"/>
    <n v="1725.75"/>
    <n v="5"/>
    <n v="0.25"/>
    <n v="-483.3"/>
    <n v="350.68"/>
    <s v="Critical"/>
    <n v="8628.75"/>
    <n v="21.571874999999999"/>
    <n v="8256.4981250000001"/>
  </r>
  <r>
    <n v="25179"/>
    <s v="ID-2014-AM1070559-41803"/>
    <d v="2014-06-13T00:00:00"/>
    <d v="2014-06-13T00:00:00"/>
    <s v="Same Day"/>
    <s v="AM-1070559"/>
    <s v="Anne McFarland"/>
    <x v="0"/>
    <m/>
    <s v="Medan"/>
    <s v="Sumatera Utara"/>
    <s v="Indonesia"/>
    <x v="17"/>
    <s v="Asia Pacific"/>
    <s v="TEC-CO-4568"/>
    <x v="0"/>
    <s v="Copiers"/>
    <s v="Hewlett Copy Machine, Color"/>
    <n v="1479.31"/>
    <n v="6"/>
    <n v="7.0000000000000007E-2"/>
    <n v="-63.65"/>
    <n v="350.31"/>
    <s v="High"/>
    <n v="8875.86"/>
    <n v="6.213102000000001"/>
    <n v="8519.3368980000014"/>
  </r>
  <r>
    <n v="24610"/>
    <s v="IN-2015-BP11290113-42269"/>
    <d v="2015-09-22T00:00:00"/>
    <d v="2015-09-25T00:00:00"/>
    <s v="Second Class"/>
    <s v="BP-11290113"/>
    <s v="Beth Paige"/>
    <x v="0"/>
    <m/>
    <s v="Singapore"/>
    <s v="Singapore"/>
    <s v="Singapore"/>
    <x v="17"/>
    <s v="Asia Pacific"/>
    <s v="TEC-CO-4588"/>
    <x v="0"/>
    <s v="Copiers"/>
    <s v="Hewlett Personal Copier, High-Speed"/>
    <n v="1282.23"/>
    <n v="9"/>
    <n v="0"/>
    <n v="12.69"/>
    <n v="349.88"/>
    <s v="Critical"/>
    <n v="11540.07"/>
    <n v="0"/>
    <n v="11190.19"/>
  </r>
  <r>
    <n v="50724"/>
    <s v="AO-2012-HZ49504-40916"/>
    <d v="2012-01-08T00:00:00"/>
    <d v="2012-01-13T00:00:00"/>
    <s v="Standard Class"/>
    <s v="HZ-49504"/>
    <s v="Henia Zydlo"/>
    <x v="0"/>
    <m/>
    <s v="Benguela"/>
    <s v="Benguela"/>
    <s v="Angola"/>
    <x v="16"/>
    <s v="Africa"/>
    <s v="FUR-BO-4850"/>
    <x v="1"/>
    <s v="Bookcases"/>
    <s v="Ikea Classic Bookcase, Pine"/>
    <n v="2478.6"/>
    <n v="6"/>
    <n v="0"/>
    <n v="49.5"/>
    <n v="349.87"/>
    <s v="High"/>
    <n v="14871.599999999999"/>
    <n v="0"/>
    <n v="14521.729999999998"/>
  </r>
  <r>
    <n v="28226"/>
    <s v="IN-2014-EM1382566-41850"/>
    <d v="2014-07-30T00:00:00"/>
    <d v="2014-07-30T00:00:00"/>
    <s v="Same Day"/>
    <s v="EM-1382566"/>
    <s v="Elizabeth Moffitt"/>
    <x v="1"/>
    <m/>
    <s v="Himeji"/>
    <s v="Hyogo"/>
    <s v="Japan"/>
    <x v="8"/>
    <s v="Asia Pacific"/>
    <s v="TEC-CO-4578"/>
    <x v="0"/>
    <s v="Copiers"/>
    <s v="Hewlett Fax Machine, Laser"/>
    <n v="959.76"/>
    <n v="3"/>
    <n v="0"/>
    <n v="460.62"/>
    <n v="348.48"/>
    <s v="Critical"/>
    <n v="2879.2799999999997"/>
    <n v="0"/>
    <n v="2530.7999999999997"/>
  </r>
  <r>
    <n v="33191"/>
    <s v="US-2015-AS10090140-42341"/>
    <d v="2015-12-03T00:00:00"/>
    <d v="2015-12-06T00:00:00"/>
    <s v="First Class"/>
    <s v="AS-100901408"/>
    <s v="Adam Shillingsburg"/>
    <x v="0"/>
    <n v="22901"/>
    <s v="Charlottesville"/>
    <s v="Virginia"/>
    <s v="United States"/>
    <x v="18"/>
    <s v="USCA"/>
    <s v="OFF-AR-5285"/>
    <x v="2"/>
    <s v="Art"/>
    <s v="Newell 309"/>
    <n v="34.65"/>
    <n v="3"/>
    <n v="0"/>
    <n v="10.4"/>
    <n v="4.99"/>
    <s v="Medium"/>
    <n v="103.94999999999999"/>
    <n v="0"/>
    <n v="98.96"/>
  </r>
  <r>
    <n v="25941"/>
    <s v="IN-2015-BS1180059-42124"/>
    <d v="2015-04-30T00:00:00"/>
    <d v="2015-05-04T00:00:00"/>
    <s v="Standard Class"/>
    <s v="BS-1180059"/>
    <s v="Bryan Spruell"/>
    <x v="2"/>
    <m/>
    <s v="Kendari"/>
    <s v="Sulawesi Tenggara"/>
    <s v="Indonesia"/>
    <x v="17"/>
    <s v="Asia Pacific"/>
    <s v="OFF-AP-4504"/>
    <x v="2"/>
    <s v="Appliances"/>
    <s v="Hamilton Beach Refrigerator, White"/>
    <n v="4135.6400000000003"/>
    <n v="10"/>
    <n v="0.17"/>
    <n v="847.04"/>
    <n v="348.08"/>
    <s v="Medium"/>
    <n v="41356.400000000001"/>
    <n v="70.305880000000002"/>
    <n v="40938.01412"/>
  </r>
  <r>
    <n v="581"/>
    <s v="MX-2012-DV1346539-41179"/>
    <d v="2012-09-27T00:00:00"/>
    <d v="2012-09-29T00:00:00"/>
    <s v="Second Class"/>
    <s v="DV-1346539"/>
    <s v="Dianna Vittorini"/>
    <x v="0"/>
    <m/>
    <s v="Mejicanos"/>
    <s v="San Salvador"/>
    <s v="El Salvador"/>
    <x v="13"/>
    <s v="LATAM"/>
    <s v="FUR-BO-5951"/>
    <x v="1"/>
    <s v="Bookcases"/>
    <s v="Sauder Classic Bookcase, Traditional"/>
    <n v="2325.2800000000002"/>
    <n v="8"/>
    <n v="0"/>
    <n v="511.52"/>
    <n v="347.815"/>
    <s v="High"/>
    <n v="18602.240000000002"/>
    <n v="0"/>
    <n v="18254.425000000003"/>
  </r>
  <r>
    <n v="21263"/>
    <s v="IN-2015-MB173057-42179"/>
    <d v="2015-06-24T00:00:00"/>
    <d v="2015-06-28T00:00:00"/>
    <s v="Standard Class"/>
    <s v="MB-173057"/>
    <s v="Maria Bertelson"/>
    <x v="0"/>
    <m/>
    <s v="Sydney"/>
    <s v="New South Wales"/>
    <s v="Australia"/>
    <x v="1"/>
    <s v="Asia Pacific"/>
    <s v="FUR-BO-5948"/>
    <x v="1"/>
    <s v="Bookcases"/>
    <s v="Sauder Classic Bookcase, Metal"/>
    <n v="5486.67"/>
    <n v="14"/>
    <n v="0.1"/>
    <n v="2316.5100000000002"/>
    <n v="346.6"/>
    <s v="Medium"/>
    <n v="76813.38"/>
    <n v="76.813380000000009"/>
    <n v="76389.966619999992"/>
  </r>
  <r>
    <n v="13571"/>
    <s v="IT-2012-PC19000120-41004"/>
    <d v="2012-04-05T00:00:00"/>
    <d v="2012-04-07T00:00:00"/>
    <s v="First Class"/>
    <s v="PC-19000120"/>
    <s v="Pauline Chand"/>
    <x v="2"/>
    <m/>
    <s v="Barcelona"/>
    <s v="Catalonia"/>
    <s v="Spain"/>
    <x v="9"/>
    <s v="Europe"/>
    <s v="OFF-ST-5700"/>
    <x v="2"/>
    <s v="Storage"/>
    <s v="Rogers Lockers, Blue"/>
    <n v="1523.66"/>
    <n v="8"/>
    <n v="0.1"/>
    <n v="-50.98"/>
    <n v="345.81"/>
    <s v="High"/>
    <n v="12189.28"/>
    <n v="12.189280000000002"/>
    <n v="11831.280720000001"/>
  </r>
  <r>
    <n v="11639"/>
    <s v="IT-2015-CA1231045-42223"/>
    <d v="2015-08-07T00:00:00"/>
    <d v="2015-08-09T00:00:00"/>
    <s v="Second Class"/>
    <s v="CA-1231045"/>
    <s v="Christine Abelman"/>
    <x v="1"/>
    <m/>
    <s v="Menton"/>
    <s v="Provence-Alpes-Côte d'Azur"/>
    <s v="France"/>
    <x v="2"/>
    <s v="Europe"/>
    <s v="TEC-PH-5355"/>
    <x v="0"/>
    <s v="Phones"/>
    <s v="Nokia Smart Phone, Full Size"/>
    <n v="1625.24"/>
    <n v="3"/>
    <n v="0.15"/>
    <n v="-76.569999999999993"/>
    <n v="345.78"/>
    <s v="Critical"/>
    <n v="4875.72"/>
    <n v="7.3135800000000009"/>
    <n v="4522.6264200000005"/>
  </r>
  <r>
    <n v="13307"/>
    <s v="ES-2015-MB1808545-42049"/>
    <d v="2015-02-14T00:00:00"/>
    <d v="2015-02-16T00:00:00"/>
    <s v="First Class"/>
    <s v="MB-1808545"/>
    <s v="Mick Brown"/>
    <x v="0"/>
    <m/>
    <s v="Clermont-Ferrand"/>
    <s v="Auvergne"/>
    <s v="France"/>
    <x v="2"/>
    <s v="Europe"/>
    <s v="OFF-ST-6261"/>
    <x v="2"/>
    <s v="Storage"/>
    <s v="Tenex Lockers, Blue"/>
    <n v="734.94"/>
    <n v="4"/>
    <n v="0.1"/>
    <n v="130.62"/>
    <n v="344.98"/>
    <s v="Critical"/>
    <n v="2939.76"/>
    <n v="2.9397600000000006"/>
    <n v="2591.84024"/>
  </r>
  <r>
    <n v="40245"/>
    <s v="CA-2012-AS10090140-41266"/>
    <d v="2012-12-23T00:00:00"/>
    <d v="2012-12-25T00:00:00"/>
    <s v="First Class"/>
    <s v="AS-100901404"/>
    <s v="Adam Shillingsburg"/>
    <x v="0"/>
    <n v="92037"/>
    <s v="San Diego"/>
    <s v="California"/>
    <s v="United States"/>
    <x v="4"/>
    <s v="USCA"/>
    <s v="OFF-AP-3367"/>
    <x v="2"/>
    <s v="Appliances"/>
    <s v="Belkin 7-Outlet SurgeMaster Home Series"/>
    <n v="13.97"/>
    <n v="1"/>
    <n v="0"/>
    <n v="3.63"/>
    <n v="2.16"/>
    <s v="High"/>
    <n v="13.97"/>
    <n v="0"/>
    <n v="11.81"/>
  </r>
  <r>
    <n v="43307"/>
    <s v="RO-2013-DB3660107-41503"/>
    <d v="2013-08-17T00:00:00"/>
    <d v="2013-08-19T00:00:00"/>
    <s v="Second Class"/>
    <s v="DB-3660107"/>
    <s v="Duane Benoit"/>
    <x v="0"/>
    <m/>
    <s v="Buzau"/>
    <s v="Buzau"/>
    <s v="Romania"/>
    <x v="11"/>
    <s v="Europe"/>
    <s v="FUR-CH-5456"/>
    <x v="1"/>
    <s v="Chairs"/>
    <s v="Office Star Swivel Stool, Red"/>
    <n v="1391.52"/>
    <n v="8"/>
    <n v="0"/>
    <n v="69.36"/>
    <n v="344.5"/>
    <s v="Critical"/>
    <n v="11132.16"/>
    <n v="0"/>
    <n v="10787.66"/>
  </r>
  <r>
    <n v="9702"/>
    <s v="MX-2013-BG1174018-41493"/>
    <d v="2013-08-07T00:00:00"/>
    <d v="2013-08-08T00:00:00"/>
    <s v="First Class"/>
    <s v="BG-1174018"/>
    <s v="Bruce Geld"/>
    <x v="0"/>
    <m/>
    <s v="Bayeux"/>
    <s v="Paraíba"/>
    <s v="Brazil"/>
    <x v="7"/>
    <s v="LATAM"/>
    <s v="OFF-AP-4960"/>
    <x v="2"/>
    <s v="Appliances"/>
    <s v="KitchenAid Refrigerator, Black"/>
    <n v="2461.06"/>
    <n v="7"/>
    <n v="0"/>
    <n v="566.02"/>
    <n v="343.80900000000003"/>
    <s v="High"/>
    <n v="17227.419999999998"/>
    <n v="0"/>
    <n v="16883.610999999997"/>
  </r>
  <r>
    <n v="39145"/>
    <s v="CA-2014-AS10090140-41762"/>
    <d v="2014-05-03T00:00:00"/>
    <d v="2014-05-07T00:00:00"/>
    <s v="Standard Class"/>
    <s v="AS-100901402"/>
    <s v="Adam Shillingsburg"/>
    <x v="0"/>
    <n v="75061"/>
    <s v="Irving"/>
    <s v="Texas"/>
    <s v="United States"/>
    <x v="0"/>
    <s v="USCA"/>
    <s v="OFF-ST-3078"/>
    <x v="2"/>
    <s v="Storage"/>
    <s v="Akro Stacking Bins"/>
    <n v="18.940000000000001"/>
    <n v="3"/>
    <n v="0.2"/>
    <n v="-3.79"/>
    <n v="1.79"/>
    <s v="Medium"/>
    <n v="56.820000000000007"/>
    <n v="0.11364000000000002"/>
    <n v="54.916360000000012"/>
  </r>
  <r>
    <n v="22762"/>
    <s v="IN-2013-KB1631578-41495"/>
    <d v="2013-08-09T00:00:00"/>
    <d v="2013-08-11T00:00:00"/>
    <s v="First Class"/>
    <s v="KB-1631578"/>
    <s v="Karl Braun"/>
    <x v="0"/>
    <m/>
    <s v="Kuala Lumpur"/>
    <s v="Kuala Lumpur"/>
    <s v="Malaysia"/>
    <x v="17"/>
    <s v="Asia Pacific"/>
    <s v="TEC-MA-5005"/>
    <x v="0"/>
    <s v="Machines"/>
    <s v="Konica Card Printer, Wireless"/>
    <n v="1226.19"/>
    <n v="7"/>
    <n v="0"/>
    <n v="612.99"/>
    <n v="340.09"/>
    <s v="Critical"/>
    <n v="8583.33"/>
    <n v="0"/>
    <n v="8243.24"/>
  </r>
  <r>
    <n v="20867"/>
    <s v="ID-2014-PK190757-41691"/>
    <d v="2014-02-21T00:00:00"/>
    <d v="2014-02-22T00:00:00"/>
    <s v="First Class"/>
    <s v="PK-190757"/>
    <s v="Pete Kriz"/>
    <x v="0"/>
    <m/>
    <s v="Perth"/>
    <s v="Western Australia"/>
    <s v="Australia"/>
    <x v="1"/>
    <s v="Asia Pacific"/>
    <s v="FUR-TA-3359"/>
    <x v="1"/>
    <s v="Tables"/>
    <s v="Barricks Wood Table, with Bottom Storage"/>
    <n v="1809.26"/>
    <n v="5"/>
    <n v="0.3"/>
    <n v="-258.5"/>
    <n v="339.47"/>
    <s v="High"/>
    <n v="9046.2999999999993"/>
    <n v="27.1389"/>
    <n v="8679.6911"/>
  </r>
  <r>
    <n v="28836"/>
    <s v="ID-2013-CS121757-41473"/>
    <d v="2013-07-18T00:00:00"/>
    <d v="2013-07-19T00:00:00"/>
    <s v="First Class"/>
    <s v="CS-121757"/>
    <s v="Charles Sheldon"/>
    <x v="1"/>
    <m/>
    <s v="Darwin"/>
    <s v="Northern Territory"/>
    <s v="Australia"/>
    <x v="1"/>
    <s v="Asia Pacific"/>
    <s v="TEC-AC-3402"/>
    <x v="0"/>
    <s v="Accessories"/>
    <s v="Belkin Router, Bluetooth"/>
    <n v="1863"/>
    <n v="8"/>
    <n v="0.1"/>
    <n v="393.24"/>
    <n v="339.06"/>
    <s v="High"/>
    <n v="14904"/>
    <n v="14.904000000000002"/>
    <n v="14550.036"/>
  </r>
  <r>
    <n v="37405"/>
    <s v="CA-2014-AS10090140-41894"/>
    <d v="2014-09-12T00:00:00"/>
    <d v="2014-09-17T00:00:00"/>
    <s v="Standard Class"/>
    <s v="AS-100901402"/>
    <s v="Adam Shillingsburg"/>
    <x v="0"/>
    <n v="60653"/>
    <s v="Chicago"/>
    <s v="Illinois"/>
    <s v="United States"/>
    <x v="0"/>
    <s v="USCA"/>
    <s v="OFF-LA-6021"/>
    <x v="2"/>
    <s v="Labels"/>
    <s v="Smead Alpha-Z Color-Coded Name Labels First Letter Starter Set"/>
    <n v="6"/>
    <n v="2"/>
    <n v="0.2"/>
    <n v="2.1"/>
    <n v="1.46"/>
    <s v="High"/>
    <n v="12"/>
    <n v="2.4000000000000004E-2"/>
    <n v="10.516000000000002"/>
  </r>
  <r>
    <n v="12815"/>
    <s v="ES-2015-AF1088545-42103"/>
    <d v="2015-04-09T00:00:00"/>
    <d v="2015-04-12T00:00:00"/>
    <s v="First Class"/>
    <s v="AF-1088545"/>
    <s v="Art Foster"/>
    <x v="0"/>
    <m/>
    <s v="Bayeux"/>
    <s v="Normandy"/>
    <s v="France"/>
    <x v="2"/>
    <s v="Europe"/>
    <s v="OFF-ST-6049"/>
    <x v="2"/>
    <s v="Storage"/>
    <s v="Smead Lockers, Wire Frame"/>
    <n v="1244.19"/>
    <n v="7"/>
    <n v="0.1"/>
    <n v="-13.92"/>
    <n v="338.33"/>
    <s v="Critical"/>
    <n v="8709.33"/>
    <n v="8.7093299999999996"/>
    <n v="8362.2906700000003"/>
  </r>
  <r>
    <n v="16587"/>
    <s v="ES-2013-SJ2050045-41443"/>
    <d v="2013-06-18T00:00:00"/>
    <d v="2013-06-20T00:00:00"/>
    <s v="Second Class"/>
    <s v="SJ-2050045"/>
    <s v="Shirley Jackson"/>
    <x v="0"/>
    <m/>
    <s v="Lens"/>
    <s v="Nord-Pas-de-Calais-Picardie"/>
    <s v="France"/>
    <x v="2"/>
    <s v="Europe"/>
    <s v="FUR-TA-3343"/>
    <x v="1"/>
    <s v="Tables"/>
    <s v="Barricks Conference Table, Adjustable Height"/>
    <n v="2364.1"/>
    <n v="4"/>
    <n v="0.35"/>
    <n v="-218.3"/>
    <n v="338.1"/>
    <s v="Medium"/>
    <n v="9456.4"/>
    <n v="33.0974"/>
    <n v="9085.2025999999987"/>
  </r>
  <r>
    <n v="18691"/>
    <s v="ES-2014-DM1295545-42004"/>
    <d v="2014-12-31T00:00:00"/>
    <d v="2015-01-02T00:00:00"/>
    <s v="First Class"/>
    <s v="DM-1295545"/>
    <s v="Dario Medina"/>
    <x v="1"/>
    <m/>
    <s v="Lannion"/>
    <s v="Brittany"/>
    <s v="France"/>
    <x v="2"/>
    <s v="Europe"/>
    <s v="TEC-CO-4590"/>
    <x v="0"/>
    <s v="Copiers"/>
    <s v="Hewlett Wireless Fax, Color"/>
    <n v="1946.31"/>
    <n v="6"/>
    <n v="0.15"/>
    <n v="114.45"/>
    <n v="337.93"/>
    <s v="High"/>
    <n v="11677.86"/>
    <n v="17.51679"/>
    <n v="11322.413210000001"/>
  </r>
  <r>
    <n v="17534"/>
    <s v="IT-2013-CC1261048-41289"/>
    <d v="2013-01-15T00:00:00"/>
    <d v="2013-01-17T00:00:00"/>
    <s v="First Class"/>
    <s v="CC-1261048"/>
    <s v="Corey Catlett"/>
    <x v="1"/>
    <m/>
    <s v="Iserlohn"/>
    <s v="North Rhine-Westphalia"/>
    <s v="Germany"/>
    <x v="2"/>
    <s v="Europe"/>
    <s v="OFF-AP-4497"/>
    <x v="2"/>
    <s v="Appliances"/>
    <s v="Hamilton Beach Microwave, Black"/>
    <n v="2283.71"/>
    <n v="9"/>
    <n v="0.1"/>
    <n v="-0.22"/>
    <n v="337.07"/>
    <s v="High"/>
    <n v="20553.39"/>
    <n v="20.55339"/>
    <n v="20195.766609999999"/>
  </r>
  <r>
    <n v="46920"/>
    <s v="CG-2013-BW106533-41437"/>
    <d v="2013-06-12T00:00:00"/>
    <d v="2013-06-14T00:00:00"/>
    <s v="First Class"/>
    <s v="BW-106533"/>
    <s v="Barry Weirich"/>
    <x v="0"/>
    <m/>
    <s v="Kalemie"/>
    <s v="Katanga"/>
    <s v="Democratic Republic of the Congo"/>
    <x v="16"/>
    <s v="Africa"/>
    <s v="TEC-PH-5840"/>
    <x v="0"/>
    <s v="Phones"/>
    <s v="Samsung Smart Phone, Full Size"/>
    <n v="2549.7600000000002"/>
    <n v="4"/>
    <n v="0"/>
    <n v="1172.8800000000001"/>
    <n v="336.65"/>
    <s v="Medium"/>
    <n v="10199.040000000001"/>
    <n v="0"/>
    <n v="9862.3900000000012"/>
  </r>
  <r>
    <n v="20521"/>
    <s v="IN-2015-BE114557-42080"/>
    <d v="2015-03-17T00:00:00"/>
    <d v="2015-03-22T00:00:00"/>
    <s v="Second Class"/>
    <s v="BE-114557"/>
    <s v="Brad Eason"/>
    <x v="2"/>
    <m/>
    <s v="Sydney"/>
    <s v="New South Wales"/>
    <s v="Australia"/>
    <x v="1"/>
    <s v="Asia Pacific"/>
    <s v="TEC-CO-4568"/>
    <x v="0"/>
    <s v="Copiers"/>
    <s v="Hewlett Copy Machine, Color"/>
    <n v="3299.56"/>
    <n v="14"/>
    <n v="0.1"/>
    <n v="366.28"/>
    <n v="336.02"/>
    <s v="Medium"/>
    <n v="46193.84"/>
    <n v="46.193840000000002"/>
    <n v="45811.62616"/>
  </r>
  <r>
    <n v="12032"/>
    <s v="ES-2013-TG2164014-41591"/>
    <d v="2013-11-13T00:00:00"/>
    <d v="2013-11-17T00:00:00"/>
    <s v="Standard Class"/>
    <s v="TG-2164014"/>
    <s v="Trudy Glocke"/>
    <x v="0"/>
    <m/>
    <s v="Ghent"/>
    <s v="East Flanders"/>
    <s v="Belgium"/>
    <x v="2"/>
    <s v="Europe"/>
    <s v="OFF-AP-3867"/>
    <x v="2"/>
    <s v="Appliances"/>
    <s v="Cuisinart Microwave, White"/>
    <n v="2489.4"/>
    <n v="9"/>
    <n v="0"/>
    <n v="273.77999999999997"/>
    <n v="335.95"/>
    <s v="High"/>
    <n v="22404.600000000002"/>
    <n v="0"/>
    <n v="22068.65"/>
  </r>
  <r>
    <n v="11549"/>
    <s v="ES-2015-VM2168545-42140"/>
    <d v="2015-05-16T00:00:00"/>
    <d v="2015-05-19T00:00:00"/>
    <s v="First Class"/>
    <s v="VM-2168545"/>
    <s v="Valerie Mitchum"/>
    <x v="2"/>
    <m/>
    <s v="Marseille"/>
    <s v="Provence-Alpes-Côte d'Azur"/>
    <s v="France"/>
    <x v="2"/>
    <s v="Europe"/>
    <s v="FUR-BO-5971"/>
    <x v="1"/>
    <s v="Bookcases"/>
    <s v="Sauder Stackable Bookrack, Mobile"/>
    <n v="1189.24"/>
    <n v="9"/>
    <n v="0.1"/>
    <n v="250.99"/>
    <n v="334.23"/>
    <s v="High"/>
    <n v="10703.16"/>
    <n v="10.70316"/>
    <n v="10358.226840000001"/>
  </r>
  <r>
    <n v="2808"/>
    <s v="MX-2015-SC2069539-42360"/>
    <d v="2015-12-22T00:00:00"/>
    <d v="2015-12-24T00:00:00"/>
    <s v="First Class"/>
    <s v="SC-2069539"/>
    <s v="Steve Chapman"/>
    <x v="1"/>
    <m/>
    <s v="Soyapango"/>
    <s v="San Salvador"/>
    <s v="El Salvador"/>
    <x v="13"/>
    <s v="LATAM"/>
    <s v="FUR-CH-4530"/>
    <x v="1"/>
    <s v="Chairs"/>
    <s v="Harbour Creations Executive Leather Armchair, Adjustable"/>
    <n v="1269.5999999999999"/>
    <n v="4"/>
    <n v="0"/>
    <n v="355.44"/>
    <n v="333.14800000000002"/>
    <s v="High"/>
    <n v="5078.3999999999996"/>
    <n v="0"/>
    <n v="4745.2519999999995"/>
  </r>
  <r>
    <n v="29513"/>
    <s v="ID-2014-SN2056097-41896"/>
    <d v="2014-09-14T00:00:00"/>
    <d v="2014-09-14T00:00:00"/>
    <s v="Same Day"/>
    <s v="SN-2056097"/>
    <s v="Skye Norling"/>
    <x v="2"/>
    <m/>
    <s v="Lahore"/>
    <s v="Punjab"/>
    <s v="Pakistan"/>
    <x v="5"/>
    <s v="Asia Pacific"/>
    <s v="TEC-PH-3148"/>
    <x v="0"/>
    <s v="Phones"/>
    <s v="Apple Smart Phone, Full Size"/>
    <n v="3499.16"/>
    <n v="11"/>
    <n v="0.5"/>
    <n v="-3009.44"/>
    <n v="333.1"/>
    <s v="Medium"/>
    <n v="38490.759999999995"/>
    <n v="192.45379999999997"/>
    <n v="37965.206199999993"/>
  </r>
  <r>
    <n v="25671"/>
    <s v="ID-2014-CD122807-41646"/>
    <d v="2014-01-07T00:00:00"/>
    <d v="2014-01-13T00:00:00"/>
    <s v="Standard Class"/>
    <s v="CD-122807"/>
    <s v="Christina DeMoss"/>
    <x v="0"/>
    <m/>
    <s v="Sydney"/>
    <s v="New South Wales"/>
    <s v="Australia"/>
    <x v="1"/>
    <s v="Asia Pacific"/>
    <s v="FUR-TA-5059"/>
    <x v="1"/>
    <s v="Tables"/>
    <s v="Lesro Conference Table, Rectangular"/>
    <n v="2993.03"/>
    <n v="5"/>
    <n v="0.3"/>
    <n v="726.83"/>
    <n v="333.06"/>
    <s v="Medium"/>
    <n v="14965.150000000001"/>
    <n v="44.895450000000004"/>
    <n v="14587.194550000002"/>
  </r>
  <r>
    <n v="14419"/>
    <s v="ES-2015-CC1210045-42182"/>
    <d v="2015-06-27T00:00:00"/>
    <d v="2015-06-27T00:00:00"/>
    <s v="Same Day"/>
    <s v="CC-1210045"/>
    <s v="Chad Cunningham"/>
    <x v="2"/>
    <m/>
    <s v="Grenoble"/>
    <s v="Auvergne-Rhône-Alpes"/>
    <s v="France"/>
    <x v="2"/>
    <s v="Europe"/>
    <s v="TEC-CO-3595"/>
    <x v="0"/>
    <s v="Copiers"/>
    <s v="Brother Fax Machine, Color"/>
    <n v="815.95"/>
    <n v="3"/>
    <n v="0.15"/>
    <n v="287.92"/>
    <n v="333.02"/>
    <s v="Critical"/>
    <n v="2447.8500000000004"/>
    <n v="3.6717750000000007"/>
    <n v="2111.1582250000006"/>
  </r>
  <r>
    <n v="17361"/>
    <s v="ES-2013-BG1103544-41468"/>
    <d v="2013-07-13T00:00:00"/>
    <d v="2013-07-16T00:00:00"/>
    <s v="Second Class"/>
    <s v="BG-1103544"/>
    <s v="Barry Gonzalez"/>
    <x v="0"/>
    <m/>
    <s v="Espoo"/>
    <s v="Uusimaa"/>
    <s v="Finland"/>
    <x v="12"/>
    <s v="Europe"/>
    <s v="TEC-MA-5502"/>
    <x v="0"/>
    <s v="Machines"/>
    <s v="Okidata Inkjet, White"/>
    <n v="1245"/>
    <n v="4"/>
    <n v="0"/>
    <n v="161.76"/>
    <n v="332.96"/>
    <s v="Critical"/>
    <n v="4980"/>
    <n v="0"/>
    <n v="4647.04"/>
  </r>
  <r>
    <n v="30082"/>
    <s v="IN-2015-CC125507-42046"/>
    <d v="2015-02-11T00:00:00"/>
    <d v="2015-02-11T00:00:00"/>
    <s v="Same Day"/>
    <s v="CC-125507"/>
    <s v="Clay Cheatham"/>
    <x v="0"/>
    <m/>
    <s v="Whyalla"/>
    <s v="South Australia"/>
    <s v="Australia"/>
    <x v="1"/>
    <s v="Asia Pacific"/>
    <s v="TEC-CO-3706"/>
    <x v="0"/>
    <s v="Copiers"/>
    <s v="Canon Personal Copier, Laser"/>
    <n v="1027.73"/>
    <n v="8"/>
    <n v="0.1"/>
    <n v="182.69"/>
    <n v="332.2"/>
    <s v="Critical"/>
    <n v="8221.84"/>
    <n v="8.2218400000000003"/>
    <n v="7881.4181600000002"/>
  </r>
  <r>
    <n v="22207"/>
    <s v="IN-2015-AB101057-42153"/>
    <d v="2015-05-29T00:00:00"/>
    <d v="2015-06-05T00:00:00"/>
    <s v="Standard Class"/>
    <s v="AB-101057"/>
    <s v="Adrian Barton"/>
    <x v="0"/>
    <m/>
    <s v="Adelaide"/>
    <s v="South Australia"/>
    <s v="Australia"/>
    <x v="1"/>
    <s v="Asia Pacific"/>
    <s v="TEC-CO-3609"/>
    <x v="0"/>
    <s v="Copiers"/>
    <s v="Brother Wireless Fax, Digital"/>
    <n v="1703.03"/>
    <n v="5"/>
    <n v="0.1"/>
    <n v="737.93"/>
    <n v="332.14"/>
    <s v="Low"/>
    <n v="8515.15"/>
    <n v="8.5151500000000002"/>
    <n v="8174.49485"/>
  </r>
  <r>
    <n v="29552"/>
    <s v="IN-2015-SV2078559-42110"/>
    <d v="2015-04-16T00:00:00"/>
    <d v="2015-04-18T00:00:00"/>
    <s v="Second Class"/>
    <s v="SV-2078559"/>
    <s v="Stewart Visinsky"/>
    <x v="0"/>
    <m/>
    <s v="Medan"/>
    <s v="Sumatera Utara"/>
    <s v="Indonesia"/>
    <x v="17"/>
    <s v="Asia Pacific"/>
    <s v="OFF-ST-6049"/>
    <x v="2"/>
    <s v="Storage"/>
    <s v="Smead Lockers, Wire Frame"/>
    <n v="1803.08"/>
    <n v="11"/>
    <n v="0.17"/>
    <n v="-130.38999999999999"/>
    <n v="332.13"/>
    <s v="High"/>
    <n v="19833.879999999997"/>
    <n v="33.717596"/>
    <n v="19468.032403999998"/>
  </r>
  <r>
    <n v="17894"/>
    <s v="ES-2015-HW1493545-42335"/>
    <d v="2015-11-27T00:00:00"/>
    <d v="2015-11-29T00:00:00"/>
    <s v="First Class"/>
    <s v="HW-1493545"/>
    <s v="Helen Wasserman"/>
    <x v="1"/>
    <m/>
    <s v="Ivry-sur-Seine"/>
    <s v="Ile-de-France"/>
    <s v="France"/>
    <x v="2"/>
    <s v="Europe"/>
    <s v="FUR-BO-5798"/>
    <x v="1"/>
    <s v="Bookcases"/>
    <s v="Safco Stackable Bookrack, Pine"/>
    <n v="676.49"/>
    <n v="5"/>
    <n v="0.1"/>
    <n v="195.29"/>
    <n v="330.51"/>
    <s v="Critical"/>
    <n v="3382.45"/>
    <n v="3.38245"/>
    <n v="3048.5575499999995"/>
  </r>
  <r>
    <n v="20583"/>
    <s v="IN-2012-AS1028558-41221"/>
    <d v="2012-11-08T00:00:00"/>
    <d v="2012-11-10T00:00:00"/>
    <s v="First Class"/>
    <s v="AS-1028558"/>
    <s v="Alejandro Savely"/>
    <x v="1"/>
    <m/>
    <s v="Kanpur"/>
    <s v="Uttar Pradesh"/>
    <s v="India"/>
    <x v="5"/>
    <s v="Asia Pacific"/>
    <s v="FUR-CH-5447"/>
    <x v="1"/>
    <s v="Chairs"/>
    <s v="Office Star Rocking Chair, Black"/>
    <n v="969.36"/>
    <n v="7"/>
    <n v="0"/>
    <n v="348.81"/>
    <n v="330.01"/>
    <s v="Critical"/>
    <n v="6785.52"/>
    <n v="0"/>
    <n v="6455.51"/>
  </r>
  <r>
    <n v="13924"/>
    <s v="ES-2015-LD1685545-42265"/>
    <d v="2015-09-18T00:00:00"/>
    <d v="2015-09-18T00:00:00"/>
    <s v="Same Day"/>
    <s v="LD-1685545"/>
    <s v="Lela Donovan"/>
    <x v="1"/>
    <m/>
    <s v="Saint-Laurent-du-Var"/>
    <s v="Provence-Alpes-Côte d'Azur"/>
    <s v="France"/>
    <x v="2"/>
    <s v="Europe"/>
    <s v="FUR-BO-3639"/>
    <x v="1"/>
    <s v="Bookcases"/>
    <s v="Bush Library with Doors, Metal"/>
    <n v="1637.01"/>
    <n v="5"/>
    <n v="0.1"/>
    <n v="90.81"/>
    <n v="329.73"/>
    <s v="High"/>
    <n v="8185.05"/>
    <n v="8.1850500000000004"/>
    <n v="7847.1349499999997"/>
  </r>
  <r>
    <n v="9294"/>
    <s v="MX-2015-NS1850528-42059"/>
    <d v="2015-02-24T00:00:00"/>
    <d v="2015-02-27T00:00:00"/>
    <s v="First Class"/>
    <s v="NS-1850528"/>
    <s v="Neola Schneider"/>
    <x v="0"/>
    <m/>
    <s v="Cartagena"/>
    <s v="Bolívar"/>
    <s v="Colombia"/>
    <x v="7"/>
    <s v="LATAM"/>
    <s v="TEC-CO-6010"/>
    <x v="0"/>
    <s v="Copiers"/>
    <s v="Sharp Wireless Fax, Digital"/>
    <n v="1655.96"/>
    <n v="7"/>
    <n v="2E-3"/>
    <n v="13.2"/>
    <n v="329.577"/>
    <s v="High"/>
    <n v="11591.720000000001"/>
    <n v="0.23183440000000005"/>
    <n v="11261.911165600002"/>
  </r>
  <r>
    <n v="4116"/>
    <s v="MX-2014-CM1271582-41885"/>
    <d v="2014-09-03T00:00:00"/>
    <d v="2014-09-05T00:00:00"/>
    <s v="First Class"/>
    <s v="CM-1271582"/>
    <s v="Craig Molinari"/>
    <x v="1"/>
    <m/>
    <s v="Cancún"/>
    <s v="Quintana Roo"/>
    <s v="Mexico"/>
    <x v="13"/>
    <s v="LATAM"/>
    <s v="FUR-CH-5379"/>
    <x v="1"/>
    <s v="Chairs"/>
    <s v="Novimex Executive Leather Armchair, Black"/>
    <n v="976.96"/>
    <n v="4"/>
    <n v="0.2"/>
    <n v="232"/>
    <n v="328.65899999999999"/>
    <s v="Critical"/>
    <n v="3907.84"/>
    <n v="7.8156800000000013"/>
    <n v="3571.3653199999999"/>
  </r>
  <r>
    <n v="20795"/>
    <s v="IN-2014-VG2180527-41996"/>
    <d v="2014-12-23T00:00:00"/>
    <d v="2014-12-25T00:00:00"/>
    <s v="First Class"/>
    <s v="VG-2180527"/>
    <s v="Vivek Grady"/>
    <x v="1"/>
    <m/>
    <s v="Harbin"/>
    <s v="Heilongjiang"/>
    <s v="China"/>
    <x v="8"/>
    <s v="Asia Pacific"/>
    <s v="FUR-BO-3641"/>
    <x v="1"/>
    <s v="Bookcases"/>
    <s v="Bush Library with Doors, Pine"/>
    <n v="731.34"/>
    <n v="2"/>
    <n v="0"/>
    <n v="175.5"/>
    <n v="328.35"/>
    <s v="Critical"/>
    <n v="1462.68"/>
    <n v="0"/>
    <n v="1134.33"/>
  </r>
  <r>
    <n v="42763"/>
    <s v="GH-2015-JD606049-42172"/>
    <d v="2015-06-17T00:00:00"/>
    <d v="2015-06-19T00:00:00"/>
    <s v="First Class"/>
    <s v="JD-606049"/>
    <s v="Julia Dunbar"/>
    <x v="0"/>
    <m/>
    <s v="Kumasi"/>
    <s v="Ashanti"/>
    <s v="Ghana"/>
    <x v="3"/>
    <s v="Africa"/>
    <s v="OFF-AP-4956"/>
    <x v="2"/>
    <s v="Appliances"/>
    <s v="KitchenAid Microwave, Black"/>
    <n v="1239"/>
    <n v="4"/>
    <n v="0"/>
    <n v="0"/>
    <n v="327.94"/>
    <s v="Critical"/>
    <n v="4956"/>
    <n v="0"/>
    <n v="4628.0600000000004"/>
  </r>
  <r>
    <n v="26473"/>
    <s v="ID-2015-MG17680144-42078"/>
    <d v="2015-03-15T00:00:00"/>
    <d v="2015-03-17T00:00:00"/>
    <s v="Second Class"/>
    <s v="MG-17680144"/>
    <s v="Maureen Gastineau"/>
    <x v="2"/>
    <m/>
    <s v="Ho Chi Minh City"/>
    <s v="Ho Chí Minh City"/>
    <s v="Vietnam"/>
    <x v="17"/>
    <s v="Asia Pacific"/>
    <s v="FUR-CH-5378"/>
    <x v="1"/>
    <s v="Chairs"/>
    <s v="Novimex Executive Leather Armchair, Adjustable"/>
    <n v="1680.61"/>
    <n v="5"/>
    <n v="0.27"/>
    <n v="368.26"/>
    <n v="327.81"/>
    <s v="High"/>
    <n v="8403.0499999999993"/>
    <n v="22.688234999999999"/>
    <n v="8052.5517649999992"/>
  </r>
  <r>
    <n v="27819"/>
    <s v="IN-2015-CD1228058-42197"/>
    <d v="2015-07-12T00:00:00"/>
    <d v="2015-07-13T00:00:00"/>
    <s v="First Class"/>
    <s v="CD-1228058"/>
    <s v="Christina DeMoss"/>
    <x v="0"/>
    <m/>
    <s v="Delhi"/>
    <s v="Delhi"/>
    <s v="India"/>
    <x v="5"/>
    <s v="Asia Pacific"/>
    <s v="FUR-BO-5763"/>
    <x v="1"/>
    <s v="Bookcases"/>
    <s v="Safco Classic Bookcase, Traditional"/>
    <n v="2190.75"/>
    <n v="5"/>
    <n v="0"/>
    <n v="65.7"/>
    <n v="327.55"/>
    <s v="Medium"/>
    <n v="10953.75"/>
    <n v="0"/>
    <n v="10626.2"/>
  </r>
  <r>
    <n v="13350"/>
    <s v="ES-2015-DB13210139-42164"/>
    <d v="2015-06-09T00:00:00"/>
    <d v="2015-06-12T00:00:00"/>
    <s v="First Class"/>
    <s v="DB-13210139"/>
    <s v="Dean Braden"/>
    <x v="0"/>
    <m/>
    <s v="London"/>
    <s v="England"/>
    <s v="United Kingdom"/>
    <x v="12"/>
    <s v="Europe"/>
    <s v="TEC-MA-4206"/>
    <x v="0"/>
    <s v="Machines"/>
    <s v="Epson Printer, Red"/>
    <n v="935.17"/>
    <n v="4"/>
    <n v="0.1"/>
    <n v="114.25"/>
    <n v="327.11"/>
    <s v="Critical"/>
    <n v="3740.68"/>
    <n v="3.7406799999999998"/>
    <n v="3409.8293199999998"/>
  </r>
  <r>
    <n v="16761"/>
    <s v="ES-2015-CS118608-42292"/>
    <d v="2015-10-15T00:00:00"/>
    <d v="2015-10-17T00:00:00"/>
    <s v="Second Class"/>
    <s v="CS-118608"/>
    <s v="Cari Schnelling"/>
    <x v="0"/>
    <m/>
    <s v="Vienna"/>
    <s v="Vienna"/>
    <s v="Austria"/>
    <x v="2"/>
    <s v="Europe"/>
    <s v="OFF-ST-4057"/>
    <x v="2"/>
    <s v="Storage"/>
    <s v="Eldon File Cart, Single Width"/>
    <n v="1026.96"/>
    <n v="8"/>
    <n v="0"/>
    <n v="441.36"/>
    <n v="326.35000000000002"/>
    <s v="Critical"/>
    <n v="8215.68"/>
    <n v="0"/>
    <n v="7889.33"/>
  </r>
  <r>
    <n v="21010"/>
    <s v="IN-2015-AF1088558-42222"/>
    <d v="2015-08-06T00:00:00"/>
    <d v="2015-08-09T00:00:00"/>
    <s v="Second Class"/>
    <s v="AF-1088558"/>
    <s v="Art Foster"/>
    <x v="0"/>
    <m/>
    <s v="Salem"/>
    <s v="Tamil Nadu"/>
    <s v="India"/>
    <x v="5"/>
    <s v="Asia Pacific"/>
    <s v="TEC-PH-3148"/>
    <x v="0"/>
    <s v="Phones"/>
    <s v="Apple Smart Phone, Full Size"/>
    <n v="2550"/>
    <n v="4"/>
    <n v="0"/>
    <n v="280.44"/>
    <n v="326.32"/>
    <s v="High"/>
    <n v="10200"/>
    <n v="0"/>
    <n v="9873.68"/>
  </r>
  <r>
    <n v="27825"/>
    <s v="ID-2013-BN11470130-41633"/>
    <d v="2013-12-25T00:00:00"/>
    <d v="2013-12-28T00:00:00"/>
    <s v="Second Class"/>
    <s v="BN-11470130"/>
    <s v="Brad Norvell"/>
    <x v="1"/>
    <m/>
    <s v="Bangkok"/>
    <s v="Bangkok"/>
    <s v="Thailand"/>
    <x v="17"/>
    <s v="Asia Pacific"/>
    <s v="TEC-PH-5267"/>
    <x v="0"/>
    <s v="Phones"/>
    <s v="Motorola Smart Phone, Cordless"/>
    <n v="2667.54"/>
    <n v="5"/>
    <n v="0.17"/>
    <n v="-417.81"/>
    <n v="326.27"/>
    <s v="Medium"/>
    <n v="13337.7"/>
    <n v="22.67409"/>
    <n v="12988.75591"/>
  </r>
  <r>
    <n v="17478"/>
    <s v="ES-2013-GG1465045-41615"/>
    <d v="2013-12-07T00:00:00"/>
    <d v="2013-12-07T00:00:00"/>
    <s v="Same Day"/>
    <s v="GG-1465045"/>
    <s v="Greg Guthrie"/>
    <x v="1"/>
    <m/>
    <s v="Angers"/>
    <s v="Pays de la Loire"/>
    <s v="France"/>
    <x v="2"/>
    <s v="Europe"/>
    <s v="TEC-CO-4792"/>
    <x v="0"/>
    <s v="Copiers"/>
    <s v="HP Wireless Fax, Laser"/>
    <n v="1224.71"/>
    <n v="4"/>
    <n v="0.15"/>
    <n v="-129.72999999999999"/>
    <n v="326.27"/>
    <s v="High"/>
    <n v="4898.84"/>
    <n v="7.3482599999999998"/>
    <n v="4565.2217400000009"/>
  </r>
  <r>
    <n v="44597"/>
    <s v="IR-2014-BS166560-41807"/>
    <d v="2014-06-17T00:00:00"/>
    <d v="2014-06-18T00:00:00"/>
    <s v="First Class"/>
    <s v="BS-166560"/>
    <s v="Brian Stugart"/>
    <x v="0"/>
    <m/>
    <s v="Khorramabad"/>
    <s v="Lorestan"/>
    <s v="Iran"/>
    <x v="5"/>
    <s v="Asia Pacific"/>
    <s v="OFF-ST-5700"/>
    <x v="2"/>
    <s v="Storage"/>
    <s v="Rogers Lockers, Blue"/>
    <n v="2962.68"/>
    <n v="14"/>
    <n v="0"/>
    <n v="207.06"/>
    <n v="325.93"/>
    <s v="Medium"/>
    <n v="41477.519999999997"/>
    <n v="0"/>
    <n v="41151.589999999997"/>
  </r>
  <r>
    <n v="20408"/>
    <s v="IN-2015-AC1045058-42311"/>
    <d v="2015-11-03T00:00:00"/>
    <d v="2015-11-07T00:00:00"/>
    <s v="Standard Class"/>
    <s v="AC-1045058"/>
    <s v="Amy Cox"/>
    <x v="0"/>
    <m/>
    <s v="Chennai"/>
    <s v="Tamil Nadu"/>
    <s v="India"/>
    <x v="5"/>
    <s v="Asia Pacific"/>
    <s v="FUR-TA-4711"/>
    <x v="1"/>
    <s v="Tables"/>
    <s v="Hon Wood Table, Fully Assembled"/>
    <n v="2664"/>
    <n v="5"/>
    <n v="0"/>
    <n v="905.7"/>
    <n v="325.54000000000002"/>
    <s v="Medium"/>
    <n v="13320"/>
    <n v="0"/>
    <n v="12994.46"/>
  </r>
  <r>
    <n v="12983"/>
    <s v="ES-2013-CK1220564-41422"/>
    <d v="2013-05-28T00:00:00"/>
    <d v="2013-05-31T00:00:00"/>
    <s v="First Class"/>
    <s v="CK-1220564"/>
    <s v="Chloris Kastensmidt"/>
    <x v="0"/>
    <m/>
    <s v="Barletta"/>
    <s v="Apulia"/>
    <s v="Italy"/>
    <x v="9"/>
    <s v="Europe"/>
    <s v="TEC-CO-4592"/>
    <x v="0"/>
    <s v="Copiers"/>
    <s v="Hewlett Wireless Fax, High-Speed"/>
    <n v="1513.56"/>
    <n v="4"/>
    <n v="0"/>
    <n v="741.6"/>
    <n v="325.45"/>
    <s v="Critical"/>
    <n v="6054.24"/>
    <n v="0"/>
    <n v="5728.79"/>
  </r>
  <r>
    <n v="13735"/>
    <s v="ES-2014-JD16150139-41868"/>
    <d v="2014-08-17T00:00:00"/>
    <d v="2014-08-20T00:00:00"/>
    <s v="Second Class"/>
    <s v="JD-16150139"/>
    <s v="Justin Deggeller"/>
    <x v="1"/>
    <m/>
    <s v="Tamworth"/>
    <s v="England"/>
    <s v="United Kingdom"/>
    <x v="12"/>
    <s v="Europe"/>
    <s v="FUR-BO-4848"/>
    <x v="1"/>
    <s v="Bookcases"/>
    <s v="Ikea Classic Bookcase, Metal"/>
    <n v="1233.6300000000001"/>
    <n v="3"/>
    <n v="0"/>
    <n v="234.36"/>
    <n v="325.32"/>
    <s v="Critical"/>
    <n v="3700.8900000000003"/>
    <n v="0"/>
    <n v="3375.57"/>
  </r>
  <r>
    <n v="48022"/>
    <s v="UP-2012-CC2550137-41062"/>
    <d v="2012-06-02T00:00:00"/>
    <d v="2012-06-04T00:00:00"/>
    <s v="First Class"/>
    <s v="CC-2550137"/>
    <s v="Clay Cheatham"/>
    <x v="0"/>
    <m/>
    <s v="Kharkiv"/>
    <s v="Kharkiv"/>
    <s v="Ukraine"/>
    <x v="11"/>
    <s v="Europe"/>
    <s v="FUR-TA-5059"/>
    <x v="1"/>
    <s v="Tables"/>
    <s v="Lesro Conference Table, Rectangular"/>
    <n v="855.15"/>
    <n v="1"/>
    <n v="0"/>
    <n v="384.81"/>
    <n v="325.04000000000002"/>
    <s v="Critical"/>
    <n v="855.15"/>
    <n v="0"/>
    <n v="530.1099999999999"/>
  </r>
  <r>
    <n v="14389"/>
    <s v="IT-2012-MS17830139-41103"/>
    <d v="2012-07-13T00:00:00"/>
    <d v="2012-07-14T00:00:00"/>
    <s v="First Class"/>
    <s v="MS-17830139"/>
    <s v="Melanie Seite"/>
    <x v="0"/>
    <m/>
    <s v="London"/>
    <s v="England"/>
    <s v="United Kingdom"/>
    <x v="12"/>
    <s v="Europe"/>
    <s v="TEC-MA-5511"/>
    <x v="0"/>
    <s v="Machines"/>
    <s v="Okidata Printer, Red"/>
    <n v="956.34"/>
    <n v="4"/>
    <n v="0.1"/>
    <n v="-95.7"/>
    <n v="324.98"/>
    <s v="Critical"/>
    <n v="3825.36"/>
    <n v="3.8253600000000008"/>
    <n v="3496.5546400000003"/>
  </r>
  <r>
    <n v="10404"/>
    <s v="ES-2012-GT14710120-41198"/>
    <d v="2012-10-16T00:00:00"/>
    <d v="2012-10-23T00:00:00"/>
    <s v="Standard Class"/>
    <s v="GT-14710120"/>
    <s v="Greg Tran"/>
    <x v="0"/>
    <m/>
    <s v="Barcelona"/>
    <s v="Catalonia"/>
    <s v="Spain"/>
    <x v="9"/>
    <s v="Europe"/>
    <s v="FUR-CH-4654"/>
    <x v="1"/>
    <s v="Chairs"/>
    <s v="Hon Executive Leather Armchair, Adjustable"/>
    <n v="1838.52"/>
    <n v="5"/>
    <n v="0.2"/>
    <n v="160.77000000000001"/>
    <n v="324.08999999999997"/>
    <s v="Low"/>
    <n v="9192.6"/>
    <n v="18.385200000000001"/>
    <n v="8850.1247999999996"/>
  </r>
  <r>
    <n v="20974"/>
    <s v="IN-2012-CL1270058-41226"/>
    <d v="2012-11-13T00:00:00"/>
    <d v="2012-11-19T00:00:00"/>
    <s v="Standard Class"/>
    <s v="CL-1270058"/>
    <s v="Craig Leslie"/>
    <x v="2"/>
    <m/>
    <s v="Kulti"/>
    <s v="West Bengal"/>
    <s v="India"/>
    <x v="5"/>
    <s v="Asia Pacific"/>
    <s v="TEC-PH-5268"/>
    <x v="0"/>
    <s v="Phones"/>
    <s v="Motorola Smart Phone, Full Size"/>
    <n v="4498.83"/>
    <n v="7"/>
    <n v="0"/>
    <n v="674.73"/>
    <n v="323.75"/>
    <s v="Medium"/>
    <n v="31491.809999999998"/>
    <n v="0"/>
    <n v="31168.059999999998"/>
  </r>
  <r>
    <n v="18458"/>
    <s v="ES-2015-MM1792045-42199"/>
    <d v="2015-07-14T00:00:00"/>
    <d v="2015-07-18T00:00:00"/>
    <s v="Second Class"/>
    <s v="MM-1792045"/>
    <s v="Michael Moore"/>
    <x v="0"/>
    <m/>
    <s v="Le Mans"/>
    <s v="Pays de la Loire"/>
    <s v="France"/>
    <x v="2"/>
    <s v="Europe"/>
    <s v="TEC-PH-3805"/>
    <x v="0"/>
    <s v="Phones"/>
    <s v="Cisco Smart Phone, Cordless"/>
    <n v="1824.14"/>
    <n v="8"/>
    <n v="0.65"/>
    <n v="-1303.06"/>
    <n v="321.54000000000002"/>
    <s v="High"/>
    <n v="14593.12"/>
    <n v="94.855280000000008"/>
    <n v="14176.72472"/>
  </r>
  <r>
    <n v="8295"/>
    <s v="MX-2015-CM1216093-42158"/>
    <d v="2015-06-03T00:00:00"/>
    <d v="2015-06-05T00:00:00"/>
    <s v="First Class"/>
    <s v="CM-1216093"/>
    <s v="Charles McCrossin"/>
    <x v="0"/>
    <m/>
    <s v="Managua"/>
    <s v="Managua"/>
    <s v="Nicaragua"/>
    <x v="13"/>
    <s v="LATAM"/>
    <s v="FUR-BO-5762"/>
    <x v="1"/>
    <s v="Bookcases"/>
    <s v="Safco Classic Bookcase, Pine"/>
    <n v="2344"/>
    <n v="8"/>
    <n v="0"/>
    <n v="46.88"/>
    <n v="321.42099999999999"/>
    <s v="High"/>
    <n v="18752"/>
    <n v="0"/>
    <n v="18430.579000000002"/>
  </r>
  <r>
    <n v="22899"/>
    <s v="IN-2015-DB1306027-42353"/>
    <d v="2015-12-15T00:00:00"/>
    <d v="2015-12-17T00:00:00"/>
    <s v="Second Class"/>
    <s v="DB-1306027"/>
    <s v="Dave Brooks"/>
    <x v="0"/>
    <m/>
    <s v="Mianyang"/>
    <s v="Sichuan"/>
    <s v="China"/>
    <x v="8"/>
    <s v="Asia Pacific"/>
    <s v="TEC-PH-5263"/>
    <x v="0"/>
    <s v="Phones"/>
    <s v="Motorola Signal Booster, Cordless"/>
    <n v="2043.72"/>
    <n v="14"/>
    <n v="0"/>
    <n v="756"/>
    <n v="321.36"/>
    <s v="High"/>
    <n v="28612.080000000002"/>
    <n v="0"/>
    <n v="28290.720000000001"/>
  </r>
  <r>
    <n v="50603"/>
    <s v="MZ-2015-JW522087-42183"/>
    <d v="2015-06-28T00:00:00"/>
    <d v="2015-06-28T00:00:00"/>
    <s v="Same Day"/>
    <s v="JW-522087"/>
    <s v="Jane Waco"/>
    <x v="1"/>
    <m/>
    <s v="Maputo"/>
    <s v="Cidade De Maputo"/>
    <s v="Mozambique"/>
    <x v="10"/>
    <s v="Africa"/>
    <s v="OFF-ST-5708"/>
    <x v="2"/>
    <s v="Storage"/>
    <s v="Rogers Shelving, Wire Frame"/>
    <n v="856.8"/>
    <n v="14"/>
    <n v="0"/>
    <n v="265.44"/>
    <n v="321.23"/>
    <s v="Critical"/>
    <n v="11995.199999999999"/>
    <n v="0"/>
    <n v="11673.97"/>
  </r>
  <r>
    <n v="3904"/>
    <s v="US-2015-BN1147082-42358"/>
    <d v="2015-12-20T00:00:00"/>
    <d v="2015-12-24T00:00:00"/>
    <s v="Standard Class"/>
    <s v="BN-1147082"/>
    <s v="Brad Norvell"/>
    <x v="1"/>
    <m/>
    <s v="Cadereyta"/>
    <s v="Nuevo León"/>
    <s v="Mexico"/>
    <x v="13"/>
    <s v="LATAM"/>
    <s v="OFF-AP-3872"/>
    <x v="2"/>
    <s v="Appliances"/>
    <s v="Cuisinart Stove, Black"/>
    <n v="2509.36"/>
    <n v="7"/>
    <n v="0"/>
    <n v="426.58"/>
    <n v="320.95600000000002"/>
    <s v="High"/>
    <n v="17565.52"/>
    <n v="0"/>
    <n v="17244.564000000002"/>
  </r>
  <r>
    <n v="29555"/>
    <s v="IN-2013-JC157757-41310"/>
    <d v="2013-02-05T00:00:00"/>
    <d v="2013-02-08T00:00:00"/>
    <s v="First Class"/>
    <s v="JC-157757"/>
    <s v="John Castell"/>
    <x v="0"/>
    <m/>
    <s v="Bundaberg"/>
    <s v="Queensland"/>
    <s v="Australia"/>
    <x v="1"/>
    <s v="Asia Pacific"/>
    <s v="FUR-CH-5378"/>
    <x v="1"/>
    <s v="Chairs"/>
    <s v="Novimex Executive Leather Armchair, Adjustable"/>
    <n v="819.94"/>
    <n v="2"/>
    <n v="0.1"/>
    <n v="191.32"/>
    <n v="320.92"/>
    <s v="Critical"/>
    <n v="1639.88"/>
    <n v="1.6398800000000002"/>
    <n v="1317.3201200000001"/>
  </r>
  <r>
    <n v="6826"/>
    <s v="MX-2012-HL1504093-40929"/>
    <d v="2012-01-21T00:00:00"/>
    <d v="2012-01-27T00:00:00"/>
    <s v="Standard Class"/>
    <s v="HL-1504093"/>
    <s v="Hunter Lopez"/>
    <x v="0"/>
    <m/>
    <s v="Managua"/>
    <s v="Managua"/>
    <s v="Nicaragua"/>
    <x v="13"/>
    <s v="LATAM"/>
    <s v="FUR-TA-3764"/>
    <x v="1"/>
    <s v="Tables"/>
    <s v="Chromcraft Conference Table, Fully Assembled"/>
    <n v="2797.25"/>
    <n v="6"/>
    <n v="0.2"/>
    <n v="-7.0000000000000007E-2"/>
    <n v="320.37599999999998"/>
    <s v="Low"/>
    <n v="16783.5"/>
    <n v="33.567"/>
    <n v="16429.557000000001"/>
  </r>
  <r>
    <n v="5112"/>
    <s v="MX-2013-LH1690018-41489"/>
    <d v="2013-08-03T00:00:00"/>
    <d v="2013-08-05T00:00:00"/>
    <s v="First Class"/>
    <s v="LH-1690018"/>
    <s v="Lena Hernandez"/>
    <x v="0"/>
    <m/>
    <s v="Valparaíso de Goiás"/>
    <s v="Goiás"/>
    <s v="Brazil"/>
    <x v="7"/>
    <s v="LATAM"/>
    <s v="OFF-ST-6046"/>
    <x v="2"/>
    <s v="Storage"/>
    <s v="Smead Lockers, Blue"/>
    <n v="1455.08"/>
    <n v="11"/>
    <n v="0"/>
    <n v="261.8"/>
    <n v="320.29000000000002"/>
    <s v="Medium"/>
    <n v="16005.88"/>
    <n v="0"/>
    <n v="15685.589999999998"/>
  </r>
  <r>
    <n v="21391"/>
    <s v="ID-2015-DV1304559-42304"/>
    <d v="2015-10-27T00:00:00"/>
    <d v="2015-10-31T00:00:00"/>
    <s v="Second Class"/>
    <s v="DV-1304559"/>
    <s v="Darrin Van Huff"/>
    <x v="1"/>
    <m/>
    <s v="Manado"/>
    <s v="Sulawesi Utara"/>
    <s v="Indonesia"/>
    <x v="17"/>
    <s v="Asia Pacific"/>
    <s v="FUR-BO-5786"/>
    <x v="1"/>
    <s v="Bookcases"/>
    <s v="Safco Library with Doors, Mobile"/>
    <n v="2189.09"/>
    <n v="6"/>
    <n v="7.0000000000000007E-2"/>
    <n v="541.37"/>
    <n v="320.27999999999997"/>
    <s v="High"/>
    <n v="13134.54"/>
    <n v="9.1941780000000008"/>
    <n v="12805.065822"/>
  </r>
  <r>
    <n v="28557"/>
    <s v="IN-2013-BT1153058-41331"/>
    <d v="2013-02-26T00:00:00"/>
    <d v="2013-03-04T00:00:00"/>
    <s v="Standard Class"/>
    <s v="BT-1153058"/>
    <s v="Bradley Talbott"/>
    <x v="2"/>
    <m/>
    <s v="Muzaffarpur"/>
    <s v="Bihar"/>
    <s v="India"/>
    <x v="5"/>
    <s v="Asia Pacific"/>
    <s v="FUR-TA-3344"/>
    <x v="1"/>
    <s v="Tables"/>
    <s v="Barricks Conference Table, Fully Assembled"/>
    <n v="5451.3"/>
    <n v="6"/>
    <n v="0"/>
    <n v="327.06"/>
    <n v="320.27"/>
    <s v="Medium"/>
    <n v="32707.800000000003"/>
    <n v="0"/>
    <n v="32387.530000000002"/>
  </r>
  <r>
    <n v="43344"/>
    <s v="IR-2013-BM165060-41436"/>
    <d v="2013-06-11T00:00:00"/>
    <d v="2013-06-12T00:00:00"/>
    <s v="First Class"/>
    <s v="BM-165060"/>
    <s v="Brian Moss"/>
    <x v="1"/>
    <m/>
    <s v="Kermanshah"/>
    <s v="Kermanshah"/>
    <s v="Iran"/>
    <x v="5"/>
    <s v="Asia Pacific"/>
    <s v="TEC-PH-5269"/>
    <x v="0"/>
    <s v="Phones"/>
    <s v="Motorola Smart Phone, with Caller ID"/>
    <n v="1291.08"/>
    <n v="2"/>
    <n v="0"/>
    <n v="296.94"/>
    <n v="319.58"/>
    <s v="Critical"/>
    <n v="2582.16"/>
    <n v="0"/>
    <n v="2262.58"/>
  </r>
  <r>
    <n v="26889"/>
    <s v="IN-2012-MG1820558-40962"/>
    <d v="2012-02-23T00:00:00"/>
    <d v="2012-02-26T00:00:00"/>
    <s v="First Class"/>
    <s v="MG-1820558"/>
    <s v="Mitch Gastineau"/>
    <x v="1"/>
    <m/>
    <s v="Thane"/>
    <s v="Maharashtra"/>
    <s v="India"/>
    <x v="5"/>
    <s v="Asia Pacific"/>
    <s v="TEC-CO-4590"/>
    <x v="0"/>
    <s v="Copiers"/>
    <s v="Hewlett Wireless Fax, Color"/>
    <n v="1526.52"/>
    <n v="4"/>
    <n v="0"/>
    <n v="732.72"/>
    <n v="319.52999999999997"/>
    <s v="High"/>
    <n v="6106.08"/>
    <n v="0"/>
    <n v="5786.55"/>
  </r>
  <r>
    <n v="480"/>
    <s v="MX-2014-FC1424528-41840"/>
    <d v="2014-07-20T00:00:00"/>
    <d v="2014-07-27T00:00:00"/>
    <s v="Standard Class"/>
    <s v="FC-1424528"/>
    <s v="Frank Carlisle"/>
    <x v="2"/>
    <m/>
    <s v="Piedecuesta"/>
    <s v="Santander"/>
    <s v="Colombia"/>
    <x v="7"/>
    <s v="LATAM"/>
    <s v="FUR-CH-5442"/>
    <x v="1"/>
    <s v="Chairs"/>
    <s v="Office Star Executive Leather Armchair, Black"/>
    <n v="1869.72"/>
    <n v="6"/>
    <n v="0"/>
    <n v="205.56"/>
    <n v="318.16899999999998"/>
    <s v="Low"/>
    <n v="11218.32"/>
    <n v="0"/>
    <n v="10900.151"/>
  </r>
  <r>
    <n v="9263"/>
    <s v="MX-2014-TT2122051-41727"/>
    <d v="2014-03-29T00:00:00"/>
    <d v="2014-04-01T00:00:00"/>
    <s v="Second Class"/>
    <s v="TT-2122051"/>
    <s v="Thomas Thornton"/>
    <x v="0"/>
    <m/>
    <s v="Mixco"/>
    <s v="Guatemala"/>
    <s v="Guatemala"/>
    <x v="13"/>
    <s v="LATAM"/>
    <s v="FUR-BO-5968"/>
    <x v="1"/>
    <s v="Bookcases"/>
    <s v="Sauder Library with Doors, Pine"/>
    <n v="1815.24"/>
    <n v="7"/>
    <n v="0"/>
    <n v="471.94"/>
    <n v="318.08"/>
    <s v="High"/>
    <n v="12706.68"/>
    <n v="0"/>
    <n v="12388.6"/>
  </r>
  <r>
    <n v="27724"/>
    <s v="IN-2015-CY1274558-42300"/>
    <d v="2015-10-23T00:00:00"/>
    <d v="2015-10-25T00:00:00"/>
    <s v="First Class"/>
    <s v="CY-1274558"/>
    <s v="Craig Yedwab"/>
    <x v="1"/>
    <m/>
    <s v="Bangalore"/>
    <s v="Karnataka"/>
    <s v="India"/>
    <x v="5"/>
    <s v="Asia Pacific"/>
    <s v="TEC-CO-4578"/>
    <x v="0"/>
    <s v="Copiers"/>
    <s v="Hewlett Fax Machine, Laser"/>
    <n v="959.76"/>
    <n v="3"/>
    <n v="0"/>
    <n v="460.62"/>
    <n v="317.81"/>
    <s v="Critical"/>
    <n v="2879.2799999999997"/>
    <n v="0"/>
    <n v="2561.4699999999998"/>
  </r>
  <r>
    <n v="4402"/>
    <s v="MX-2015-SJ2021582-42179"/>
    <d v="2015-06-24T00:00:00"/>
    <d v="2015-06-26T00:00:00"/>
    <s v="Second Class"/>
    <s v="SJ-2021582"/>
    <s v="Sarah Jordon"/>
    <x v="0"/>
    <m/>
    <s v="Mexico City"/>
    <s v="Distrito Federal"/>
    <s v="Mexico"/>
    <x v="13"/>
    <s v="LATAM"/>
    <s v="TEC-PH-3806"/>
    <x v="0"/>
    <s v="Phones"/>
    <s v="Cisco Smart Phone, Full Size"/>
    <n v="3045.84"/>
    <n v="7"/>
    <n v="0"/>
    <n v="1035.58"/>
    <n v="317.16500000000002"/>
    <s v="High"/>
    <n v="21320.880000000001"/>
    <n v="0"/>
    <n v="21003.715"/>
  </r>
  <r>
    <n v="5051"/>
    <s v="MX-2014-PB1880593-41942"/>
    <d v="2014-10-30T00:00:00"/>
    <d v="2014-11-05T00:00:00"/>
    <s v="Standard Class"/>
    <s v="PB-1880593"/>
    <s v="Patrick Bzostek"/>
    <x v="2"/>
    <m/>
    <s v="Managua"/>
    <s v="Managua"/>
    <s v="Nicaragua"/>
    <x v="13"/>
    <s v="LATAM"/>
    <s v="TEC-PH-3148"/>
    <x v="0"/>
    <s v="Phones"/>
    <s v="Apple Smart Phone, Full Size"/>
    <n v="2125"/>
    <n v="5"/>
    <n v="0"/>
    <n v="297.5"/>
    <n v="316.76400000000001"/>
    <s v="Low"/>
    <n v="10625"/>
    <n v="0"/>
    <n v="10308.236000000001"/>
  </r>
  <r>
    <n v="23634"/>
    <s v="IN-2014-RW1969027-41763"/>
    <d v="2014-05-04T00:00:00"/>
    <d v="2014-05-06T00:00:00"/>
    <s v="First Class"/>
    <s v="RW-1969027"/>
    <s v="Robert Waldorf"/>
    <x v="0"/>
    <m/>
    <s v="Xiamen"/>
    <s v="Fujian"/>
    <s v="China"/>
    <x v="8"/>
    <s v="Asia Pacific"/>
    <s v="TEC-CO-3688"/>
    <x v="0"/>
    <s v="Copiers"/>
    <s v="Canon Fax Machine, High-Speed"/>
    <n v="1266.3599999999999"/>
    <n v="4"/>
    <n v="0"/>
    <n v="265.92"/>
    <n v="316.58999999999997"/>
    <s v="High"/>
    <n v="5065.4399999999996"/>
    <n v="0"/>
    <n v="4748.8499999999995"/>
  </r>
  <r>
    <n v="48565"/>
    <s v="ZA-2012-DB3360146-41159"/>
    <d v="2012-09-07T00:00:00"/>
    <d v="2012-09-09T00:00:00"/>
    <s v="Second Class"/>
    <s v="DB-3360146"/>
    <s v="Dennis Bolton"/>
    <x v="2"/>
    <m/>
    <s v="Kitwe"/>
    <s v="Copperbelt"/>
    <s v="Zambia"/>
    <x v="10"/>
    <s v="Africa"/>
    <s v="FUR-TA-3442"/>
    <x v="1"/>
    <s v="Tables"/>
    <s v="Bevis Wood Table, with Bottom Storage"/>
    <n v="2134.44"/>
    <n v="4"/>
    <n v="0"/>
    <n v="682.92"/>
    <n v="315.57"/>
    <s v="Critical"/>
    <n v="8537.76"/>
    <n v="0"/>
    <n v="8222.19"/>
  </r>
  <r>
    <n v="10620"/>
    <s v="ES-2013-DK1315048-41386"/>
    <d v="2013-04-22T00:00:00"/>
    <d v="2013-04-26T00:00:00"/>
    <s v="Standard Class"/>
    <s v="DK-1315048"/>
    <s v="David Kendrick"/>
    <x v="1"/>
    <m/>
    <s v="Berlin"/>
    <s v="Berlin"/>
    <s v="Germany"/>
    <x v="2"/>
    <s v="Europe"/>
    <s v="TEC-CO-3709"/>
    <x v="0"/>
    <s v="Copiers"/>
    <s v="Canon Wireless Fax, High-Speed"/>
    <n v="4748.4399999999996"/>
    <n v="14"/>
    <n v="0.1"/>
    <n v="844.12"/>
    <n v="315.29000000000002"/>
    <s v="Medium"/>
    <n v="66478.159999999989"/>
    <n v="66.478159999999988"/>
    <n v="66096.391839999997"/>
  </r>
  <r>
    <n v="49848"/>
    <s v="SF-2014-RW9540117-41942"/>
    <d v="2014-10-30T00:00:00"/>
    <d v="2014-11-04T00:00:00"/>
    <s v="Second Class"/>
    <s v="RW-9540117"/>
    <s v="Rick Wilson"/>
    <x v="1"/>
    <m/>
    <s v="Cape Town"/>
    <s v="Western Cape"/>
    <s v="South Africa"/>
    <x v="20"/>
    <s v="Africa"/>
    <s v="TEC-MA-5502"/>
    <x v="0"/>
    <s v="Machines"/>
    <s v="Okidata Inkjet, White"/>
    <n v="1867.5"/>
    <n v="6"/>
    <n v="0"/>
    <n v="242.64"/>
    <n v="314.81"/>
    <s v="High"/>
    <n v="11205"/>
    <n v="0"/>
    <n v="10890.19"/>
  </r>
  <r>
    <n v="22108"/>
    <s v="IN-2012-PS1904527-41014"/>
    <d v="2012-04-15T00:00:00"/>
    <d v="2012-04-16T00:00:00"/>
    <s v="First Class"/>
    <s v="PS-1904527"/>
    <s v="Penelope Sewall"/>
    <x v="2"/>
    <m/>
    <s v="Jieyang"/>
    <s v="Guangdong"/>
    <s v="China"/>
    <x v="8"/>
    <s v="Asia Pacific"/>
    <s v="FUR-CH-5411"/>
    <x v="1"/>
    <s v="Chairs"/>
    <s v="Novimex Swivel Stool, Adjustable"/>
    <n v="1001.7"/>
    <n v="6"/>
    <n v="0"/>
    <n v="250.38"/>
    <n v="314.7"/>
    <s v="High"/>
    <n v="6010.2000000000007"/>
    <n v="0"/>
    <n v="5695.5000000000009"/>
  </r>
  <r>
    <n v="40336"/>
    <s v="CA-2014-AB10105140-41991"/>
    <d v="2014-12-18T00:00:00"/>
    <d v="2014-12-22T00:00:00"/>
    <s v="Standard Class"/>
    <s v="AB-101051402"/>
    <s v="Adrian Barton"/>
    <x v="0"/>
    <n v="48205"/>
    <s v="Detroit"/>
    <s v="Michigan"/>
    <s v="United States"/>
    <x v="0"/>
    <s v="USCA"/>
    <s v="OFF-BI-4345"/>
    <x v="2"/>
    <s v="Binders"/>
    <s v="GBC Ibimaster 500 Manual ProClick Binding System"/>
    <n v="9892.74"/>
    <n v="13"/>
    <n v="0"/>
    <n v="4946.37"/>
    <n v="498.7"/>
    <s v="Medium"/>
    <n v="128605.62"/>
    <n v="0"/>
    <n v="128106.92"/>
  </r>
  <r>
    <n v="29593"/>
    <s v="IN-2015-MO1780066-42308"/>
    <d v="2015-10-31T00:00:00"/>
    <d v="2015-11-04T00:00:00"/>
    <s v="Standard Class"/>
    <s v="MO-1780066"/>
    <s v="Meg O'Connel"/>
    <x v="2"/>
    <m/>
    <s v="Hamamatsu"/>
    <s v="Shizuoka"/>
    <s v="Japan"/>
    <x v="8"/>
    <s v="Asia Pacific"/>
    <s v="OFF-AP-3873"/>
    <x v="2"/>
    <s v="Appliances"/>
    <s v="Cuisinart Stove, Red"/>
    <n v="4306.32"/>
    <n v="8"/>
    <n v="0"/>
    <n v="1722.48"/>
    <n v="314.14999999999998"/>
    <s v="Medium"/>
    <n v="34450.559999999998"/>
    <n v="0"/>
    <n v="34136.409999999996"/>
  </r>
  <r>
    <n v="24338"/>
    <s v="IN-2014-NF1847527-41741"/>
    <d v="2014-04-12T00:00:00"/>
    <d v="2014-04-14T00:00:00"/>
    <s v="First Class"/>
    <s v="NF-1847527"/>
    <s v="Neil Französisch"/>
    <x v="2"/>
    <m/>
    <s v="Ningbo"/>
    <s v="Zhejiang"/>
    <s v="China"/>
    <x v="8"/>
    <s v="Asia Pacific"/>
    <s v="OFF-AP-3573"/>
    <x v="2"/>
    <s v="Appliances"/>
    <s v="Breville Microwave, White"/>
    <n v="899.55"/>
    <n v="3"/>
    <n v="0"/>
    <n v="323.82"/>
    <n v="313.70999999999998"/>
    <s v="Critical"/>
    <n v="2698.6499999999996"/>
    <n v="0"/>
    <n v="2384.9399999999996"/>
  </r>
  <r>
    <n v="21510"/>
    <s v="IN-2014-MR1754558-41954"/>
    <d v="2014-11-11T00:00:00"/>
    <d v="2014-11-11T00:00:00"/>
    <s v="Same Day"/>
    <s v="MR-1754558"/>
    <s v="Mathew Reese"/>
    <x v="2"/>
    <m/>
    <s v="Jodhpur"/>
    <s v="Rajasthan"/>
    <s v="India"/>
    <x v="5"/>
    <s v="Asia Pacific"/>
    <s v="TEC-CO-3683"/>
    <x v="0"/>
    <s v="Copiers"/>
    <s v="Canon Fax and Copier, Digital"/>
    <n v="763.92"/>
    <n v="4"/>
    <n v="0"/>
    <n v="381.96"/>
    <n v="313.66000000000003"/>
    <s v="Critical"/>
    <n v="3055.68"/>
    <n v="0"/>
    <n v="2742.02"/>
  </r>
  <r>
    <n v="16814"/>
    <s v="IT-2013-CB1241548-41560"/>
    <d v="2013-10-13T00:00:00"/>
    <d v="2013-10-17T00:00:00"/>
    <s v="Standard Class"/>
    <s v="CB-1241548"/>
    <s v="Christy Brittain"/>
    <x v="0"/>
    <m/>
    <s v="Weimar"/>
    <s v="Thuringia"/>
    <s v="Germany"/>
    <x v="2"/>
    <s v="Europe"/>
    <s v="TEC-PH-5355"/>
    <x v="0"/>
    <s v="Phones"/>
    <s v="Nokia Smart Phone, Full Size"/>
    <n v="2544.2399999999998"/>
    <n v="4"/>
    <n v="0"/>
    <n v="1093.92"/>
    <n v="313.58"/>
    <s v="High"/>
    <n v="10176.959999999999"/>
    <n v="0"/>
    <n v="9863.3799999999992"/>
  </r>
  <r>
    <n v="30674"/>
    <s v="ID-2013-LC1705092-41560"/>
    <d v="2013-10-13T00:00:00"/>
    <d v="2013-10-16T00:00:00"/>
    <s v="Second Class"/>
    <s v="LC-1705092"/>
    <s v="Liz Carlisle"/>
    <x v="0"/>
    <m/>
    <s v="Auckland"/>
    <s v="Auckland"/>
    <s v="New Zealand"/>
    <x v="1"/>
    <s v="Asia Pacific"/>
    <s v="FUR-CH-4531"/>
    <x v="1"/>
    <s v="Chairs"/>
    <s v="Harbour Creations Executive Leather Armchair, Black"/>
    <n v="1136.6600000000001"/>
    <n v="4"/>
    <n v="0.4"/>
    <n v="-189.46"/>
    <n v="313.52"/>
    <s v="Critical"/>
    <n v="4546.6400000000003"/>
    <n v="18.18656"/>
    <n v="4214.9334400000007"/>
  </r>
  <r>
    <n v="27537"/>
    <s v="IN-2015-RA1988527-42034"/>
    <d v="2015-01-30T00:00:00"/>
    <d v="2015-02-03T00:00:00"/>
    <s v="Standard Class"/>
    <s v="RA-1988527"/>
    <s v="Ruben Ausman"/>
    <x v="1"/>
    <m/>
    <s v="Beijing"/>
    <s v="Beijing"/>
    <s v="China"/>
    <x v="8"/>
    <s v="Asia Pacific"/>
    <s v="FUR-CH-5380"/>
    <x v="1"/>
    <s v="Chairs"/>
    <s v="Novimex Executive Leather Armchair, Red"/>
    <n v="2301"/>
    <n v="5"/>
    <n v="0"/>
    <n v="91.95"/>
    <n v="313.45"/>
    <s v="High"/>
    <n v="11505"/>
    <n v="0"/>
    <n v="11191.55"/>
  </r>
  <r>
    <n v="43180"/>
    <s v="CG-2013-MG814533-41559"/>
    <d v="2013-10-12T00:00:00"/>
    <d v="2013-10-16T00:00:00"/>
    <s v="Second Class"/>
    <s v="MG-814533"/>
    <s v="Mike Gockenbach"/>
    <x v="0"/>
    <m/>
    <s v="Lubumbashi"/>
    <s v="Katanga"/>
    <s v="Democratic Republic of the Congo"/>
    <x v="16"/>
    <s v="Africa"/>
    <s v="TEC-PH-3805"/>
    <x v="0"/>
    <s v="Phones"/>
    <s v="Cisco Smart Phone, Cordless"/>
    <n v="3908.88"/>
    <n v="6"/>
    <n v="0"/>
    <n v="1563.48"/>
    <n v="313.31"/>
    <s v="Medium"/>
    <n v="23453.279999999999"/>
    <n v="0"/>
    <n v="23139.969999999998"/>
  </r>
  <r>
    <n v="35208"/>
    <s v="CA-2015-AB10105140-42161"/>
    <d v="2015-06-06T00:00:00"/>
    <d v="2015-06-07T00:00:00"/>
    <s v="First Class"/>
    <s v="AB-101051402"/>
    <s v="Adrian Barton"/>
    <x v="0"/>
    <n v="77581"/>
    <s v="Pearland"/>
    <s v="Texas"/>
    <s v="United States"/>
    <x v="0"/>
    <s v="USCA"/>
    <s v="TEC-PH-5089"/>
    <x v="0"/>
    <s v="Phones"/>
    <s v="LG G3"/>
    <n v="470.38"/>
    <n v="3"/>
    <n v="0.2"/>
    <n v="52.92"/>
    <n v="137.41"/>
    <s v="High"/>
    <n v="1411.1399999999999"/>
    <n v="2.8222800000000001"/>
    <n v="1270.9077199999997"/>
  </r>
  <r>
    <n v="33848"/>
    <s v="CA-2015-AB10105140-42328"/>
    <d v="2015-11-20T00:00:00"/>
    <d v="2015-11-24T00:00:00"/>
    <s v="Standard Class"/>
    <s v="AB-101051408"/>
    <s v="Adrian Barton"/>
    <x v="0"/>
    <n v="42420"/>
    <s v="Henderson"/>
    <s v="Kentucky"/>
    <s v="United States"/>
    <x v="18"/>
    <s v="USCA"/>
    <s v="FUR-FU-2871"/>
    <x v="1"/>
    <s v="Furnishings"/>
    <s v="3M Polarizing Task Lamp with Clamp Arm, Light Gray"/>
    <n v="821.88"/>
    <n v="6"/>
    <n v="0"/>
    <n v="213.69"/>
    <n v="83.56"/>
    <s v="Medium"/>
    <n v="4931.28"/>
    <n v="0"/>
    <n v="4847.7199999999993"/>
  </r>
  <r>
    <n v="26224"/>
    <s v="ID-2014-EM1396058-41901"/>
    <d v="2014-09-19T00:00:00"/>
    <d v="2014-09-23T00:00:00"/>
    <s v="Standard Class"/>
    <s v="EM-1396058"/>
    <s v="Eric Murdock"/>
    <x v="0"/>
    <m/>
    <s v="Nagpur"/>
    <s v="Maharashtra"/>
    <s v="India"/>
    <x v="5"/>
    <s v="Asia Pacific"/>
    <s v="OFF-AP-3580"/>
    <x v="2"/>
    <s v="Appliances"/>
    <s v="Breville Stove, Silver"/>
    <n v="2249.16"/>
    <n v="4"/>
    <n v="0"/>
    <n v="224.88"/>
    <n v="311.14"/>
    <s v="High"/>
    <n v="8996.64"/>
    <n v="0"/>
    <n v="8685.5"/>
  </r>
  <r>
    <n v="7454"/>
    <s v="MX-2013-DJ1342082-41639"/>
    <d v="2013-12-31T00:00:00"/>
    <d v="2014-01-05T00:00:00"/>
    <s v="Standard Class"/>
    <s v="DJ-1342082"/>
    <s v="Denny Joy"/>
    <x v="1"/>
    <m/>
    <s v="Villahermosa"/>
    <s v="Tabasco"/>
    <s v="Mexico"/>
    <x v="13"/>
    <s v="LATAM"/>
    <s v="OFF-AP-4505"/>
    <x v="2"/>
    <s v="Appliances"/>
    <s v="Hamilton Beach Stove, Black"/>
    <n v="2528.2600000000002"/>
    <n v="7"/>
    <n v="0"/>
    <n v="176.96"/>
    <n v="310.74799999999999"/>
    <s v="High"/>
    <n v="17697.82"/>
    <n v="0"/>
    <n v="17387.072"/>
  </r>
  <r>
    <n v="12080"/>
    <s v="ES-2015-CD1192045-42367"/>
    <d v="2015-12-29T00:00:00"/>
    <d v="2015-12-31T00:00:00"/>
    <s v="Second Class"/>
    <s v="CD-1192045"/>
    <s v="Carlos Daly"/>
    <x v="0"/>
    <m/>
    <s v="Oyonnax"/>
    <s v="Auvergne-Rhône-Alpes"/>
    <s v="France"/>
    <x v="2"/>
    <s v="Europe"/>
    <s v="FUR-TA-5064"/>
    <x v="1"/>
    <s v="Tables"/>
    <s v="Lesro Round Table, Rectangular"/>
    <n v="1461.14"/>
    <n v="5"/>
    <n v="0.35"/>
    <n v="202.19"/>
    <n v="310.17"/>
    <s v="High"/>
    <n v="7305.7000000000007"/>
    <n v="25.569949999999999"/>
    <n v="6969.9600500000006"/>
  </r>
  <r>
    <n v="3149"/>
    <s v="MX-2014-BO1142582-41958"/>
    <d v="2014-11-15T00:00:00"/>
    <d v="2014-11-19T00:00:00"/>
    <s v="Standard Class"/>
    <s v="BO-1142582"/>
    <s v="Bobby Odegard"/>
    <x v="0"/>
    <m/>
    <s v="Metepec"/>
    <s v="México"/>
    <s v="Mexico"/>
    <x v="13"/>
    <s v="LATAM"/>
    <s v="TEC-PH-3806"/>
    <x v="0"/>
    <s v="Phones"/>
    <s v="Cisco Smart Phone, Full Size"/>
    <n v="3045.84"/>
    <n v="7"/>
    <n v="0"/>
    <n v="1035.58"/>
    <n v="309.74799999999999"/>
    <s v="High"/>
    <n v="21320.880000000001"/>
    <n v="0"/>
    <n v="21011.132000000001"/>
  </r>
  <r>
    <n v="35580"/>
    <s v="CA-2012-AB10105140-41262"/>
    <d v="2012-12-19T00:00:00"/>
    <d v="2012-12-22T00:00:00"/>
    <s v="First Class"/>
    <s v="AB-101051402"/>
    <s v="Adrian Barton"/>
    <x v="0"/>
    <n v="46203"/>
    <s v="Indianapolis"/>
    <s v="Indiana"/>
    <s v="United States"/>
    <x v="0"/>
    <s v="USCA"/>
    <s v="OFF-BI-4827"/>
    <x v="2"/>
    <s v="Binders"/>
    <s v="Ibico Ibimaster 300 Manual Binding System"/>
    <n v="1103.97"/>
    <n v="3"/>
    <n v="0"/>
    <n v="496.79"/>
    <n v="63.82"/>
    <s v="Medium"/>
    <n v="3311.91"/>
    <n v="0"/>
    <n v="3248.0899999999997"/>
  </r>
  <r>
    <n v="36011"/>
    <s v="CA-2015-AB10105140-42143"/>
    <d v="2015-05-19T00:00:00"/>
    <d v="2015-05-21T00:00:00"/>
    <s v="First Class"/>
    <s v="AB-101051404"/>
    <s v="Adrian Barton"/>
    <x v="0"/>
    <n v="97206"/>
    <s v="Portland"/>
    <s v="Oregon"/>
    <s v="United States"/>
    <x v="4"/>
    <s v="USCA"/>
    <s v="TEC-PH-2879"/>
    <x v="0"/>
    <s v="Phones"/>
    <s v="Aastra 6757i CT Wireless VoIP phone"/>
    <n v="344.7"/>
    <n v="2"/>
    <n v="0.2"/>
    <n v="38.78"/>
    <n v="48.59"/>
    <s v="Medium"/>
    <n v="689.4"/>
    <n v="1.3788"/>
    <n v="639.43119999999999"/>
  </r>
  <r>
    <n v="29277"/>
    <s v="ID-2015-KM16720102-42255"/>
    <d v="2015-09-08T00:00:00"/>
    <d v="2015-09-11T00:00:00"/>
    <s v="First Class"/>
    <s v="KM-16720102"/>
    <s v="Kunst Miller"/>
    <x v="0"/>
    <m/>
    <s v="Manila"/>
    <s v="National Capital"/>
    <s v="Philippines"/>
    <x v="17"/>
    <s v="Asia Pacific"/>
    <s v="FUR-BO-3626"/>
    <x v="1"/>
    <s v="Bookcases"/>
    <s v="Bush Classic Bookcase, Pine"/>
    <n v="2152.96"/>
    <n v="8"/>
    <n v="0.35"/>
    <n v="198.64"/>
    <n v="309.11"/>
    <s v="Medium"/>
    <n v="17223.68"/>
    <n v="60.282879999999999"/>
    <n v="16854.287120000001"/>
  </r>
  <r>
    <n v="12329"/>
    <s v="ES-2014-SV2078545-41807"/>
    <d v="2014-06-17T00:00:00"/>
    <d v="2014-06-19T00:00:00"/>
    <s v="First Class"/>
    <s v="SV-2078545"/>
    <s v="Stewart Visinsky"/>
    <x v="0"/>
    <m/>
    <s v="Antony"/>
    <s v="Ile-de-France"/>
    <s v="France"/>
    <x v="2"/>
    <s v="Europe"/>
    <s v="TEC-AC-5136"/>
    <x v="0"/>
    <s v="Accessories"/>
    <s v="Logitech Router, Programmable"/>
    <n v="1244.0999999999999"/>
    <n v="5"/>
    <n v="0"/>
    <n v="447.75"/>
    <n v="309"/>
    <s v="High"/>
    <n v="6220.5"/>
    <n v="0"/>
    <n v="5911.5"/>
  </r>
  <r>
    <n v="4891"/>
    <s v="MX-2012-BG1169582-41250"/>
    <d v="2012-12-07T00:00:00"/>
    <d v="2012-12-07T00:00:00"/>
    <s v="Same Day"/>
    <s v="BG-1169582"/>
    <s v="Brooke Gillingham"/>
    <x v="1"/>
    <m/>
    <s v="Culiacán"/>
    <s v="Sinaloa"/>
    <s v="Mexico"/>
    <x v="13"/>
    <s v="LATAM"/>
    <s v="FUR-CH-5773"/>
    <x v="1"/>
    <s v="Chairs"/>
    <s v="SAFCO Executive Leather Armchair, Adjustable"/>
    <n v="2226.8200000000002"/>
    <n v="9"/>
    <n v="0.2"/>
    <n v="500.98"/>
    <n v="308.65800000000002"/>
    <s v="High"/>
    <n v="20041.38"/>
    <n v="40.08276"/>
    <n v="19692.63924"/>
  </r>
  <r>
    <n v="20557"/>
    <s v="IN-2015-CS121307-42266"/>
    <d v="2015-09-19T00:00:00"/>
    <d v="2015-09-21T00:00:00"/>
    <s v="Second Class"/>
    <s v="CS-121307"/>
    <s v="Chad Sievert"/>
    <x v="0"/>
    <m/>
    <s v="Melbourne"/>
    <s v="Victoria"/>
    <s v="Australia"/>
    <x v="1"/>
    <s v="Asia Pacific"/>
    <s v="FUR-BO-5761"/>
    <x v="1"/>
    <s v="Bookcases"/>
    <s v="Safco Classic Bookcase, Mobile"/>
    <n v="1586.41"/>
    <n v="4"/>
    <n v="0.1"/>
    <n v="17.53"/>
    <n v="307.98"/>
    <s v="High"/>
    <n v="6345.64"/>
    <n v="6.3456400000000004"/>
    <n v="6031.3143600000003"/>
  </r>
  <r>
    <n v="32706"/>
    <s v="US-2014-AB10105140-41908"/>
    <d v="2014-09-26T00:00:00"/>
    <d v="2014-10-01T00:00:00"/>
    <s v="Standard Class"/>
    <s v="AB-101051404"/>
    <s v="Adrian Barton"/>
    <x v="0"/>
    <n v="85023"/>
    <s v="Phoenix"/>
    <s v="Arizona"/>
    <s v="United States"/>
    <x v="4"/>
    <s v="USCA"/>
    <s v="FUR-TA-3412"/>
    <x v="1"/>
    <s v="Tables"/>
    <s v="Bevis Boat-Shaped Conference Table"/>
    <n v="393.17"/>
    <n v="3"/>
    <n v="0.5"/>
    <n v="-204.45"/>
    <n v="22.1"/>
    <s v="Medium"/>
    <n v="1179.51"/>
    <n v="5.8975499999999998"/>
    <n v="1151.5124500000002"/>
  </r>
  <r>
    <n v="42472"/>
    <s v="IZ-2015-BD163561-42045"/>
    <d v="2015-02-10T00:00:00"/>
    <d v="2015-02-14T00:00:00"/>
    <s v="Standard Class"/>
    <s v="BD-163561"/>
    <s v="Brian Derr"/>
    <x v="0"/>
    <m/>
    <s v="Al Amarah"/>
    <s v="Maysan"/>
    <s v="Iraq"/>
    <x v="6"/>
    <s v="Asia Pacific"/>
    <s v="OFF-AP-4966"/>
    <x v="2"/>
    <s v="Appliances"/>
    <s v="KitchenAid Stove, Silver"/>
    <n v="3425.4"/>
    <n v="6"/>
    <n v="0"/>
    <n v="1233"/>
    <n v="307.83"/>
    <s v="High"/>
    <n v="20552.400000000001"/>
    <n v="0"/>
    <n v="20244.57"/>
  </r>
  <r>
    <n v="18030"/>
    <s v="ES-2015-RF19345120-42043"/>
    <d v="2015-02-08T00:00:00"/>
    <d v="2015-02-11T00:00:00"/>
    <s v="First Class"/>
    <s v="RF-19345120"/>
    <s v="Randy Ferguson"/>
    <x v="1"/>
    <m/>
    <s v="Barcelona"/>
    <s v="Catalonia"/>
    <s v="Spain"/>
    <x v="9"/>
    <s v="Europe"/>
    <s v="OFF-AP-4743"/>
    <x v="2"/>
    <s v="Appliances"/>
    <s v="Hoover Stove, Red"/>
    <n v="1136.94"/>
    <n v="2"/>
    <n v="0"/>
    <n v="568.44000000000005"/>
    <n v="307.43"/>
    <s v="High"/>
    <n v="2273.88"/>
    <n v="0"/>
    <n v="1966.45"/>
  </r>
  <r>
    <n v="21339"/>
    <s v="ID-2014-JE1616559-41856"/>
    <d v="2014-08-05T00:00:00"/>
    <d v="2014-08-07T00:00:00"/>
    <s v="First Class"/>
    <s v="JE-1616559"/>
    <s v="Justin Ellison"/>
    <x v="1"/>
    <m/>
    <s v="Jakarta"/>
    <s v="Jakarta"/>
    <s v="Indonesia"/>
    <x v="17"/>
    <s v="Asia Pacific"/>
    <s v="FUR-BO-3642"/>
    <x v="1"/>
    <s v="Bookcases"/>
    <s v="Bush Library with Doors, Traditional"/>
    <n v="677.64"/>
    <n v="2"/>
    <n v="7.0000000000000007E-2"/>
    <n v="211.26"/>
    <n v="307.25"/>
    <s v="Critical"/>
    <n v="1355.28"/>
    <n v="0.94869600000000009"/>
    <n v="1047.081304"/>
  </r>
  <r>
    <n v="45460"/>
    <s v="IR-2015-MG768060-42109"/>
    <d v="2015-04-15T00:00:00"/>
    <d v="2015-04-18T00:00:00"/>
    <s v="First Class"/>
    <s v="MG-768060"/>
    <s v="Maureen Gastineau"/>
    <x v="2"/>
    <m/>
    <s v="Mashhad"/>
    <s v="Razavi Khorasan"/>
    <s v="Iran"/>
    <x v="5"/>
    <s v="Asia Pacific"/>
    <s v="FUR-BO-3641"/>
    <x v="1"/>
    <s v="Bookcases"/>
    <s v="Bush Library with Doors, Pine"/>
    <n v="731.34"/>
    <n v="2"/>
    <n v="0"/>
    <n v="80.400000000000006"/>
    <n v="305.98"/>
    <s v="Critical"/>
    <n v="1462.68"/>
    <n v="0"/>
    <n v="1156.7"/>
  </r>
  <r>
    <n v="40403"/>
    <s v="CA-2013-AB10105140-41585"/>
    <d v="2013-11-07T00:00:00"/>
    <d v="2013-11-12T00:00:00"/>
    <s v="Standard Class"/>
    <s v="AB-101051402"/>
    <s v="Adrian Barton"/>
    <x v="0"/>
    <n v="77041"/>
    <s v="Houston"/>
    <s v="Texas"/>
    <s v="United States"/>
    <x v="0"/>
    <s v="USCA"/>
    <s v="TEC-MA-3700"/>
    <x v="0"/>
    <s v="Machines"/>
    <s v="Canon PC170 Desktop Personal Copier"/>
    <n v="287.91000000000003"/>
    <n v="3"/>
    <n v="0.4"/>
    <n v="33.590000000000003"/>
    <n v="18.309999999999999"/>
    <s v="Medium"/>
    <n v="863.73"/>
    <n v="3.45492"/>
    <n v="841.96508000000006"/>
  </r>
  <r>
    <n v="20424"/>
    <s v="IN-2015-CC1247558-42129"/>
    <d v="2015-05-05T00:00:00"/>
    <d v="2015-05-07T00:00:00"/>
    <s v="Second Class"/>
    <s v="CC-1247558"/>
    <s v="Cindy Chapman"/>
    <x v="0"/>
    <m/>
    <s v="Bhavnagar"/>
    <s v="Gujarat"/>
    <s v="India"/>
    <x v="5"/>
    <s v="Asia Pacific"/>
    <s v="TEC-CO-3596"/>
    <x v="0"/>
    <s v="Copiers"/>
    <s v="Brother Fax Machine, Digital"/>
    <n v="1272.72"/>
    <n v="4"/>
    <n v="0"/>
    <n v="534.48"/>
    <n v="305.27"/>
    <s v="High"/>
    <n v="5090.88"/>
    <n v="0"/>
    <n v="4785.6100000000006"/>
  </r>
  <r>
    <n v="14311"/>
    <s v="ES-2014-LT1676564-41947"/>
    <d v="2014-11-04T00:00:00"/>
    <d v="2014-11-06T00:00:00"/>
    <s v="Second Class"/>
    <s v="LT-1676564"/>
    <s v="Larry Tron"/>
    <x v="0"/>
    <m/>
    <s v="Rome"/>
    <s v="Lazio"/>
    <s v="Italy"/>
    <x v="9"/>
    <s v="Europe"/>
    <s v="OFF-AP-4732"/>
    <x v="2"/>
    <s v="Appliances"/>
    <s v="Hoover Microwave, Silver"/>
    <n v="1856.34"/>
    <n v="6"/>
    <n v="0"/>
    <n v="909.54"/>
    <n v="305.25"/>
    <s v="Critical"/>
    <n v="11138.039999999999"/>
    <n v="0"/>
    <n v="10832.789999999999"/>
  </r>
  <r>
    <n v="17539"/>
    <s v="ES-2015-FH14365120-42165"/>
    <d v="2015-06-10T00:00:00"/>
    <d v="2015-06-12T00:00:00"/>
    <s v="First Class"/>
    <s v="FH-14365120"/>
    <s v="Fred Hopkins"/>
    <x v="1"/>
    <m/>
    <s v="Palma de Mallorca"/>
    <s v="Balearic Islands"/>
    <s v="Spain"/>
    <x v="9"/>
    <s v="Europe"/>
    <s v="TEC-PH-3148"/>
    <x v="0"/>
    <s v="Phones"/>
    <s v="Apple Smart Phone, Full Size"/>
    <n v="2295"/>
    <n v="4"/>
    <n v="0.1"/>
    <n v="459"/>
    <n v="305.2"/>
    <s v="Medium"/>
    <n v="9180"/>
    <n v="9.18"/>
    <n v="8865.619999999999"/>
  </r>
  <r>
    <n v="11156"/>
    <s v="ES-2013-BF1097545-41517"/>
    <d v="2013-08-31T00:00:00"/>
    <d v="2013-09-02T00:00:00"/>
    <s v="Second Class"/>
    <s v="BF-1097545"/>
    <s v="Barbara Fisher"/>
    <x v="1"/>
    <m/>
    <s v="Saint-Priest"/>
    <s v="Auvergne-Rhône-Alpes"/>
    <s v="France"/>
    <x v="2"/>
    <s v="Europe"/>
    <s v="TEC-PH-5354"/>
    <x v="0"/>
    <s v="Phones"/>
    <s v="Nokia Smart Phone, Cordless"/>
    <n v="1622.18"/>
    <n v="3"/>
    <n v="0.15"/>
    <n v="324.38"/>
    <n v="305.16000000000003"/>
    <s v="Critical"/>
    <n v="4866.54"/>
    <n v="7.2998099999999999"/>
    <n v="4554.0801899999997"/>
  </r>
  <r>
    <n v="23192"/>
    <s v="IN-2014-CJ1201027-41810"/>
    <d v="2014-06-20T00:00:00"/>
    <d v="2014-06-22T00:00:00"/>
    <s v="Second Class"/>
    <s v="CJ-1201027"/>
    <s v="Caroline Jumper"/>
    <x v="0"/>
    <m/>
    <s v="Anshan"/>
    <s v="Liaoning"/>
    <s v="China"/>
    <x v="8"/>
    <s v="Asia Pacific"/>
    <s v="TEC-PH-3802"/>
    <x v="0"/>
    <s v="Phones"/>
    <s v="Cisco Signal Booster, VoIP"/>
    <n v="1063.44"/>
    <n v="7"/>
    <n v="0"/>
    <n v="361.41"/>
    <n v="304.95"/>
    <s v="Critical"/>
    <n v="7444.08"/>
    <n v="0"/>
    <n v="7139.13"/>
  </r>
  <r>
    <n v="41919"/>
    <s v="HU-2015-SH997557-42239"/>
    <d v="2015-08-23T00:00:00"/>
    <d v="2015-08-28T00:00:00"/>
    <s v="Standard Class"/>
    <s v="SH-997557"/>
    <s v="Sally Hughsby"/>
    <x v="1"/>
    <m/>
    <s v="Gyor"/>
    <s v="Gyor"/>
    <s v="Hungary"/>
    <x v="11"/>
    <s v="Europe"/>
    <s v="TEC-AC-5226"/>
    <x v="0"/>
    <s v="Accessories"/>
    <s v="Memorex Router, USB"/>
    <n v="3449.88"/>
    <n v="14"/>
    <n v="0"/>
    <n v="275.94"/>
    <n v="304.75"/>
    <s v="Medium"/>
    <n v="48298.32"/>
    <n v="0"/>
    <n v="47993.57"/>
  </r>
  <r>
    <n v="3700"/>
    <s v="US-2013-SL2015582-41422"/>
    <d v="2013-05-28T00:00:00"/>
    <d v="2013-05-29T00:00:00"/>
    <s v="First Class"/>
    <s v="SL-2015582"/>
    <s v="Sara Luxemburg"/>
    <x v="2"/>
    <m/>
    <s v="Coyoacán"/>
    <s v="Distrito Federal"/>
    <s v="Mexico"/>
    <x v="13"/>
    <s v="LATAM"/>
    <s v="FUR-BO-4861"/>
    <x v="1"/>
    <s v="Bookcases"/>
    <s v="Ikea Library with Doors, Mobile"/>
    <n v="585.46"/>
    <n v="3"/>
    <n v="0.2"/>
    <n v="-0.02"/>
    <n v="304.52999999999997"/>
    <s v="Critical"/>
    <n v="1756.38"/>
    <n v="3.5127600000000005"/>
    <n v="1448.3372400000001"/>
  </r>
  <r>
    <n v="44276"/>
    <s v="LI-2015-NC834073-42143"/>
    <d v="2015-05-19T00:00:00"/>
    <d v="2015-05-21T00:00:00"/>
    <s v="Second Class"/>
    <s v="NC-834073"/>
    <s v="Nat Carroll"/>
    <x v="0"/>
    <m/>
    <s v="Monrovia"/>
    <s v="Montserrado"/>
    <s v="Liberia"/>
    <x v="3"/>
    <s v="Africa"/>
    <s v="TEC-CO-6009"/>
    <x v="0"/>
    <s v="Copiers"/>
    <s v="Sharp Wireless Fax, Color"/>
    <n v="1429.44"/>
    <n v="4"/>
    <n v="0"/>
    <n v="471.6"/>
    <n v="304.5"/>
    <s v="Critical"/>
    <n v="5717.76"/>
    <n v="0"/>
    <n v="5413.26"/>
  </r>
  <r>
    <n v="43590"/>
    <s v="SF-2014-JB5400117-41758"/>
    <d v="2014-04-29T00:00:00"/>
    <d v="2014-04-30T00:00:00"/>
    <s v="First Class"/>
    <s v="JB-5400117"/>
    <s v="Jennifer Braxton"/>
    <x v="1"/>
    <m/>
    <s v="Johannesburg"/>
    <s v="Gauteng"/>
    <s v="South Africa"/>
    <x v="20"/>
    <s v="Africa"/>
    <s v="FUR-TA-4712"/>
    <x v="1"/>
    <s v="Tables"/>
    <s v="Hon Wood Table, Rectangular"/>
    <n v="1057.8"/>
    <n v="2"/>
    <n v="0"/>
    <n v="158.63999999999999"/>
    <n v="304.36"/>
    <s v="Critical"/>
    <n v="2115.6"/>
    <n v="0"/>
    <n v="1811.2399999999998"/>
  </r>
  <r>
    <n v="5306"/>
    <s v="MX-2015-TB2125031-42289"/>
    <d v="2015-10-12T00:00:00"/>
    <d v="2015-10-15T00:00:00"/>
    <s v="First Class"/>
    <s v="TB-2125031"/>
    <s v="Tim Brockman"/>
    <x v="0"/>
    <m/>
    <s v="Santiago de Cuba"/>
    <s v="Santiago de Cuba"/>
    <s v="Cuba"/>
    <x v="15"/>
    <s v="LATAM"/>
    <s v="FUR-TA-3760"/>
    <x v="1"/>
    <s v="Tables"/>
    <s v="Chromcraft Computer Table, Fully Assembled"/>
    <n v="1483"/>
    <n v="5"/>
    <n v="0"/>
    <n v="741.5"/>
    <n v="303.649"/>
    <s v="High"/>
    <n v="7415"/>
    <n v="0"/>
    <n v="7111.3509999999997"/>
  </r>
  <r>
    <n v="764"/>
    <s v="MX-2015-PS1897028-42109"/>
    <d v="2015-04-15T00:00:00"/>
    <d v="2015-04-17T00:00:00"/>
    <s v="First Class"/>
    <s v="PS-1897028"/>
    <s v="Paul Stevenson"/>
    <x v="2"/>
    <m/>
    <s v="Bogotá"/>
    <s v="Bogota"/>
    <s v="Colombia"/>
    <x v="7"/>
    <s v="LATAM"/>
    <s v="OFF-AP-3872"/>
    <x v="2"/>
    <s v="Appliances"/>
    <s v="Cuisinart Stove, Black"/>
    <n v="1792.4"/>
    <n v="5"/>
    <n v="0"/>
    <n v="304.7"/>
    <n v="303.63099999999997"/>
    <s v="Critical"/>
    <n v="8962"/>
    <n v="0"/>
    <n v="8658.3690000000006"/>
  </r>
  <r>
    <n v="14821"/>
    <s v="ES-2015-BB1154548-42336"/>
    <d v="2015-11-28T00:00:00"/>
    <d v="2015-12-03T00:00:00"/>
    <s v="Standard Class"/>
    <s v="BB-1154548"/>
    <s v="Brenda Bowman"/>
    <x v="1"/>
    <m/>
    <s v="Erlangen"/>
    <s v="Bavaria"/>
    <s v="Germany"/>
    <x v="2"/>
    <s v="Europe"/>
    <s v="FUR-BO-5788"/>
    <x v="1"/>
    <s v="Bookcases"/>
    <s v="Safco Library with Doors, Traditional"/>
    <n v="2455.6799999999998"/>
    <n v="7"/>
    <n v="0.1"/>
    <n v="-191.16"/>
    <n v="303.58999999999997"/>
    <s v="High"/>
    <n v="17189.759999999998"/>
    <n v="17.18976"/>
    <n v="16868.980239999997"/>
  </r>
  <r>
    <n v="44182"/>
    <s v="GG-2013-SG1047047-41405"/>
    <d v="2013-05-11T00:00:00"/>
    <d v="2013-05-13T00:00:00"/>
    <s v="Second Class"/>
    <s v="SG-1047047"/>
    <s v="Sheri Gordon"/>
    <x v="0"/>
    <m/>
    <s v="Tbilisi"/>
    <s v="Tbilisi"/>
    <s v="Georgia"/>
    <x v="6"/>
    <s v="Asia Pacific"/>
    <s v="TEC-CO-3597"/>
    <x v="0"/>
    <s v="Copiers"/>
    <s v="Brother Fax Machine, High-Speed"/>
    <n v="1900.44"/>
    <n v="6"/>
    <n v="0"/>
    <n v="417.96"/>
    <n v="303.45"/>
    <s v="High"/>
    <n v="11402.64"/>
    <n v="0"/>
    <n v="11099.189999999999"/>
  </r>
  <r>
    <n v="23368"/>
    <s v="IN-2014-SP20920130-41808"/>
    <d v="2014-06-18T00:00:00"/>
    <d v="2014-06-24T00:00:00"/>
    <s v="Standard Class"/>
    <s v="SP-20920130"/>
    <s v="Susan Pistek"/>
    <x v="0"/>
    <m/>
    <s v="Bangkok"/>
    <s v="Bangkok"/>
    <s v="Thailand"/>
    <x v="17"/>
    <s v="Asia Pacific"/>
    <s v="TEC-PH-5839"/>
    <x v="0"/>
    <s v="Phones"/>
    <s v="Samsung Smart Phone, Cordless"/>
    <n v="3712.59"/>
    <n v="7"/>
    <n v="0.17"/>
    <n v="849.87"/>
    <n v="302.99"/>
    <s v="Medium"/>
    <n v="25988.13"/>
    <n v="44.179821000000004"/>
    <n v="25640.960178999998"/>
  </r>
  <r>
    <n v="23419"/>
    <s v="IN-2013-NZ1856558-41398"/>
    <d v="2013-05-04T00:00:00"/>
    <d v="2013-05-06T00:00:00"/>
    <s v="Second Class"/>
    <s v="NZ-1856558"/>
    <s v="Nick Zandusky"/>
    <x v="2"/>
    <m/>
    <s v="Jaipur"/>
    <s v="Rajasthan"/>
    <s v="India"/>
    <x v="5"/>
    <s v="Asia Pacific"/>
    <s v="TEC-CO-3678"/>
    <x v="0"/>
    <s v="Copiers"/>
    <s v="Canon Copy Machine, Color"/>
    <n v="2372.2199999999998"/>
    <n v="9"/>
    <n v="0"/>
    <n v="0"/>
    <n v="302.82"/>
    <s v="High"/>
    <n v="21349.98"/>
    <n v="0"/>
    <n v="21047.16"/>
  </r>
  <r>
    <n v="27407"/>
    <s v="IN-2012-Dp1324027-41223"/>
    <d v="2012-11-10T00:00:00"/>
    <d v="2012-11-14T00:00:00"/>
    <s v="Standard Class"/>
    <s v="Dp-1324027"/>
    <s v="Dean percer"/>
    <x v="2"/>
    <m/>
    <s v="Suzhou"/>
    <s v="Gansu"/>
    <s v="China"/>
    <x v="8"/>
    <s v="Asia Pacific"/>
    <s v="TEC-PH-5354"/>
    <x v="0"/>
    <s v="Phones"/>
    <s v="Nokia Smart Phone, Cordless"/>
    <n v="5725.35"/>
    <n v="9"/>
    <n v="0"/>
    <n v="1602.99"/>
    <n v="302.61"/>
    <s v="Medium"/>
    <n v="51528.15"/>
    <n v="0"/>
    <n v="51225.54"/>
  </r>
  <r>
    <n v="17215"/>
    <s v="ES-2015-GZ1447064-42362"/>
    <d v="2015-12-24T00:00:00"/>
    <d v="2015-12-24T00:00:00"/>
    <s v="Same Day"/>
    <s v="GZ-1447064"/>
    <s v="Gary Zandusky"/>
    <x v="0"/>
    <m/>
    <s v="Reggio nell'Emilia"/>
    <s v="Emilia-Romagna"/>
    <s v="Italy"/>
    <x v="9"/>
    <s v="Europe"/>
    <s v="FUR-BO-4862"/>
    <x v="1"/>
    <s v="Bookcases"/>
    <s v="Ikea Library with Doors, Pine"/>
    <n v="2553.1799999999998"/>
    <n v="7"/>
    <n v="0"/>
    <n v="842.52"/>
    <n v="302.55"/>
    <s v="Medium"/>
    <n v="17872.259999999998"/>
    <n v="0"/>
    <n v="17569.71"/>
  </r>
  <r>
    <n v="4570"/>
    <s v="MX-2015-AH1007582-42139"/>
    <d v="2015-05-15T00:00:00"/>
    <d v="2015-05-19T00:00:00"/>
    <s v="Standard Class"/>
    <s v="AH-1007582"/>
    <s v="Adam Hart"/>
    <x v="1"/>
    <m/>
    <s v="Azcapotzalco"/>
    <s v="Distrito Federal"/>
    <s v="Mexico"/>
    <x v="13"/>
    <s v="LATAM"/>
    <s v="OFF-AP-4503"/>
    <x v="2"/>
    <s v="Appliances"/>
    <s v="Hamilton Beach Refrigerator, Silver"/>
    <n v="2003.52"/>
    <n v="6"/>
    <n v="0"/>
    <n v="861.48"/>
    <n v="302.47699999999998"/>
    <s v="High"/>
    <n v="12021.119999999999"/>
    <n v="0"/>
    <n v="11718.642999999998"/>
  </r>
  <r>
    <n v="46523"/>
    <s v="PL-2015-CB2025103-42347"/>
    <d v="2015-12-09T00:00:00"/>
    <d v="2015-12-12T00:00:00"/>
    <s v="First Class"/>
    <s v="CB-2025103"/>
    <s v="Cassandra Brandow"/>
    <x v="0"/>
    <m/>
    <s v="Lublin"/>
    <s v="Lublin"/>
    <s v="Poland"/>
    <x v="11"/>
    <s v="Europe"/>
    <s v="TEC-CO-5997"/>
    <x v="0"/>
    <s v="Copiers"/>
    <s v="Sharp Fax Machine, Color"/>
    <n v="1188.3599999999999"/>
    <n v="4"/>
    <n v="0"/>
    <n v="95.04"/>
    <n v="302.14"/>
    <s v="High"/>
    <n v="4753.4399999999996"/>
    <n v="0"/>
    <n v="4451.2999999999993"/>
  </r>
  <r>
    <n v="29496"/>
    <s v="IN-2012-SC200507-41249"/>
    <d v="2012-12-06T00:00:00"/>
    <d v="2012-12-10T00:00:00"/>
    <s v="Standard Class"/>
    <s v="SC-200507"/>
    <s v="Sample Company A"/>
    <x v="2"/>
    <m/>
    <s v="Gold Coast"/>
    <s v="Queensland"/>
    <s v="Australia"/>
    <x v="1"/>
    <s v="Asia Pacific"/>
    <s v="TEC-PH-5356"/>
    <x v="0"/>
    <s v="Phones"/>
    <s v="Nokia Smart Phone, with Caller ID"/>
    <n v="2875.1"/>
    <n v="5"/>
    <n v="0.1"/>
    <n v="511.1"/>
    <n v="302.01"/>
    <s v="High"/>
    <n v="14375.5"/>
    <n v="14.375500000000002"/>
    <n v="14059.1145"/>
  </r>
  <r>
    <n v="11991"/>
    <s v="IT-2014-AM10705125-41892"/>
    <d v="2014-09-10T00:00:00"/>
    <d v="2014-09-15T00:00:00"/>
    <s v="Second Class"/>
    <s v="AM-10705125"/>
    <s v="Anne McFarland"/>
    <x v="0"/>
    <m/>
    <s v="Zurich"/>
    <s v="Zürich"/>
    <s v="Switzerland"/>
    <x v="2"/>
    <s v="Europe"/>
    <s v="FUR-CH-4530"/>
    <x v="1"/>
    <s v="Chairs"/>
    <s v="Harbour Creations Executive Leather Armchair, Adjustable"/>
    <n v="2380.5"/>
    <n v="5"/>
    <n v="0"/>
    <n v="952.2"/>
    <n v="301.73"/>
    <s v="Medium"/>
    <n v="11902.5"/>
    <n v="0"/>
    <n v="11600.77"/>
  </r>
  <r>
    <n v="42964"/>
    <s v="AL-2012-SC102302-40970"/>
    <d v="2012-03-02T00:00:00"/>
    <d v="2012-03-04T00:00:00"/>
    <s v="Second Class"/>
    <s v="SC-102302"/>
    <s v="Scot Coram"/>
    <x v="1"/>
    <m/>
    <s v="Elbasan"/>
    <s v="Elbasan"/>
    <s v="Albania"/>
    <x v="9"/>
    <s v="Europe"/>
    <s v="TEC-MA-6138"/>
    <x v="0"/>
    <s v="Machines"/>
    <s v="StarTech Card Printer, White"/>
    <n v="1619.1"/>
    <n v="10"/>
    <n v="0"/>
    <n v="258.89999999999998"/>
    <n v="301.73"/>
    <s v="High"/>
    <n v="16191"/>
    <n v="0"/>
    <n v="15889.27"/>
  </r>
  <r>
    <n v="29626"/>
    <s v="ID-2013-JS1559559-41275"/>
    <d v="2013-01-01T00:00:00"/>
    <d v="2013-01-05T00:00:00"/>
    <s v="Standard Class"/>
    <s v="JS-1559559"/>
    <s v="Jill Stevenson"/>
    <x v="1"/>
    <m/>
    <s v="Medan"/>
    <s v="Sumatera Utara"/>
    <s v="Indonesia"/>
    <x v="17"/>
    <s v="Asia Pacific"/>
    <s v="OFF-AP-4745"/>
    <x v="2"/>
    <s v="Appliances"/>
    <s v="Hoover Stove, White"/>
    <n v="2821.72"/>
    <n v="6"/>
    <n v="0.17"/>
    <n v="339.88"/>
    <n v="301.26"/>
    <s v="High"/>
    <n v="16930.32"/>
    <n v="28.781544000000004"/>
    <n v="16600.278456"/>
  </r>
  <r>
    <n v="23255"/>
    <s v="ID-2013-BS1138059-41577"/>
    <d v="2013-10-30T00:00:00"/>
    <d v="2013-11-03T00:00:00"/>
    <s v="Standard Class"/>
    <s v="BS-1138059"/>
    <s v="Bill Stewart"/>
    <x v="1"/>
    <m/>
    <s v="Bandung"/>
    <s v="Jawa Barat"/>
    <s v="Indonesia"/>
    <x v="17"/>
    <s v="Asia Pacific"/>
    <s v="TEC-CO-6009"/>
    <x v="0"/>
    <s v="Copiers"/>
    <s v="Sharp Wireless Fax, Color"/>
    <n v="2991.1"/>
    <n v="9"/>
    <n v="7.0000000000000007E-2"/>
    <n v="-128.75"/>
    <n v="300.60000000000002"/>
    <s v="Medium"/>
    <n v="26919.899999999998"/>
    <n v="18.84393"/>
    <n v="26600.45607"/>
  </r>
  <r>
    <n v="28249"/>
    <s v="IN-2014-TC21295130-41962"/>
    <d v="2014-11-19T00:00:00"/>
    <d v="2014-11-19T00:00:00"/>
    <s v="Same Day"/>
    <s v="TC-21295130"/>
    <s v="Toby Carlisle"/>
    <x v="0"/>
    <m/>
    <s v="Bangkok"/>
    <s v="Bangkok"/>
    <s v="Thailand"/>
    <x v="17"/>
    <s v="Asia Pacific"/>
    <s v="OFF-AP-4505"/>
    <x v="2"/>
    <s v="Appliances"/>
    <s v="Hamilton Beach Stove, Black"/>
    <n v="1798.68"/>
    <n v="4"/>
    <n v="0.17"/>
    <n v="86.64"/>
    <n v="300.5"/>
    <s v="High"/>
    <n v="7194.72"/>
    <n v="12.231024000000001"/>
    <n v="6881.9889760000005"/>
  </r>
  <r>
    <n v="50458"/>
    <s v="RS-2014-JL5130108-41866"/>
    <d v="2014-08-15T00:00:00"/>
    <d v="2014-08-17T00:00:00"/>
    <s v="Second Class"/>
    <s v="JL-5130108"/>
    <s v="Jack Lebron"/>
    <x v="0"/>
    <m/>
    <s v="Voronezh"/>
    <s v="Voronezh"/>
    <s v="Russia"/>
    <x v="11"/>
    <s v="Europe"/>
    <s v="TEC-PH-3148"/>
    <x v="0"/>
    <s v="Phones"/>
    <s v="Apple Smart Phone, Full Size"/>
    <n v="2544.84"/>
    <n v="4"/>
    <n v="0"/>
    <n v="712.44"/>
    <n v="299.39999999999998"/>
    <s v="Medium"/>
    <n v="10179.36"/>
    <n v="0"/>
    <n v="9879.9600000000009"/>
  </r>
  <r>
    <n v="23257"/>
    <s v="IN-2014-Dp1324066-41798"/>
    <d v="2014-06-08T00:00:00"/>
    <d v="2014-06-08T00:00:00"/>
    <s v="Same Day"/>
    <s v="Dp-1324066"/>
    <s v="Dean percer"/>
    <x v="2"/>
    <m/>
    <s v="Shimonoseki"/>
    <s v="Yamaguchi"/>
    <s v="Japan"/>
    <x v="8"/>
    <s v="Asia Pacific"/>
    <s v="FUR-CH-4532"/>
    <x v="1"/>
    <s v="Chairs"/>
    <s v="Harbour Creations Executive Leather Armchair, Red"/>
    <n v="951.72"/>
    <n v="2"/>
    <n v="0"/>
    <n v="228.36"/>
    <n v="299.12"/>
    <s v="High"/>
    <n v="1903.44"/>
    <n v="0"/>
    <n v="1604.3200000000002"/>
  </r>
  <r>
    <n v="20612"/>
    <s v="IN-2015-NF1838511-42279"/>
    <d v="2015-10-02T00:00:00"/>
    <d v="2015-10-06T00:00:00"/>
    <s v="Standard Class"/>
    <s v="NF-1838511"/>
    <s v="Natalie Fritzler"/>
    <x v="0"/>
    <m/>
    <s v="Dhaka"/>
    <s v="Dhaka"/>
    <s v="Bangladesh"/>
    <x v="5"/>
    <s v="Asia Pacific"/>
    <s v="TEC-PH-5268"/>
    <x v="0"/>
    <s v="Phones"/>
    <s v="Motorola Smart Phone, Full Size"/>
    <n v="2575.92"/>
    <n v="4"/>
    <n v="0"/>
    <n v="978.84"/>
    <n v="298.83"/>
    <s v="High"/>
    <n v="10303.68"/>
    <n v="0"/>
    <n v="10004.85"/>
  </r>
  <r>
    <n v="11836"/>
    <s v="ES-2015-AS10090139-42062"/>
    <d v="2015-02-27T00:00:00"/>
    <d v="2015-03-03T00:00:00"/>
    <s v="Standard Class"/>
    <s v="AS-10090139"/>
    <s v="Adam Shillingsburg"/>
    <x v="0"/>
    <m/>
    <s v="Huddersfield"/>
    <s v="England"/>
    <s v="United Kingdom"/>
    <x v="12"/>
    <s v="Europe"/>
    <s v="OFF-AP-4745"/>
    <x v="2"/>
    <s v="Appliances"/>
    <s v="Hoover Stove, White"/>
    <n v="1699.83"/>
    <n v="3"/>
    <n v="0"/>
    <n v="84.96"/>
    <n v="298.77"/>
    <s v="High"/>
    <n v="5099.49"/>
    <n v="0"/>
    <n v="4800.7199999999993"/>
  </r>
  <r>
    <n v="20455"/>
    <s v="IN-2014-EL137357-41943"/>
    <d v="2014-10-31T00:00:00"/>
    <d v="2014-11-04T00:00:00"/>
    <s v="Standard Class"/>
    <s v="EL-137357"/>
    <s v="Ed Ludwig"/>
    <x v="2"/>
    <m/>
    <s v="Melbourne"/>
    <s v="Victoria"/>
    <s v="Australia"/>
    <x v="1"/>
    <s v="Asia Pacific"/>
    <s v="FUR-BO-4861"/>
    <x v="1"/>
    <s v="Bookcases"/>
    <s v="Ikea Library with Doors, Mobile"/>
    <n v="2634.55"/>
    <n v="8"/>
    <n v="0.1"/>
    <n v="116.95"/>
    <n v="298.63"/>
    <s v="Medium"/>
    <n v="21076.400000000001"/>
    <n v="21.076400000000003"/>
    <n v="20756.693599999999"/>
  </r>
  <r>
    <n v="20872"/>
    <s v="IN-2014-FH1427559-41991"/>
    <d v="2014-12-18T00:00:00"/>
    <d v="2014-12-25T00:00:00"/>
    <s v="Standard Class"/>
    <s v="FH-1427559"/>
    <s v="Frank Hawley"/>
    <x v="1"/>
    <m/>
    <s v="Palu"/>
    <s v="Sulawesi Tengah"/>
    <s v="Indonesia"/>
    <x v="17"/>
    <s v="Asia Pacific"/>
    <s v="FUR-BO-3904"/>
    <x v="1"/>
    <s v="Bookcases"/>
    <s v="Dania Library with Doors, Traditional"/>
    <n v="3707.35"/>
    <n v="11"/>
    <n v="7.0000000000000007E-2"/>
    <n v="1554.43"/>
    <n v="298.44"/>
    <s v="Medium"/>
    <n v="40780.85"/>
    <n v="28.546595000000003"/>
    <n v="40453.863404999996"/>
  </r>
  <r>
    <n v="20428"/>
    <s v="IN-2015-LT1676558-42133"/>
    <d v="2015-05-09T00:00:00"/>
    <d v="2015-05-15T00:00:00"/>
    <s v="Standard Class"/>
    <s v="LT-1676558"/>
    <s v="Larry Tron"/>
    <x v="0"/>
    <m/>
    <s v="Imphal"/>
    <s v="Manipur"/>
    <s v="India"/>
    <x v="5"/>
    <s v="Asia Pacific"/>
    <s v="FUR-TA-5057"/>
    <x v="1"/>
    <s v="Tables"/>
    <s v="Lesro Conference Table, Adjustable Height"/>
    <n v="4298.8500000000004"/>
    <n v="5"/>
    <n v="0"/>
    <n v="300.89999999999998"/>
    <n v="297.81"/>
    <s v="Low"/>
    <n v="21494.25"/>
    <n v="0"/>
    <n v="21196.44"/>
  </r>
  <r>
    <n v="24422"/>
    <s v="IN-2015-BN1147027-42189"/>
    <d v="2015-07-04T00:00:00"/>
    <d v="2015-07-08T00:00:00"/>
    <s v="Standard Class"/>
    <s v="BN-1147027"/>
    <s v="Brad Norvell"/>
    <x v="1"/>
    <m/>
    <s v="Shenyang"/>
    <s v="Liaoning"/>
    <s v="China"/>
    <x v="8"/>
    <s v="Asia Pacific"/>
    <s v="OFF-AP-4964"/>
    <x v="2"/>
    <s v="Appliances"/>
    <s v="KitchenAid Stove, Black"/>
    <n v="3417.48"/>
    <n v="6"/>
    <n v="0"/>
    <n v="854.28"/>
    <n v="297.2"/>
    <s v="Medium"/>
    <n v="20504.88"/>
    <n v="0"/>
    <n v="20207.68"/>
  </r>
  <r>
    <n v="19814"/>
    <s v="ES-2013-BP11230120-41411"/>
    <d v="2013-05-17T00:00:00"/>
    <d v="2013-05-21T00:00:00"/>
    <s v="Standard Class"/>
    <s v="BP-11230120"/>
    <s v="Benjamin Patterson"/>
    <x v="0"/>
    <m/>
    <s v="Barcelona"/>
    <s v="Catalonia"/>
    <s v="Spain"/>
    <x v="9"/>
    <s v="Europe"/>
    <s v="OFF-AP-3576"/>
    <x v="2"/>
    <s v="Appliances"/>
    <s v="Breville Refrigerator, Silver"/>
    <n v="2080.3200000000002"/>
    <n v="4"/>
    <n v="0"/>
    <n v="561.6"/>
    <n v="296.98"/>
    <s v="High"/>
    <n v="8321.2800000000007"/>
    <n v="0"/>
    <n v="8024.3000000000011"/>
  </r>
  <r>
    <n v="29718"/>
    <s v="IN-2012-DM1352558-41123"/>
    <d v="2012-08-02T00:00:00"/>
    <d v="2012-08-05T00:00:00"/>
    <s v="Second Class"/>
    <s v="DM-1352558"/>
    <s v="Don Miller"/>
    <x v="1"/>
    <m/>
    <s v="Muzaffarpur"/>
    <s v="Bihar"/>
    <s v="India"/>
    <x v="5"/>
    <s v="Asia Pacific"/>
    <s v="TEC-PH-5813"/>
    <x v="0"/>
    <s v="Phones"/>
    <s v="Samsung Audio Dock, Full Size"/>
    <n v="840.6"/>
    <n v="5"/>
    <n v="0"/>
    <n v="319.35000000000002"/>
    <n v="296.68"/>
    <s v="Critical"/>
    <n v="4203"/>
    <n v="0"/>
    <n v="3906.32"/>
  </r>
  <r>
    <n v="38269"/>
    <s v="CA-2015-AB10105140-42267"/>
    <d v="2015-09-20T00:00:00"/>
    <d v="2015-09-26T00:00:00"/>
    <s v="Standard Class"/>
    <s v="AB-101051404"/>
    <s v="Adrian Barton"/>
    <x v="0"/>
    <n v="85023"/>
    <s v="Phoenix"/>
    <s v="Arizona"/>
    <s v="United States"/>
    <x v="4"/>
    <s v="USCA"/>
    <s v="TEC-PH-5625"/>
    <x v="0"/>
    <s v="Phones"/>
    <s v="Polycom VoiceStation 500 Conference phone"/>
    <n v="471.92"/>
    <n v="2"/>
    <n v="0.2"/>
    <n v="29.5"/>
    <n v="16.71"/>
    <s v="Low"/>
    <n v="943.84"/>
    <n v="1.8876800000000002"/>
    <n v="925.24231999999995"/>
  </r>
  <r>
    <n v="48509"/>
    <s v="CD-2014-SM1032025-41684"/>
    <d v="2014-02-14T00:00:00"/>
    <d v="2014-02-16T00:00:00"/>
    <s v="Second Class"/>
    <s v="SM-1032025"/>
    <s v="Sean Miller"/>
    <x v="2"/>
    <m/>
    <s v="Koumra"/>
    <s v="Mandoul"/>
    <s v="Chad"/>
    <x v="16"/>
    <s v="Africa"/>
    <s v="OFF-ST-6033"/>
    <x v="2"/>
    <s v="Storage"/>
    <s v="Smead File Cart, Single Width"/>
    <n v="1288.8"/>
    <n v="10"/>
    <n v="0"/>
    <n v="90"/>
    <n v="296.08"/>
    <s v="Critical"/>
    <n v="12888"/>
    <n v="0"/>
    <n v="12591.92"/>
  </r>
  <r>
    <n v="30028"/>
    <s v="IN-2013-PM191357-41417"/>
    <d v="2013-05-23T00:00:00"/>
    <d v="2013-05-23T00:00:00"/>
    <s v="Same Day"/>
    <s v="PM-191357"/>
    <s v="Peter McVee"/>
    <x v="2"/>
    <m/>
    <s v="Ballarat"/>
    <s v="Victoria"/>
    <s v="Australia"/>
    <x v="1"/>
    <s v="Asia Pacific"/>
    <s v="FUR-BO-5971"/>
    <x v="1"/>
    <s v="Bookcases"/>
    <s v="Sauder Stackable Bookrack, Mobile"/>
    <n v="660.69"/>
    <n v="5"/>
    <n v="0.1"/>
    <n v="44.04"/>
    <n v="296.01"/>
    <s v="Critical"/>
    <n v="3303.4500000000003"/>
    <n v="3.3034500000000002"/>
    <n v="3004.1365500000002"/>
  </r>
  <r>
    <n v="43473"/>
    <s v="MW-2015-TS1143085-42220"/>
    <d v="2015-08-04T00:00:00"/>
    <d v="2015-08-09T00:00:00"/>
    <s v="Second Class"/>
    <s v="TS-1143085"/>
    <s v="Tom Stivers"/>
    <x v="1"/>
    <m/>
    <s v="Podgorica"/>
    <s v="Podgorica"/>
    <s v="Montenegro"/>
    <x v="9"/>
    <s v="Europe"/>
    <s v="OFF-AP-3874"/>
    <x v="2"/>
    <s v="Appliances"/>
    <s v="Cuisinart Stove, Silver"/>
    <n v="3234.24"/>
    <n v="6"/>
    <n v="0"/>
    <n v="970.2"/>
    <n v="295.74"/>
    <s v="Medium"/>
    <n v="19405.439999999999"/>
    <n v="0"/>
    <n v="19109.699999999997"/>
  </r>
  <r>
    <n v="2006"/>
    <s v="MX-2014-TS2134018-41956"/>
    <d v="2014-11-13T00:00:00"/>
    <d v="2014-11-18T00:00:00"/>
    <s v="Standard Class"/>
    <s v="TS-2134018"/>
    <s v="Toby Swindell"/>
    <x v="0"/>
    <m/>
    <s v="Ribeirão Preto"/>
    <s v="São Paulo"/>
    <s v="Brazil"/>
    <x v="7"/>
    <s v="LATAM"/>
    <s v="TEC-PH-3806"/>
    <x v="0"/>
    <s v="Phones"/>
    <s v="Cisco Smart Phone, Full Size"/>
    <n v="2171.3000000000002"/>
    <n v="5"/>
    <n v="0"/>
    <n v="390.8"/>
    <n v="294.971"/>
    <s v="High"/>
    <n v="10856.5"/>
    <n v="0"/>
    <n v="10561.529"/>
  </r>
  <r>
    <n v="27780"/>
    <s v="IN-2015-AM107057-42047"/>
    <d v="2015-02-12T00:00:00"/>
    <d v="2015-02-14T00:00:00"/>
    <s v="Second Class"/>
    <s v="AM-107057"/>
    <s v="Anne McFarland"/>
    <x v="0"/>
    <m/>
    <s v="Brisbane"/>
    <s v="Queensland"/>
    <s v="Australia"/>
    <x v="1"/>
    <s v="Asia Pacific"/>
    <s v="TEC-AC-4186"/>
    <x v="0"/>
    <s v="Accessories"/>
    <s v="Enermax Router, Erganomic"/>
    <n v="2074.73"/>
    <n v="9"/>
    <n v="0.1"/>
    <n v="276.52999999999997"/>
    <n v="294.73"/>
    <s v="Medium"/>
    <n v="18672.57"/>
    <n v="18.67257"/>
    <n v="18359.167430000001"/>
  </r>
  <r>
    <n v="7054"/>
    <s v="MX-2015-LS1724582-42319"/>
    <d v="2015-11-11T00:00:00"/>
    <d v="2015-11-14T00:00:00"/>
    <s v="First Class"/>
    <s v="LS-1724582"/>
    <s v="Lynn Smith"/>
    <x v="0"/>
    <m/>
    <s v="Zapopan"/>
    <s v="Jalisco"/>
    <s v="Mexico"/>
    <x v="13"/>
    <s v="LATAM"/>
    <s v="TEC-PH-5355"/>
    <x v="0"/>
    <s v="Phones"/>
    <s v="Nokia Smart Phone, Full Size"/>
    <n v="849.8"/>
    <n v="2"/>
    <n v="0"/>
    <n v="195.44"/>
    <n v="294.56599999999997"/>
    <s v="Critical"/>
    <n v="1699.6"/>
    <n v="0"/>
    <n v="1405.0339999999999"/>
  </r>
  <r>
    <n v="21344"/>
    <s v="IN-2014-DR129407-41728"/>
    <d v="2014-03-30T00:00:00"/>
    <d v="2014-04-01T00:00:00"/>
    <s v="First Class"/>
    <s v="DR-129407"/>
    <s v="Daniel Raglin"/>
    <x v="2"/>
    <m/>
    <s v="Sydney"/>
    <s v="New South Wales"/>
    <s v="Australia"/>
    <x v="1"/>
    <s v="Asia Pacific"/>
    <s v="FUR-BO-5951"/>
    <x v="1"/>
    <s v="Bookcases"/>
    <s v="Sauder Classic Bookcase, Traditional"/>
    <n v="1177.17"/>
    <n v="3"/>
    <n v="0.1"/>
    <n v="353.13"/>
    <n v="294.55"/>
    <s v="Medium"/>
    <n v="3531.51"/>
    <n v="3.5315100000000008"/>
    <n v="3233.4284900000002"/>
  </r>
  <r>
    <n v="21328"/>
    <s v="IN-2014-CM1181597-41870"/>
    <d v="2014-08-19T00:00:00"/>
    <d v="2014-08-21T00:00:00"/>
    <s v="Second Class"/>
    <s v="CM-1181597"/>
    <s v="Candace McMahon"/>
    <x v="1"/>
    <m/>
    <s v="Lahore"/>
    <s v="Punjab"/>
    <s v="Pakistan"/>
    <x v="5"/>
    <s v="Asia Pacific"/>
    <s v="TEC-PH-5841"/>
    <x v="0"/>
    <s v="Phones"/>
    <s v="Samsung Smart Phone, VoIP"/>
    <n v="2863.08"/>
    <n v="9"/>
    <n v="0.5"/>
    <n v="-458.19"/>
    <n v="293.77999999999997"/>
    <s v="Medium"/>
    <n v="25767.72"/>
    <n v="128.83860000000001"/>
    <n v="25345.101400000003"/>
  </r>
  <r>
    <n v="11232"/>
    <s v="ES-2015-FG1426045-42153"/>
    <d v="2015-05-29T00:00:00"/>
    <d v="2015-05-31T00:00:00"/>
    <s v="Second Class"/>
    <s v="FG-1426045"/>
    <s v="Frank Gastineau"/>
    <x v="2"/>
    <m/>
    <s v="Bordeaux"/>
    <s v="Aquitaine-Limousin-Poitou-Charentes"/>
    <s v="France"/>
    <x v="2"/>
    <s v="Europe"/>
    <s v="OFF-AP-3865"/>
    <x v="2"/>
    <s v="Appliances"/>
    <s v="Cuisinart Microwave, Red"/>
    <n v="1253.07"/>
    <n v="5"/>
    <n v="0.1"/>
    <n v="236.67"/>
    <n v="293.45999999999998"/>
    <s v="Critical"/>
    <n v="6265.3499999999995"/>
    <n v="6.2653499999999998"/>
    <n v="5965.6246499999997"/>
  </r>
  <r>
    <n v="47098"/>
    <s v="IR-2013-KN670560-41508"/>
    <d v="2013-08-22T00:00:00"/>
    <d v="2013-08-29T00:00:00"/>
    <s v="Standard Class"/>
    <s v="KN-670560"/>
    <s v="Kristina Nunn"/>
    <x v="2"/>
    <m/>
    <s v="Hamadan"/>
    <s v="Hamadan"/>
    <s v="Iran"/>
    <x v="5"/>
    <s v="Asia Pacific"/>
    <s v="OFF-AP-3579"/>
    <x v="2"/>
    <s v="Appliances"/>
    <s v="Breville Stove, Red"/>
    <n v="3369.24"/>
    <n v="6"/>
    <n v="0"/>
    <n v="606.41999999999996"/>
    <n v="293.12"/>
    <s v="Low"/>
    <n v="20215.439999999999"/>
    <n v="0"/>
    <n v="19922.32"/>
  </r>
  <r>
    <n v="48982"/>
    <s v="WA-2015-TB1152089-42190"/>
    <d v="2015-07-05T00:00:00"/>
    <d v="2015-07-05T00:00:00"/>
    <s v="Same Day"/>
    <s v="TB-1152089"/>
    <s v="Tracy Blumstein"/>
    <x v="0"/>
    <m/>
    <s v="Windhoek"/>
    <s v="Khomas"/>
    <s v="Namibia"/>
    <x v="20"/>
    <s v="Africa"/>
    <s v="TEC-AC-5224"/>
    <x v="0"/>
    <s v="Accessories"/>
    <s v="Memorex Router, Erganomic"/>
    <n v="1464.12"/>
    <n v="6"/>
    <n v="0"/>
    <n v="439.2"/>
    <n v="293.07"/>
    <s v="High"/>
    <n v="8784.7199999999993"/>
    <n v="0"/>
    <n v="8491.65"/>
  </r>
  <r>
    <n v="20230"/>
    <s v="IT-2013-GM1444091-41347"/>
    <d v="2013-03-14T00:00:00"/>
    <d v="2013-03-17T00:00:00"/>
    <s v="First Class"/>
    <s v="GM-1444091"/>
    <s v="Gary McGarr"/>
    <x v="0"/>
    <m/>
    <s v="Eindhoven"/>
    <s v="North Brabant"/>
    <s v="Netherlands"/>
    <x v="2"/>
    <s v="Europe"/>
    <s v="FUR-BO-3903"/>
    <x v="1"/>
    <s v="Bookcases"/>
    <s v="Dania Library with Doors, Pine"/>
    <n v="1273.1300000000001"/>
    <n v="7"/>
    <n v="0.5"/>
    <n v="-993.2"/>
    <n v="291.93"/>
    <s v="High"/>
    <n v="8911.91"/>
    <n v="44.559550000000002"/>
    <n v="8575.4204499999996"/>
  </r>
  <r>
    <n v="43099"/>
    <s v="CA-2015-AB10523-42139"/>
    <d v="2015-05-15T00:00:00"/>
    <d v="2015-05-15T00:00:00"/>
    <s v="Same Day"/>
    <s v="AB-10523"/>
    <s v="Adrian Barton"/>
    <x v="0"/>
    <m/>
    <s v="Toronto"/>
    <s v="Ontario"/>
    <s v="Canada"/>
    <x v="21"/>
    <s v="USCA"/>
    <s v="OFF-AR-6111"/>
    <x v="2"/>
    <s v="Art"/>
    <s v="Stanley Highlighters, Easy-Erase"/>
    <n v="29.94"/>
    <n v="2"/>
    <n v="0"/>
    <n v="10.74"/>
    <n v="5.81"/>
    <s v="High"/>
    <n v="59.88"/>
    <n v="0"/>
    <n v="54.07"/>
  </r>
  <r>
    <n v="2375"/>
    <s v="MX-2015-JB1540051-42263"/>
    <d v="2015-09-16T00:00:00"/>
    <d v="2015-09-18T00:00:00"/>
    <s v="First Class"/>
    <s v="JB-1540051"/>
    <s v="Jennifer Braxton"/>
    <x v="1"/>
    <m/>
    <s v="Quetzaltenango"/>
    <s v="Quezaltenango"/>
    <s v="Guatemala"/>
    <x v="13"/>
    <s v="LATAM"/>
    <s v="TEC-CO-4592"/>
    <x v="0"/>
    <s v="Copiers"/>
    <s v="Hewlett Wireless Fax, High-Speed"/>
    <n v="1258.78"/>
    <n v="5"/>
    <n v="2E-3"/>
    <n v="375.78"/>
    <n v="291.63099999999997"/>
    <s v="High"/>
    <n v="6293.9"/>
    <n v="0.12587799999999999"/>
    <n v="6002.1431219999995"/>
  </r>
  <r>
    <n v="22855"/>
    <s v="IN-2015-JS1603097-42223"/>
    <d v="2015-08-07T00:00:00"/>
    <d v="2015-08-12T00:00:00"/>
    <s v="Standard Class"/>
    <s v="JS-1603097"/>
    <s v="Joy Smith"/>
    <x v="0"/>
    <m/>
    <s v="Lahore"/>
    <s v="Punjab"/>
    <s v="Pakistan"/>
    <x v="5"/>
    <s v="Asia Pacific"/>
    <s v="FUR-CH-5775"/>
    <x v="1"/>
    <s v="Chairs"/>
    <s v="SAFCO Executive Leather Armchair, Red"/>
    <n v="2584.0100000000002"/>
    <n v="7"/>
    <n v="0.2"/>
    <n v="290.60000000000002"/>
    <n v="291.06"/>
    <s v="Medium"/>
    <n v="18088.07"/>
    <n v="36.176140000000004"/>
    <n v="17760.833859999999"/>
  </r>
  <r>
    <n v="28076"/>
    <s v="IN-2014-AM10705102-41891"/>
    <d v="2014-09-09T00:00:00"/>
    <d v="2014-09-09T00:00:00"/>
    <s v="Same Day"/>
    <s v="AM-10705102"/>
    <s v="Anne McFarland"/>
    <x v="0"/>
    <m/>
    <s v="Manila"/>
    <s v="National Capital"/>
    <s v="Philippines"/>
    <x v="17"/>
    <s v="Asia Pacific"/>
    <s v="TEC-CO-3707"/>
    <x v="0"/>
    <s v="Copiers"/>
    <s v="Canon Wireless Fax, Color"/>
    <n v="1482.39"/>
    <n v="6"/>
    <n v="0.35"/>
    <n v="68.31"/>
    <n v="290.69"/>
    <s v="High"/>
    <n v="8894.34"/>
    <n v="31.130189999999999"/>
    <n v="8572.5198099999998"/>
  </r>
  <r>
    <n v="9435"/>
    <s v="MX-2015-SF2020039-42255"/>
    <d v="2015-09-08T00:00:00"/>
    <d v="2015-09-11T00:00:00"/>
    <s v="First Class"/>
    <s v="SF-2020039"/>
    <s v="Sarah Foster"/>
    <x v="0"/>
    <m/>
    <s v="Antiguo Cuscatlán"/>
    <s v="La Libertad"/>
    <s v="El Salvador"/>
    <x v="13"/>
    <s v="LATAM"/>
    <s v="TEC-PH-5355"/>
    <x v="0"/>
    <s v="Phones"/>
    <s v="Nokia Smart Phone, Full Size"/>
    <n v="1274.7"/>
    <n v="3"/>
    <n v="0"/>
    <n v="293.16000000000003"/>
    <n v="290.52300000000002"/>
    <s v="Critical"/>
    <n v="3824.1000000000004"/>
    <n v="0"/>
    <n v="3533.5770000000002"/>
  </r>
  <r>
    <n v="6019"/>
    <s v="MX-2013-JF1529531-41564"/>
    <d v="2013-10-17T00:00:00"/>
    <d v="2013-10-21T00:00:00"/>
    <s v="Standard Class"/>
    <s v="JF-1529531"/>
    <s v="Jason Fortune-"/>
    <x v="0"/>
    <m/>
    <s v="Guantánamo"/>
    <s v="Guantánamo"/>
    <s v="Cuba"/>
    <x v="15"/>
    <s v="LATAM"/>
    <s v="FUR-CH-5443"/>
    <x v="1"/>
    <s v="Chairs"/>
    <s v="Office Star Executive Leather Armchair, Red"/>
    <n v="2818.08"/>
    <n v="9"/>
    <n v="0"/>
    <n v="225.36"/>
    <n v="289.51499999999999"/>
    <s v="High"/>
    <n v="25362.720000000001"/>
    <n v="0"/>
    <n v="25073.205000000002"/>
  </r>
  <r>
    <n v="24435"/>
    <s v="ID-2015-KH16510102-42052"/>
    <d v="2015-02-17T00:00:00"/>
    <d v="2015-02-18T00:00:00"/>
    <s v="First Class"/>
    <s v="KH-16510102"/>
    <s v="Keith Herrera"/>
    <x v="0"/>
    <m/>
    <s v="Bacolod City"/>
    <s v="Western Visayas"/>
    <s v="Philippines"/>
    <x v="17"/>
    <s v="Asia Pacific"/>
    <s v="FUR-CH-5441"/>
    <x v="1"/>
    <s v="Chairs"/>
    <s v="Office Star Executive Leather Armchair, Adjustable"/>
    <n v="1046.25"/>
    <n v="3"/>
    <n v="0.25"/>
    <n v="-111.6"/>
    <n v="289.32"/>
    <s v="High"/>
    <n v="3138.75"/>
    <n v="7.8468749999999998"/>
    <n v="2841.5831249999997"/>
  </r>
  <r>
    <n v="22711"/>
    <s v="IN-2013-DL1333058-41328"/>
    <d v="2013-02-23T00:00:00"/>
    <d v="2013-02-28T00:00:00"/>
    <s v="Standard Class"/>
    <s v="DL-1333058"/>
    <s v="Denise Leinenbach"/>
    <x v="0"/>
    <m/>
    <s v="Nagpur"/>
    <s v="Maharashtra"/>
    <s v="India"/>
    <x v="5"/>
    <s v="Asia Pacific"/>
    <s v="TEC-PH-5840"/>
    <x v="0"/>
    <s v="Phones"/>
    <s v="Samsung Smart Phone, Full Size"/>
    <n v="3187.2"/>
    <n v="5"/>
    <n v="0"/>
    <n v="541.79999999999995"/>
    <n v="289.17"/>
    <s v="Medium"/>
    <n v="15936"/>
    <n v="0"/>
    <n v="15646.83"/>
  </r>
  <r>
    <n v="21884"/>
    <s v="IN-2013-KN163907-41611"/>
    <d v="2013-12-03T00:00:00"/>
    <d v="2013-12-10T00:00:00"/>
    <s v="Standard Class"/>
    <s v="KN-163907"/>
    <s v="Katherine Nockton"/>
    <x v="1"/>
    <m/>
    <s v="Kwinana"/>
    <s v="Western Australia"/>
    <s v="Australia"/>
    <x v="1"/>
    <s v="Asia Pacific"/>
    <s v="FUR-CH-5378"/>
    <x v="1"/>
    <s v="Chairs"/>
    <s v="Novimex Executive Leather Armchair, Adjustable"/>
    <n v="4099.68"/>
    <n v="10"/>
    <n v="0.1"/>
    <n v="956.58"/>
    <n v="288.98"/>
    <s v="Medium"/>
    <n v="40996.800000000003"/>
    <n v="40.9968"/>
    <n v="40666.823199999999"/>
  </r>
  <r>
    <n v="23285"/>
    <s v="IN-2013-SV2093527-41620"/>
    <d v="2013-12-12T00:00:00"/>
    <d v="2013-12-14T00:00:00"/>
    <s v="First Class"/>
    <s v="SV-2093527"/>
    <s v="Susan Vittorini"/>
    <x v="0"/>
    <m/>
    <s v="Wuxi"/>
    <s v="Jiangsu"/>
    <s v="China"/>
    <x v="8"/>
    <s v="Asia Pacific"/>
    <s v="OFF-ST-5691"/>
    <x v="2"/>
    <s v="Storage"/>
    <s v="Rogers File Cart, Blue"/>
    <n v="703.35"/>
    <n v="5"/>
    <n v="0"/>
    <n v="260.10000000000002"/>
    <n v="288.75"/>
    <s v="Critical"/>
    <n v="3516.75"/>
    <n v="0"/>
    <n v="3228"/>
  </r>
  <r>
    <n v="20470"/>
    <s v="IN-2015-MD178607-42171"/>
    <d v="2015-06-16T00:00:00"/>
    <d v="2015-06-21T00:00:00"/>
    <s v="Standard Class"/>
    <s v="MD-178607"/>
    <s v="Michael Dominguez"/>
    <x v="1"/>
    <m/>
    <s v="Sydney"/>
    <s v="New South Wales"/>
    <s v="Australia"/>
    <x v="1"/>
    <s v="Asia Pacific"/>
    <s v="TEC-CO-3598"/>
    <x v="0"/>
    <s v="Copiers"/>
    <s v="Brother Fax Machine, Laser"/>
    <n v="2293.4899999999998"/>
    <n v="8"/>
    <n v="0.1"/>
    <n v="509.57"/>
    <n v="288.63"/>
    <s v="High"/>
    <n v="18347.919999999998"/>
    <n v="18.347919999999998"/>
    <n v="18040.942079999997"/>
  </r>
  <r>
    <n v="10558"/>
    <s v="ES-2013-LS1720045-41628"/>
    <d v="2013-12-20T00:00:00"/>
    <d v="2013-12-22T00:00:00"/>
    <s v="First Class"/>
    <s v="LS-1720045"/>
    <s v="Luke Schmidt"/>
    <x v="1"/>
    <m/>
    <s v="Deuil-la-Barre"/>
    <s v="Ile-de-France"/>
    <s v="France"/>
    <x v="2"/>
    <s v="Europe"/>
    <s v="TEC-MA-6138"/>
    <x v="0"/>
    <s v="Machines"/>
    <s v="StarTech Card Printer, White"/>
    <n v="1238.6099999999999"/>
    <n v="9"/>
    <n v="0.15"/>
    <n v="14.43"/>
    <n v="288.47000000000003"/>
    <s v="High"/>
    <n v="11147.49"/>
    <n v="16.721235"/>
    <n v="10842.298765"/>
  </r>
  <r>
    <n v="4684"/>
    <s v="MX-2015-JM1586582-42137"/>
    <d v="2015-05-13T00:00:00"/>
    <d v="2015-05-17T00:00:00"/>
    <s v="Standard Class"/>
    <s v="JM-1586582"/>
    <s v="John Murray"/>
    <x v="0"/>
    <m/>
    <s v="Zapopan"/>
    <s v="Jalisco"/>
    <s v="Mexico"/>
    <x v="13"/>
    <s v="LATAM"/>
    <s v="FUR-CH-4656"/>
    <x v="1"/>
    <s v="Chairs"/>
    <s v="Hon Executive Leather Armchair, Red"/>
    <n v="1715.06"/>
    <n v="7"/>
    <n v="0.2"/>
    <n v="300.08"/>
    <n v="288.10300000000001"/>
    <s v="High"/>
    <n v="12005.42"/>
    <n v="24.010840000000002"/>
    <n v="11693.30616"/>
  </r>
  <r>
    <n v="40504"/>
    <s v="CA-2015-AB10105140-42220"/>
    <d v="2015-08-04T00:00:00"/>
    <d v="2015-08-08T00:00:00"/>
    <s v="Standard Class"/>
    <s v="AB-101051402"/>
    <s v="Adrian Barton"/>
    <x v="0"/>
    <n v="61701"/>
    <s v="Bloomington"/>
    <s v="Illinois"/>
    <s v="United States"/>
    <x v="0"/>
    <s v="USCA"/>
    <s v="TEC-AC-4936"/>
    <x v="0"/>
    <s v="Accessories"/>
    <s v="Kensington K72356US Mouse-in-a-Box USB Desktop Mouse"/>
    <n v="39.82"/>
    <n v="3"/>
    <n v="0.2"/>
    <n v="7.47"/>
    <n v="5.7"/>
    <s v="High"/>
    <n v="119.46000000000001"/>
    <n v="0.23892000000000002"/>
    <n v="113.52108000000001"/>
  </r>
  <r>
    <n v="31153"/>
    <s v="IN-2015-CM124457-42315"/>
    <d v="2015-11-07T00:00:00"/>
    <d v="2015-11-11T00:00:00"/>
    <s v="Standard Class"/>
    <s v="CM-124457"/>
    <s v="Chuck Magee"/>
    <x v="0"/>
    <m/>
    <s v="Wollongong"/>
    <s v="New South Wales"/>
    <s v="Australia"/>
    <x v="1"/>
    <s v="Asia Pacific"/>
    <s v="FUR-CH-4531"/>
    <x v="1"/>
    <s v="Chairs"/>
    <s v="Harbour Creations Executive Leather Armchair, Black"/>
    <n v="2841.66"/>
    <n v="6"/>
    <n v="0"/>
    <n v="852.48"/>
    <n v="287.24"/>
    <s v="High"/>
    <n v="17049.96"/>
    <n v="0"/>
    <n v="16762.719999999998"/>
  </r>
  <r>
    <n v="10458"/>
    <s v="IT-2014-SS20140104-41800"/>
    <d v="2014-06-10T00:00:00"/>
    <d v="2014-06-14T00:00:00"/>
    <s v="Standard Class"/>
    <s v="SS-20140104"/>
    <s v="Saphhira Shifley"/>
    <x v="1"/>
    <m/>
    <s v="Lisbon"/>
    <s v="Lisboa"/>
    <s v="Portugal"/>
    <x v="9"/>
    <s v="Europe"/>
    <s v="OFF-AP-4745"/>
    <x v="2"/>
    <s v="Appliances"/>
    <s v="Hoover Stove, White"/>
    <n v="3399.66"/>
    <n v="12"/>
    <n v="0.5"/>
    <n v="-3059.82"/>
    <n v="286.87"/>
    <s v="Medium"/>
    <n v="40795.919999999998"/>
    <n v="203.9796"/>
    <n v="40305.070399999997"/>
  </r>
  <r>
    <n v="29319"/>
    <s v="IN-2013-BW1111058-41404"/>
    <d v="2013-05-10T00:00:00"/>
    <d v="2013-05-12T00:00:00"/>
    <s v="First Class"/>
    <s v="BW-1111058"/>
    <s v="Bart Watters"/>
    <x v="1"/>
    <m/>
    <s v="Jhansi"/>
    <s v="Uttar Pradesh"/>
    <s v="India"/>
    <x v="5"/>
    <s v="Asia Pacific"/>
    <s v="TEC-MA-5014"/>
    <x v="0"/>
    <s v="Machines"/>
    <s v="Konica Printer, Durable"/>
    <n v="1607.76"/>
    <n v="6"/>
    <n v="0"/>
    <n v="482.22"/>
    <n v="286.74"/>
    <s v="High"/>
    <n v="9646.56"/>
    <n v="0"/>
    <n v="9359.82"/>
  </r>
  <r>
    <n v="20851"/>
    <s v="IN-2014-JE1561058-41895"/>
    <d v="2014-09-13T00:00:00"/>
    <d v="2014-09-13T00:00:00"/>
    <s v="Same Day"/>
    <s v="JE-1561058"/>
    <s v="Jim Epp"/>
    <x v="1"/>
    <m/>
    <s v="Amravati"/>
    <s v="Maharashtra"/>
    <s v="India"/>
    <x v="5"/>
    <s v="Asia Pacific"/>
    <s v="TEC-PH-5336"/>
    <x v="0"/>
    <s v="Phones"/>
    <s v="Nokia Audio Dock, Full Size"/>
    <n v="840.15"/>
    <n v="5"/>
    <n v="0"/>
    <n v="260.39999999999998"/>
    <n v="286.67"/>
    <s v="Critical"/>
    <n v="4200.75"/>
    <n v="0"/>
    <n v="3914.08"/>
  </r>
  <r>
    <n v="28704"/>
    <s v="IN-2014-GH1442527-41845"/>
    <d v="2014-07-25T00:00:00"/>
    <d v="2014-07-28T00:00:00"/>
    <s v="First Class"/>
    <s v="GH-1442527"/>
    <s v="Gary Hwang"/>
    <x v="0"/>
    <m/>
    <s v="Wafangdian"/>
    <s v="Liaoning"/>
    <s v="China"/>
    <x v="8"/>
    <s v="Asia Pacific"/>
    <s v="FUR-BO-3891"/>
    <x v="1"/>
    <s v="Bookcases"/>
    <s v="Dania Classic Bookcase, Pine"/>
    <n v="1236.33"/>
    <n v="3"/>
    <n v="0"/>
    <n v="519.21"/>
    <n v="286.57"/>
    <s v="Medium"/>
    <n v="3708.99"/>
    <n v="0"/>
    <n v="3422.4199999999996"/>
  </r>
  <r>
    <n v="25908"/>
    <s v="IN-2015-JK1609058-42288"/>
    <d v="2015-10-11T00:00:00"/>
    <d v="2015-10-14T00:00:00"/>
    <s v="Second Class"/>
    <s v="JK-1609058"/>
    <s v="Juliana Krohn"/>
    <x v="0"/>
    <m/>
    <s v="Delhi"/>
    <s v="Delhi"/>
    <s v="India"/>
    <x v="5"/>
    <s v="Asia Pacific"/>
    <s v="OFF-AP-4958"/>
    <x v="2"/>
    <s v="Appliances"/>
    <s v="KitchenAid Microwave, Silver"/>
    <n v="2488.56"/>
    <n v="8"/>
    <n v="0"/>
    <n v="348.24"/>
    <n v="286.52999999999997"/>
    <s v="High"/>
    <n v="19908.48"/>
    <n v="0"/>
    <n v="19621.95"/>
  </r>
  <r>
    <n v="500"/>
    <s v="MX-2012-SM2032036-41234"/>
    <d v="2012-11-21T00:00:00"/>
    <d v="2012-11-24T00:00:00"/>
    <s v="First Class"/>
    <s v="SM-2032036"/>
    <s v="Sean Miller"/>
    <x v="2"/>
    <m/>
    <s v="San Juan de la Maguana"/>
    <s v="San Juan"/>
    <s v="Dominican Republic"/>
    <x v="15"/>
    <s v="LATAM"/>
    <s v="OFF-AP-3570"/>
    <x v="2"/>
    <s v="Appliances"/>
    <s v="Breville Microwave, Black"/>
    <n v="1124.26"/>
    <n v="7"/>
    <n v="0.2"/>
    <n v="252.9"/>
    <n v="286.46300000000002"/>
    <s v="Critical"/>
    <n v="7869.82"/>
    <n v="15.73964"/>
    <n v="7567.6173600000002"/>
  </r>
  <r>
    <n v="6415"/>
    <s v="US-2015-GR1456082-42302"/>
    <d v="2015-10-25T00:00:00"/>
    <d v="2015-10-25T00:00:00"/>
    <s v="Same Day"/>
    <s v="GR-1456082"/>
    <s v="Georgia Rosenberg"/>
    <x v="1"/>
    <m/>
    <s v="Mexico City"/>
    <s v="Distrito Federal"/>
    <s v="Mexico"/>
    <x v="13"/>
    <s v="LATAM"/>
    <s v="FUR-TA-5062"/>
    <x v="1"/>
    <s v="Tables"/>
    <s v="Lesro Round Table, Adjustable Height"/>
    <n v="726.72"/>
    <n v="3"/>
    <n v="0.2"/>
    <n v="-18.18"/>
    <n v="286.36599999999999"/>
    <s v="Critical"/>
    <n v="2180.16"/>
    <n v="4.3603199999999998"/>
    <n v="1889.4336800000001"/>
  </r>
  <r>
    <n v="36910"/>
    <s v="CA-2014-AB10105140-41672"/>
    <d v="2014-02-02T00:00:00"/>
    <d v="2014-02-07T00:00:00"/>
    <s v="Standard Class"/>
    <s v="AB-101051406"/>
    <s v="Adrian Barton"/>
    <x v="0"/>
    <n v="10011"/>
    <s v="New York City"/>
    <s v="New York"/>
    <s v="United States"/>
    <x v="14"/>
    <s v="USCA"/>
    <s v="OFF-ST-3360"/>
    <x v="2"/>
    <s v="Storage"/>
    <s v="Belkin 19&quot; Center-Weighted Shelf, Gray"/>
    <n v="117.96"/>
    <n v="2"/>
    <n v="0"/>
    <n v="5.9"/>
    <n v="4.17"/>
    <s v="Medium"/>
    <n v="235.92"/>
    <n v="0"/>
    <n v="231.75"/>
  </r>
  <r>
    <n v="41520"/>
    <s v="MA-2014-DH367577-41926"/>
    <d v="2014-10-14T00:00:00"/>
    <d v="2014-10-15T00:00:00"/>
    <s v="First Class"/>
    <s v="DH-367577"/>
    <s v="Duane Huffman"/>
    <x v="2"/>
    <m/>
    <s v="Antananarivo"/>
    <s v="Analamanga"/>
    <s v="Madagascar"/>
    <x v="10"/>
    <s v="Africa"/>
    <s v="TEC-MA-6148"/>
    <x v="0"/>
    <s v="Machines"/>
    <s v="StarTech Printer, Red"/>
    <n v="1519.92"/>
    <n v="6"/>
    <n v="0"/>
    <n v="653.4"/>
    <n v="286.2"/>
    <s v="Critical"/>
    <n v="9119.52"/>
    <n v="0"/>
    <n v="8833.32"/>
  </r>
  <r>
    <n v="50544"/>
    <s v="RS-2012-MM8280108-40953"/>
    <d v="2012-02-14T00:00:00"/>
    <d v="2012-02-16T00:00:00"/>
    <s v="Second Class"/>
    <s v="MM-8280108"/>
    <s v="Muhammed MacIntyre"/>
    <x v="1"/>
    <m/>
    <s v="Ufa"/>
    <s v="Bashkortostan"/>
    <s v="Russia"/>
    <x v="11"/>
    <s v="Europe"/>
    <s v="TEC-CO-3686"/>
    <x v="0"/>
    <s v="Copiers"/>
    <s v="Canon Fax Machine, Color"/>
    <n v="1279.32"/>
    <n v="4"/>
    <n v="0"/>
    <n v="319.8"/>
    <n v="286.19"/>
    <s v="Critical"/>
    <n v="5117.28"/>
    <n v="0"/>
    <n v="4831.09"/>
  </r>
  <r>
    <n v="42617"/>
    <s v="IR-2012-PM913560-40978"/>
    <d v="2012-03-10T00:00:00"/>
    <d v="2012-03-12T00:00:00"/>
    <s v="Second Class"/>
    <s v="PM-913560"/>
    <s v="Peter McVee"/>
    <x v="2"/>
    <m/>
    <s v="Tehran"/>
    <s v="Tehran"/>
    <s v="Iran"/>
    <x v="5"/>
    <s v="Asia Pacific"/>
    <s v="TEC-PH-5268"/>
    <x v="0"/>
    <s v="Phones"/>
    <s v="Motorola Smart Phone, Full Size"/>
    <n v="642.69000000000005"/>
    <n v="1"/>
    <n v="0"/>
    <n v="244.2"/>
    <n v="285.83"/>
    <s v="Critical"/>
    <n v="642.69000000000005"/>
    <n v="0"/>
    <n v="356.86000000000007"/>
  </r>
  <r>
    <n v="22628"/>
    <s v="IN-2013-GH144257-41489"/>
    <d v="2013-08-03T00:00:00"/>
    <d v="2013-08-08T00:00:00"/>
    <s v="Standard Class"/>
    <s v="GH-144257"/>
    <s v="Gary Hwang"/>
    <x v="0"/>
    <m/>
    <s v="Bendigo"/>
    <s v="Victoria"/>
    <s v="Australia"/>
    <x v="1"/>
    <s v="Asia Pacific"/>
    <s v="FUR-BO-3903"/>
    <x v="1"/>
    <s v="Bookcases"/>
    <s v="Dania Library with Doors, Pine"/>
    <n v="2619"/>
    <n v="8"/>
    <n v="0.1"/>
    <n v="232.68"/>
    <n v="285.64999999999998"/>
    <s v="High"/>
    <n v="20952"/>
    <n v="20.952000000000002"/>
    <n v="20645.397999999997"/>
  </r>
  <r>
    <n v="22166"/>
    <s v="ID-2013-JM1586597-41628"/>
    <d v="2013-12-20T00:00:00"/>
    <d v="2013-12-23T00:00:00"/>
    <s v="First Class"/>
    <s v="JM-1586597"/>
    <s v="John Murray"/>
    <x v="0"/>
    <m/>
    <s v="Quetta"/>
    <s v="Baluchistan"/>
    <s v="Pakistan"/>
    <x v="5"/>
    <s v="Asia Pacific"/>
    <s v="OFF-AP-4967"/>
    <x v="2"/>
    <s v="Appliances"/>
    <s v="KitchenAid Stove, White"/>
    <n v="1704.87"/>
    <n v="6"/>
    <n v="0.5"/>
    <n v="-1023.03"/>
    <n v="285.61"/>
    <s v="Critical"/>
    <n v="10229.219999999999"/>
    <n v="51.146099999999997"/>
    <n v="9892.4638999999988"/>
  </r>
  <r>
    <n v="14084"/>
    <s v="ES-2013-CM1211564-41489"/>
    <d v="2013-08-03T00:00:00"/>
    <d v="2013-08-07T00:00:00"/>
    <s v="Standard Class"/>
    <s v="CM-1211564"/>
    <s v="Chad McGuire"/>
    <x v="0"/>
    <m/>
    <s v="Rovigo"/>
    <s v="Veneto"/>
    <s v="Italy"/>
    <x v="9"/>
    <s v="Europe"/>
    <s v="TEC-CO-4765"/>
    <x v="0"/>
    <s v="Copiers"/>
    <s v="HP Copy Machine, Color"/>
    <n v="1715.91"/>
    <n v="7"/>
    <n v="0"/>
    <n v="583.38"/>
    <n v="285.12"/>
    <s v="High"/>
    <n v="12011.37"/>
    <n v="0"/>
    <n v="11726.25"/>
  </r>
  <r>
    <n v="22632"/>
    <s v="IN-2013-SC2084527-41445"/>
    <d v="2013-06-20T00:00:00"/>
    <d v="2013-06-22T00:00:00"/>
    <s v="First Class"/>
    <s v="SC-2084527"/>
    <s v="Sung Chung"/>
    <x v="0"/>
    <m/>
    <s v="Shenyang"/>
    <s v="Liaoning"/>
    <s v="China"/>
    <x v="8"/>
    <s v="Asia Pacific"/>
    <s v="TEC-PH-5839"/>
    <x v="0"/>
    <s v="Phones"/>
    <s v="Samsung Smart Phone, Cordless"/>
    <n v="1278"/>
    <n v="2"/>
    <n v="0"/>
    <n v="460.08"/>
    <n v="284.81"/>
    <s v="High"/>
    <n v="2556"/>
    <n v="0"/>
    <n v="2271.19"/>
  </r>
  <r>
    <n v="47566"/>
    <s v="MO-2014-GP474086-41678"/>
    <d v="2014-02-08T00:00:00"/>
    <d v="2014-02-09T00:00:00"/>
    <s v="First Class"/>
    <s v="GP-474086"/>
    <s v="Guy Phonely"/>
    <x v="1"/>
    <m/>
    <s v="Casablanca"/>
    <s v="Grand Casablanca"/>
    <s v="Morocco"/>
    <x v="19"/>
    <s v="Africa"/>
    <s v="OFF-AP-4731"/>
    <x v="2"/>
    <s v="Appliances"/>
    <s v="Hoover Microwave, Red"/>
    <n v="1234.56"/>
    <n v="4"/>
    <n v="0"/>
    <n v="246.84"/>
    <n v="284.7"/>
    <s v="Critical"/>
    <n v="4938.24"/>
    <n v="0"/>
    <n v="4653.54"/>
  </r>
  <r>
    <n v="20228"/>
    <s v="ES-2012-AF1087014-41179"/>
    <d v="2012-09-27T00:00:00"/>
    <d v="2012-10-02T00:00:00"/>
    <s v="Standard Class"/>
    <s v="AF-1087014"/>
    <s v="Art Ferguson"/>
    <x v="0"/>
    <m/>
    <s v="Ghent"/>
    <s v="East Flanders"/>
    <s v="Belgium"/>
    <x v="2"/>
    <s v="Europe"/>
    <s v="OFF-AP-4738"/>
    <x v="2"/>
    <s v="Appliances"/>
    <s v="Hoover Refrigerator, White"/>
    <n v="4195.2"/>
    <n v="8"/>
    <n v="0"/>
    <n v="839.04"/>
    <n v="284.51"/>
    <s v="Medium"/>
    <n v="33561.599999999999"/>
    <n v="0"/>
    <n v="33277.089999999997"/>
  </r>
  <r>
    <n v="15389"/>
    <s v="IT-2013-TS2150545-41448"/>
    <d v="2013-06-23T00:00:00"/>
    <d v="2013-06-26T00:00:00"/>
    <s v="Second Class"/>
    <s v="TS-2150545"/>
    <s v="Tony Sayre"/>
    <x v="0"/>
    <m/>
    <s v="Boulogne-Billancourt"/>
    <s v="Ile-de-France"/>
    <s v="France"/>
    <x v="2"/>
    <s v="Europe"/>
    <s v="FUR-BO-5786"/>
    <x v="1"/>
    <s v="Bookcases"/>
    <s v="Safco Library with Doors, Mobile"/>
    <n v="1765.4"/>
    <n v="5"/>
    <n v="0.1"/>
    <n v="-98.21"/>
    <n v="284.19"/>
    <s v="High"/>
    <n v="8827"/>
    <n v="8.827"/>
    <n v="8533.9830000000002"/>
  </r>
  <r>
    <n v="189"/>
    <s v="MX-2014-CR1273028-41993"/>
    <d v="2014-12-20T00:00:00"/>
    <d v="2014-12-22T00:00:00"/>
    <s v="First Class"/>
    <s v="CR-1273028"/>
    <s v="Craig Reiter"/>
    <x v="0"/>
    <m/>
    <s v="Soacha"/>
    <s v="Cundinamarca"/>
    <s v="Colombia"/>
    <x v="7"/>
    <s v="LATAM"/>
    <s v="FUR-TA-3420"/>
    <x v="1"/>
    <s v="Tables"/>
    <s v="Bevis Conference Table, Fully Assembled"/>
    <n v="1480.37"/>
    <n v="3"/>
    <n v="0.2"/>
    <n v="333.05"/>
    <n v="283.928"/>
    <s v="Medium"/>
    <n v="4441.1099999999997"/>
    <n v="8.8822200000000002"/>
    <n v="4148.2997799999994"/>
  </r>
  <r>
    <n v="26986"/>
    <s v="ID-2012-BM115757-41149"/>
    <d v="2012-08-28T00:00:00"/>
    <d v="2012-09-04T00:00:00"/>
    <s v="Standard Class"/>
    <s v="BM-115757"/>
    <s v="Brendan Murry"/>
    <x v="1"/>
    <m/>
    <s v="Brisbane"/>
    <s v="Queensland"/>
    <s v="Australia"/>
    <x v="1"/>
    <s v="Asia Pacific"/>
    <s v="FUR-TA-5071"/>
    <x v="1"/>
    <s v="Tables"/>
    <s v="Lesro Wood Table, Adjustable Height"/>
    <n v="2301.14"/>
    <n v="7"/>
    <n v="0.3"/>
    <n v="-953.44"/>
    <n v="283.36"/>
    <s v="Low"/>
    <n v="16107.98"/>
    <n v="48.323939999999993"/>
    <n v="15776.296059999999"/>
  </r>
  <r>
    <n v="12764"/>
    <s v="ES-2015-AH100308-42203"/>
    <d v="2015-07-18T00:00:00"/>
    <d v="2015-07-18T00:00:00"/>
    <s v="Same Day"/>
    <s v="AH-100308"/>
    <s v="Aaron Hawkins"/>
    <x v="1"/>
    <m/>
    <s v="Vienna"/>
    <s v="Vienna"/>
    <s v="Austria"/>
    <x v="2"/>
    <s v="Europe"/>
    <s v="FUR-BO-3640"/>
    <x v="1"/>
    <s v="Bookcases"/>
    <s v="Bush Library with Doors, Mobile"/>
    <n v="1100.52"/>
    <n v="3"/>
    <n v="0"/>
    <n v="352.08"/>
    <n v="283.25"/>
    <s v="Critical"/>
    <n v="3301.56"/>
    <n v="0"/>
    <n v="3018.31"/>
  </r>
  <r>
    <n v="28750"/>
    <s v="IN-2012-AG1049527-41248"/>
    <d v="2012-12-05T00:00:00"/>
    <d v="2012-12-12T00:00:00"/>
    <s v="Standard Class"/>
    <s v="AG-1049527"/>
    <s v="Andrew Gjertsen"/>
    <x v="1"/>
    <m/>
    <s v="Xiangtan"/>
    <s v="Hunan"/>
    <s v="China"/>
    <x v="8"/>
    <s v="Asia Pacific"/>
    <s v="TEC-CO-4790"/>
    <x v="0"/>
    <s v="Copiers"/>
    <s v="HP Wireless Fax, Digital"/>
    <n v="2518.9499999999998"/>
    <n v="7"/>
    <n v="0"/>
    <n v="553.98"/>
    <n v="283.08999999999997"/>
    <s v="Medium"/>
    <n v="17632.649999999998"/>
    <n v="0"/>
    <n v="17349.559999999998"/>
  </r>
  <r>
    <n v="12215"/>
    <s v="ES-2015-BN11470139-42110"/>
    <d v="2015-04-16T00:00:00"/>
    <d v="2015-04-16T00:00:00"/>
    <s v="Same Day"/>
    <s v="BN-11470139"/>
    <s v="Brad Norvell"/>
    <x v="1"/>
    <m/>
    <s v="Dudley"/>
    <s v="England"/>
    <s v="United Kingdom"/>
    <x v="12"/>
    <s v="Europe"/>
    <s v="FUR-BO-5778"/>
    <x v="1"/>
    <s v="Bookcases"/>
    <s v="Safco Floating Shelf Set, Mobile"/>
    <n v="996.3"/>
    <n v="5"/>
    <n v="0"/>
    <n v="119.55"/>
    <n v="282.58"/>
    <s v="Critical"/>
    <n v="4981.5"/>
    <n v="0"/>
    <n v="4698.92"/>
  </r>
  <r>
    <n v="42837"/>
    <s v="AU-2012-AG6758-41153"/>
    <d v="2012-09-01T00:00:00"/>
    <d v="2012-09-01T00:00:00"/>
    <s v="Same Day"/>
    <s v="AG-6758"/>
    <s v="Anna Gayman"/>
    <x v="0"/>
    <m/>
    <s v="Vienna"/>
    <s v="Vienna"/>
    <s v="Austria"/>
    <x v="2"/>
    <s v="Europe"/>
    <s v="FUR-TA-4646"/>
    <x v="1"/>
    <s v="Tables"/>
    <s v="Hon Conference Table, Fully Assembled"/>
    <n v="922.95"/>
    <n v="1"/>
    <n v="0"/>
    <n v="341.49"/>
    <n v="282.08999999999997"/>
    <s v="Critical"/>
    <n v="922.95"/>
    <n v="0"/>
    <n v="640.86000000000013"/>
  </r>
  <r>
    <n v="20009"/>
    <s v="ES-2014-SW2075545-41852"/>
    <d v="2014-08-01T00:00:00"/>
    <d v="2014-08-02T00:00:00"/>
    <s v="First Class"/>
    <s v="SW-2075545"/>
    <s v="Steven Ward"/>
    <x v="1"/>
    <m/>
    <s v="Ris-Orangis"/>
    <s v="Ile-de-France"/>
    <s v="France"/>
    <x v="2"/>
    <s v="Europe"/>
    <s v="FUR-BO-4848"/>
    <x v="1"/>
    <s v="Bookcases"/>
    <s v="Ikea Classic Bookcase, Metal"/>
    <n v="1850.45"/>
    <n v="5"/>
    <n v="0.1"/>
    <n v="185"/>
    <n v="281.82"/>
    <s v="High"/>
    <n v="9252.25"/>
    <n v="9.2522500000000001"/>
    <n v="8961.1777500000007"/>
  </r>
  <r>
    <n v="10787"/>
    <s v="ES-2015-SK1999045-42222"/>
    <d v="2015-08-06T00:00:00"/>
    <d v="2015-08-07T00:00:00"/>
    <s v="First Class"/>
    <s v="SK-1999045"/>
    <s v="Sally Knutson"/>
    <x v="0"/>
    <m/>
    <s v="Levallois-Perret"/>
    <s v="Ile-de-France"/>
    <s v="France"/>
    <x v="2"/>
    <s v="Europe"/>
    <s v="TEC-AC-5896"/>
    <x v="0"/>
    <s v="Accessories"/>
    <s v="SanDisk Router, Programmable"/>
    <n v="1547.1"/>
    <n v="6"/>
    <n v="0"/>
    <n v="340.2"/>
    <n v="280.54000000000002"/>
    <s v="Critical"/>
    <n v="9282.5999999999985"/>
    <n v="0"/>
    <n v="9002.0599999999977"/>
  </r>
  <r>
    <n v="30273"/>
    <s v="IN-2015-MP18175144-42328"/>
    <d v="2015-11-20T00:00:00"/>
    <d v="2015-11-23T00:00:00"/>
    <s v="First Class"/>
    <s v="MP-18175144"/>
    <s v="Mike Pelletier"/>
    <x v="2"/>
    <m/>
    <s v="Ho Chi Minh City"/>
    <s v="Ho Chí Minh City"/>
    <s v="Vietnam"/>
    <x v="17"/>
    <s v="Asia Pacific"/>
    <s v="OFF-AP-4961"/>
    <x v="2"/>
    <s v="Appliances"/>
    <s v="KitchenAid Refrigerator, Red"/>
    <n v="2190.9499999999998"/>
    <n v="5"/>
    <n v="0.17"/>
    <n v="316.7"/>
    <n v="280.47000000000003"/>
    <s v="Medium"/>
    <n v="10954.75"/>
    <n v="18.623075"/>
    <n v="10655.656925000001"/>
  </r>
  <r>
    <n v="2378"/>
    <s v="MX-2013-AG1090082-41398"/>
    <d v="2013-05-04T00:00:00"/>
    <d v="2013-05-09T00:00:00"/>
    <s v="Standard Class"/>
    <s v="AG-1090082"/>
    <s v="Arthur Gainer"/>
    <x v="0"/>
    <m/>
    <s v="Mexico City"/>
    <s v="Distrito Federal"/>
    <s v="Mexico"/>
    <x v="13"/>
    <s v="LATAM"/>
    <s v="OFF-AP-4508"/>
    <x v="2"/>
    <s v="Appliances"/>
    <s v="Hamilton Beach Stove, White"/>
    <n v="3242.88"/>
    <n v="9"/>
    <n v="0"/>
    <n v="324.18"/>
    <n v="279.52999999999997"/>
    <s v="Medium"/>
    <n v="29185.920000000002"/>
    <n v="0"/>
    <n v="28906.390000000003"/>
  </r>
  <r>
    <n v="47985"/>
    <s v="MO-2013-AJ96086-41513"/>
    <d v="2013-08-27T00:00:00"/>
    <d v="2013-08-31T00:00:00"/>
    <s v="Standard Class"/>
    <s v="AJ-96086"/>
    <s v="Astrea Jones"/>
    <x v="0"/>
    <m/>
    <s v="Casablanca"/>
    <s v="Grand Casablanca"/>
    <s v="Morocco"/>
    <x v="19"/>
    <s v="Africa"/>
    <s v="TEC-PH-5842"/>
    <x v="0"/>
    <s v="Phones"/>
    <s v="Samsung Smart Phone, with Caller ID"/>
    <n v="2544.6"/>
    <n v="4"/>
    <n v="0"/>
    <n v="1246.8"/>
    <n v="279.11"/>
    <s v="High"/>
    <n v="10178.4"/>
    <n v="0"/>
    <n v="9899.2899999999991"/>
  </r>
  <r>
    <n v="46433"/>
    <s v="UP-2014-MC7275137-41997"/>
    <d v="2014-12-24T00:00:00"/>
    <d v="2014-12-29T00:00:00"/>
    <s v="Second Class"/>
    <s v="MC-7275137"/>
    <s v="Marc Crier"/>
    <x v="0"/>
    <m/>
    <s v="Luts'k"/>
    <s v="Volyn"/>
    <s v="Ukraine"/>
    <x v="11"/>
    <s v="Europe"/>
    <s v="TEC-PH-3806"/>
    <x v="0"/>
    <s v="Phones"/>
    <s v="Cisco Smart Phone, Full Size"/>
    <n v="2605.56"/>
    <n v="4"/>
    <n v="0"/>
    <n v="573.12"/>
    <n v="278.98"/>
    <s v="Medium"/>
    <n v="10422.24"/>
    <n v="0"/>
    <n v="10143.26"/>
  </r>
  <r>
    <n v="19915"/>
    <s v="IT-2014-JF15295120-41668"/>
    <d v="2014-01-29T00:00:00"/>
    <d v="2014-01-31T00:00:00"/>
    <s v="Second Class"/>
    <s v="JF-15295120"/>
    <s v="Jason Fortune-"/>
    <x v="0"/>
    <m/>
    <s v="Madrid"/>
    <s v="Madrid"/>
    <s v="Spain"/>
    <x v="9"/>
    <s v="Europe"/>
    <s v="OFF-ST-6033"/>
    <x v="2"/>
    <s v="Storage"/>
    <s v="Smead File Cart, Single Width"/>
    <n v="1271.46"/>
    <n v="11"/>
    <n v="0.1"/>
    <n v="-127.41"/>
    <n v="278.75"/>
    <s v="High"/>
    <n v="13986.060000000001"/>
    <n v="13.986060000000002"/>
    <n v="13693.323940000002"/>
  </r>
  <r>
    <n v="29802"/>
    <s v="IN-2013-EJ13720113-41608"/>
    <d v="2013-11-30T00:00:00"/>
    <d v="2013-12-04T00:00:00"/>
    <s v="Second Class"/>
    <s v="EJ-13720113"/>
    <s v="Ed Jacobs"/>
    <x v="0"/>
    <m/>
    <s v="Singapore"/>
    <s v="Singapore"/>
    <s v="Singapore"/>
    <x v="17"/>
    <s v="Asia Pacific"/>
    <s v="FUR-BO-3889"/>
    <x v="1"/>
    <s v="Bookcases"/>
    <s v="Dania Classic Bookcase, Metal"/>
    <n v="2051.1"/>
    <n v="5"/>
    <n v="0"/>
    <n v="40.950000000000003"/>
    <n v="278.13"/>
    <s v="High"/>
    <n v="10255.5"/>
    <n v="0"/>
    <n v="9977.3700000000008"/>
  </r>
  <r>
    <n v="2645"/>
    <s v="MX-2014-MS1736539-41780"/>
    <d v="2014-05-21T00:00:00"/>
    <d v="2014-05-23T00:00:00"/>
    <s v="Second Class"/>
    <s v="MS-1736539"/>
    <s v="Maribeth Schnelling"/>
    <x v="0"/>
    <m/>
    <s v="San Salvador"/>
    <s v="San Salvador"/>
    <s v="El Salvador"/>
    <x v="13"/>
    <s v="LATAM"/>
    <s v="TEC-PH-5355"/>
    <x v="0"/>
    <s v="Phones"/>
    <s v="Nokia Smart Phone, Full Size"/>
    <n v="2544.2399999999998"/>
    <n v="6"/>
    <n v="0"/>
    <n v="992.16"/>
    <n v="277.92500000000001"/>
    <s v="High"/>
    <n v="15265.439999999999"/>
    <n v="0"/>
    <n v="14987.514999999999"/>
  </r>
  <r>
    <n v="11975"/>
    <s v="ES-2015-DH13675139-42182"/>
    <d v="2015-06-27T00:00:00"/>
    <d v="2015-06-28T00:00:00"/>
    <s v="First Class"/>
    <s v="DH-13675139"/>
    <s v="Duane Huffman"/>
    <x v="2"/>
    <m/>
    <s v="Stoke-on-Trent"/>
    <s v="England"/>
    <s v="United Kingdom"/>
    <x v="12"/>
    <s v="Europe"/>
    <s v="FUR-BO-5763"/>
    <x v="1"/>
    <s v="Bookcases"/>
    <s v="Safco Classic Bookcase, Traditional"/>
    <n v="1314.45"/>
    <n v="3"/>
    <n v="0"/>
    <n v="341.73"/>
    <n v="277.29000000000002"/>
    <s v="Medium"/>
    <n v="3943.3500000000004"/>
    <n v="0"/>
    <n v="3666.0600000000004"/>
  </r>
  <r>
    <n v="7666"/>
    <s v="MX-2014-HE1480018-41845"/>
    <d v="2014-07-25T00:00:00"/>
    <d v="2014-07-28T00:00:00"/>
    <s v="First Class"/>
    <s v="HE-1480018"/>
    <s v="Harold Engle"/>
    <x v="1"/>
    <m/>
    <s v="São Paulo"/>
    <s v="São Paulo"/>
    <s v="Brazil"/>
    <x v="7"/>
    <s v="LATAM"/>
    <s v="FUR-TA-4647"/>
    <x v="1"/>
    <s v="Tables"/>
    <s v="Hon Conference Table, Rectangular"/>
    <n v="980.32"/>
    <n v="2"/>
    <n v="0.2"/>
    <n v="110.28"/>
    <n v="276.71300000000002"/>
    <s v="Medium"/>
    <n v="1960.64"/>
    <n v="3.9212800000000003"/>
    <n v="1680.0057200000001"/>
  </r>
  <r>
    <n v="23278"/>
    <s v="IN-2012-SB2017027-41208"/>
    <d v="2012-10-26T00:00:00"/>
    <d v="2012-10-28T00:00:00"/>
    <s v="Second Class"/>
    <s v="SB-2017027"/>
    <s v="Sarah Bern"/>
    <x v="0"/>
    <m/>
    <s v="Huaibei"/>
    <s v="Anhui"/>
    <s v="China"/>
    <x v="8"/>
    <s v="Asia Pacific"/>
    <s v="FUR-BO-4851"/>
    <x v="1"/>
    <s v="Bookcases"/>
    <s v="Ikea Classic Bookcase, Traditional"/>
    <n v="2470.5"/>
    <n v="6"/>
    <n v="0"/>
    <n v="518.76"/>
    <n v="276.29000000000002"/>
    <s v="Medium"/>
    <n v="14823"/>
    <n v="0"/>
    <n v="14546.71"/>
  </r>
  <r>
    <n v="30694"/>
    <s v="IN-2013-VT2170092-41634"/>
    <d v="2013-12-26T00:00:00"/>
    <d v="2013-12-27T00:00:00"/>
    <s v="First Class"/>
    <s v="VT-2170092"/>
    <s v="Valerie Takahito"/>
    <x v="2"/>
    <m/>
    <s v="Masterton"/>
    <s v="Wellington"/>
    <s v="New Zealand"/>
    <x v="1"/>
    <s v="Asia Pacific"/>
    <s v="FUR-BO-5949"/>
    <x v="1"/>
    <s v="Bookcases"/>
    <s v="Sauder Classic Bookcase, Mobile"/>
    <n v="877.02"/>
    <n v="2"/>
    <n v="0"/>
    <n v="105.24"/>
    <n v="275.91000000000003"/>
    <s v="Critical"/>
    <n v="1754.04"/>
    <n v="0"/>
    <n v="1478.1299999999999"/>
  </r>
  <r>
    <n v="30581"/>
    <s v="IN-2013-BC1112592-41401"/>
    <d v="2013-05-07T00:00:00"/>
    <d v="2013-05-10T00:00:00"/>
    <s v="First Class"/>
    <s v="BC-1112592"/>
    <s v="Becky Castell"/>
    <x v="2"/>
    <m/>
    <s v="Whangarei"/>
    <s v="Northland"/>
    <s v="New Zealand"/>
    <x v="1"/>
    <s v="Asia Pacific"/>
    <s v="TEC-CO-4576"/>
    <x v="0"/>
    <s v="Copiers"/>
    <s v="Hewlett Fax Machine, Digital"/>
    <n v="1917.36"/>
    <n v="6"/>
    <n v="0"/>
    <n v="747.72"/>
    <n v="275.57"/>
    <s v="Medium"/>
    <n v="11504.16"/>
    <n v="0"/>
    <n v="11228.59"/>
  </r>
  <r>
    <n v="20626"/>
    <s v="IN-2012-NF1859527-40916"/>
    <d v="2012-01-08T00:00:00"/>
    <d v="2012-01-12T00:00:00"/>
    <s v="Second Class"/>
    <s v="NF-1859527"/>
    <s v="Nicole Fjeld"/>
    <x v="2"/>
    <m/>
    <s v="Kunming"/>
    <s v="Yunnan"/>
    <s v="China"/>
    <x v="8"/>
    <s v="Asia Pacific"/>
    <s v="TEC-MA-5548"/>
    <x v="0"/>
    <s v="Machines"/>
    <s v="Panasonic Inkjet, White"/>
    <n v="2173.5"/>
    <n v="7"/>
    <n v="0"/>
    <n v="260.82"/>
    <n v="275.52"/>
    <s v="Medium"/>
    <n v="15214.5"/>
    <n v="0"/>
    <n v="14938.98"/>
  </r>
  <r>
    <n v="36955"/>
    <s v="CA-2014-AH10120140-41992"/>
    <d v="2014-12-19T00:00:00"/>
    <d v="2014-12-22T00:00:00"/>
    <s v="First Class"/>
    <s v="AH-101201404"/>
    <s v="Adrian Hane"/>
    <x v="2"/>
    <n v="97301"/>
    <s v="Salem"/>
    <s v="Oregon"/>
    <s v="United States"/>
    <x v="4"/>
    <s v="USCA"/>
    <s v="FUR-TA-4841"/>
    <x v="1"/>
    <s v="Tables"/>
    <s v="Iceberg OfficeWorks 42&quot; Round Tables"/>
    <n v="377.45"/>
    <n v="5"/>
    <n v="0.5"/>
    <n v="-264.22000000000003"/>
    <n v="55.53"/>
    <s v="Medium"/>
    <n v="1887.25"/>
    <n v="9.4362499999999994"/>
    <n v="1822.2837500000001"/>
  </r>
  <r>
    <n v="35948"/>
    <s v="CA-2015-AH10120140-42103"/>
    <d v="2015-04-09T00:00:00"/>
    <d v="2015-04-13T00:00:00"/>
    <s v="Standard Class"/>
    <s v="AH-101201404"/>
    <s v="Adrian Hane"/>
    <x v="2"/>
    <n v="94110"/>
    <s v="San Francisco"/>
    <s v="California"/>
    <s v="United States"/>
    <x v="4"/>
    <s v="USCA"/>
    <s v="OFF-PA-6497"/>
    <x v="2"/>
    <s v="Paper"/>
    <s v="Xerox 1942"/>
    <n v="195.76"/>
    <n v="4"/>
    <n v="0"/>
    <n v="97.88"/>
    <n v="34.03"/>
    <s v="High"/>
    <n v="783.04"/>
    <n v="0"/>
    <n v="749.01"/>
  </r>
  <r>
    <n v="16678"/>
    <s v="IT-2012-RB19330120-41077"/>
    <d v="2012-06-17T00:00:00"/>
    <d v="2012-06-19T00:00:00"/>
    <s v="Second Class"/>
    <s v="RB-19330120"/>
    <s v="Randy Bradley"/>
    <x v="0"/>
    <m/>
    <s v="Pamplona"/>
    <s v="Navarra"/>
    <s v="Spain"/>
    <x v="9"/>
    <s v="Europe"/>
    <s v="FUR-BO-4860"/>
    <x v="1"/>
    <s v="Bookcases"/>
    <s v="Ikea Library with Doors, Metal"/>
    <n v="1814.25"/>
    <n v="5"/>
    <n v="0"/>
    <n v="653.1"/>
    <n v="274.63"/>
    <s v="High"/>
    <n v="9071.25"/>
    <n v="0"/>
    <n v="8796.6200000000008"/>
  </r>
  <r>
    <n v="18994"/>
    <s v="ES-2013-CS11950124-41283"/>
    <d v="2013-01-09T00:00:00"/>
    <d v="2013-01-10T00:00:00"/>
    <s v="First Class"/>
    <s v="CS-11950124"/>
    <s v="Carlos Soltero"/>
    <x v="0"/>
    <m/>
    <s v="Haninge"/>
    <s v="Stockholm"/>
    <s v="Sweden"/>
    <x v="12"/>
    <s v="Europe"/>
    <s v="OFF-AP-3577"/>
    <x v="2"/>
    <s v="Appliances"/>
    <s v="Breville Refrigerator, White"/>
    <n v="1293.68"/>
    <n v="5"/>
    <n v="0.5"/>
    <n v="-776.33"/>
    <n v="274.58"/>
    <s v="Critical"/>
    <n v="6468.4000000000005"/>
    <n v="32.342000000000006"/>
    <n v="6161.478000000001"/>
  </r>
  <r>
    <n v="17903"/>
    <s v="ES-2015-BW11110120-42046"/>
    <d v="2015-02-11T00:00:00"/>
    <d v="2015-02-15T00:00:00"/>
    <s v="Standard Class"/>
    <s v="BW-11110120"/>
    <s v="Bart Watters"/>
    <x v="1"/>
    <m/>
    <s v="Oviedo"/>
    <s v="Asturias"/>
    <s v="Spain"/>
    <x v="9"/>
    <s v="Europe"/>
    <s v="OFF-AP-3868"/>
    <x v="2"/>
    <s v="Appliances"/>
    <s v="Cuisinart Refrigerator, Black"/>
    <n v="2477.5500000000002"/>
    <n v="5"/>
    <n v="0"/>
    <n v="1040.55"/>
    <n v="273.88"/>
    <s v="High"/>
    <n v="12387.75"/>
    <n v="0"/>
    <n v="12113.87"/>
  </r>
  <r>
    <n v="33399"/>
    <s v="CA-2012-AH10120140-41107"/>
    <d v="2012-07-17T00:00:00"/>
    <d v="2012-07-17T00:00:00"/>
    <s v="Same Day"/>
    <s v="AH-101201404"/>
    <s v="Adrian Hane"/>
    <x v="2"/>
    <n v="85705"/>
    <s v="Tucson"/>
    <s v="Arizona"/>
    <s v="United States"/>
    <x v="4"/>
    <s v="USCA"/>
    <s v="FUR-CH-5428"/>
    <x v="1"/>
    <s v="Chairs"/>
    <s v="Office Star - Ergonomically Designed Knee Chair"/>
    <n v="259.14"/>
    <n v="4"/>
    <n v="0.2"/>
    <n v="-25.91"/>
    <n v="31.15"/>
    <s v="High"/>
    <n v="1036.56"/>
    <n v="2.0731200000000003"/>
    <n v="1003.33688"/>
  </r>
  <r>
    <n v="25276"/>
    <s v="IN-2013-LW1682558-41376"/>
    <d v="2013-04-12T00:00:00"/>
    <d v="2013-04-14T00:00:00"/>
    <s v="Second Class"/>
    <s v="LW-1682558"/>
    <s v="Laurel Workman"/>
    <x v="1"/>
    <m/>
    <s v="Nasik"/>
    <s v="Maharashtra"/>
    <s v="India"/>
    <x v="5"/>
    <s v="Asia Pacific"/>
    <s v="TEC-CO-4789"/>
    <x v="0"/>
    <s v="Copiers"/>
    <s v="HP Wireless Fax, Color"/>
    <n v="723.3"/>
    <n v="2"/>
    <n v="0"/>
    <n v="332.7"/>
    <n v="273.63"/>
    <s v="Critical"/>
    <n v="1446.6"/>
    <n v="0"/>
    <n v="1172.9699999999998"/>
  </r>
  <r>
    <n v="19882"/>
    <s v="ES-2015-RD19585120-42007"/>
    <d v="2015-01-03T00:00:00"/>
    <d v="2015-01-04T00:00:00"/>
    <s v="Same Day"/>
    <s v="RD-19585120"/>
    <s v="Rob Dowd"/>
    <x v="0"/>
    <m/>
    <s v="Torrevieja"/>
    <s v="Valenciana"/>
    <s v="Spain"/>
    <x v="9"/>
    <s v="Europe"/>
    <s v="TEC-CO-3681"/>
    <x v="0"/>
    <s v="Copiers"/>
    <s v="Canon Copy Machine, Laser"/>
    <n v="2097.12"/>
    <n v="8"/>
    <n v="0"/>
    <n v="188.64"/>
    <n v="273.57"/>
    <s v="High"/>
    <n v="16776.96"/>
    <n v="0"/>
    <n v="16503.39"/>
  </r>
  <r>
    <n v="20685"/>
    <s v="IN-2015-BT1168066-42351"/>
    <d v="2015-12-13T00:00:00"/>
    <d v="2015-12-19T00:00:00"/>
    <s v="Standard Class"/>
    <s v="BT-1168066"/>
    <s v="Brian Thompson"/>
    <x v="0"/>
    <m/>
    <s v="Ube"/>
    <s v="Yamaguchi"/>
    <s v="Japan"/>
    <x v="8"/>
    <s v="Asia Pacific"/>
    <s v="OFF-AP-4508"/>
    <x v="2"/>
    <s v="Appliances"/>
    <s v="Hamilton Beach Stove, White"/>
    <n v="3242.88"/>
    <n v="6"/>
    <n v="0"/>
    <n v="421.56"/>
    <n v="271.58999999999997"/>
    <s v="Medium"/>
    <n v="19457.28"/>
    <n v="0"/>
    <n v="19185.689999999999"/>
  </r>
  <r>
    <n v="38992"/>
    <s v="CA-2015-AH10120140-42188"/>
    <d v="2015-07-03T00:00:00"/>
    <d v="2015-07-06T00:00:00"/>
    <s v="First Class"/>
    <s v="AH-101201402"/>
    <s v="Adrian Hane"/>
    <x v="2"/>
    <n v="77036"/>
    <s v="Houston"/>
    <s v="Texas"/>
    <s v="United States"/>
    <x v="0"/>
    <s v="USCA"/>
    <s v="OFF-PA-6361"/>
    <x v="2"/>
    <s v="Paper"/>
    <s v="White Dual Perf Computer Printout Paper, 2700 Sheets, 1 Part, Heavyweight, 20 lbs., 14 7/8 x 11"/>
    <n v="163.96"/>
    <n v="5"/>
    <n v="0.2"/>
    <n v="59.44"/>
    <n v="17.38"/>
    <s v="Medium"/>
    <n v="819.80000000000007"/>
    <n v="1.6396000000000004"/>
    <n v="800.7804000000001"/>
  </r>
  <r>
    <n v="37710"/>
    <s v="CA-2015-AH10120140-42234"/>
    <d v="2015-08-18T00:00:00"/>
    <d v="2015-08-24T00:00:00"/>
    <s v="Standard Class"/>
    <s v="AH-101201408"/>
    <s v="Adrian Hane"/>
    <x v="2"/>
    <n v="40214"/>
    <s v="Louisville"/>
    <s v="Kentucky"/>
    <s v="United States"/>
    <x v="18"/>
    <s v="USCA"/>
    <s v="TEC-AC-5097"/>
    <x v="0"/>
    <s v="Accessories"/>
    <s v="Logitech Desktop MK120 Mouse and keyboard Combo"/>
    <n v="98.16"/>
    <n v="6"/>
    <n v="0"/>
    <n v="9.82"/>
    <n v="13.93"/>
    <s v="Low"/>
    <n v="588.96"/>
    <n v="0"/>
    <n v="575.03000000000009"/>
  </r>
  <r>
    <n v="16408"/>
    <s v="IT-2015-TB2117564-42284"/>
    <d v="2015-10-07T00:00:00"/>
    <d v="2015-10-08T00:00:00"/>
    <s v="First Class"/>
    <s v="TB-2117564"/>
    <s v="Thomas Boland"/>
    <x v="1"/>
    <m/>
    <s v="Pozzuoli"/>
    <s v="Campania"/>
    <s v="Italy"/>
    <x v="9"/>
    <s v="Europe"/>
    <s v="FUR-BO-5972"/>
    <x v="1"/>
    <s v="Bookcases"/>
    <s v="Sauder Stackable Bookrack, Pine"/>
    <n v="597.36"/>
    <n v="4"/>
    <n v="0"/>
    <n v="226.92"/>
    <n v="271.01"/>
    <s v="Critical"/>
    <n v="2389.44"/>
    <n v="0"/>
    <n v="2118.4300000000003"/>
  </r>
  <r>
    <n v="43335"/>
    <s v="UP-2014-MD7860137-41810"/>
    <d v="2014-06-20T00:00:00"/>
    <d v="2014-06-24T00:00:00"/>
    <s v="Standard Class"/>
    <s v="MD-7860137"/>
    <s v="Michael Dominguez"/>
    <x v="1"/>
    <m/>
    <s v="Poltava"/>
    <s v="Poltava"/>
    <s v="Ukraine"/>
    <x v="11"/>
    <s v="Europe"/>
    <s v="OFF-AP-4498"/>
    <x v="2"/>
    <s v="Appliances"/>
    <s v="Hamilton Beach Microwave, Red"/>
    <n v="3955.14"/>
    <n v="14"/>
    <n v="0"/>
    <n v="1383.9"/>
    <n v="270.64999999999998"/>
    <s v="High"/>
    <n v="55371.96"/>
    <n v="0"/>
    <n v="55101.31"/>
  </r>
  <r>
    <n v="20959"/>
    <s v="IN-2015-JH1618059-42196"/>
    <d v="2015-07-11T00:00:00"/>
    <d v="2015-07-14T00:00:00"/>
    <s v="First Class"/>
    <s v="JH-1618059"/>
    <s v="Justin Hirsh"/>
    <x v="0"/>
    <m/>
    <s v="Depok"/>
    <s v="Yogyakarta"/>
    <s v="Indonesia"/>
    <x v="17"/>
    <s v="Asia Pacific"/>
    <s v="FUR-BO-3887"/>
    <x v="1"/>
    <s v="Bookcases"/>
    <s v="Dania 3-Shelf Cabinet, Pine"/>
    <n v="796.82"/>
    <n v="6"/>
    <n v="7.0000000000000007E-2"/>
    <n v="231.26"/>
    <n v="270.56"/>
    <s v="High"/>
    <n v="4780.92"/>
    <n v="3.3466440000000004"/>
    <n v="4507.0133559999995"/>
  </r>
  <r>
    <n v="13714"/>
    <s v="ES-2015-CC1214548-42118"/>
    <d v="2015-04-24T00:00:00"/>
    <d v="2015-04-27T00:00:00"/>
    <s v="Second Class"/>
    <s v="CC-1214548"/>
    <s v="Charles Crestani"/>
    <x v="0"/>
    <m/>
    <s v="Regensburg"/>
    <s v="Bavaria"/>
    <s v="Germany"/>
    <x v="2"/>
    <s v="Europe"/>
    <s v="TEC-AC-4186"/>
    <x v="0"/>
    <s v="Accessories"/>
    <s v="Enermax Router, Erganomic"/>
    <n v="2305.2600000000002"/>
    <n v="9"/>
    <n v="0"/>
    <n v="922.05"/>
    <n v="270.26"/>
    <s v="Medium"/>
    <n v="20747.340000000004"/>
    <n v="0"/>
    <n v="20477.080000000005"/>
  </r>
  <r>
    <n v="3875"/>
    <s v="MX-2012-XP2186539-41032"/>
    <d v="2012-05-03T00:00:00"/>
    <d v="2012-05-07T00:00:00"/>
    <s v="Standard Class"/>
    <s v="XP-2186539"/>
    <s v="Xylona Preis"/>
    <x v="0"/>
    <m/>
    <s v="Mejicanos"/>
    <s v="San Salvador"/>
    <s v="El Salvador"/>
    <x v="13"/>
    <s v="LATAM"/>
    <s v="FUR-TA-4713"/>
    <x v="1"/>
    <s v="Tables"/>
    <s v="Hon Wood Table, with Bottom Storage"/>
    <n v="2833.76"/>
    <n v="10"/>
    <n v="0.2"/>
    <n v="35.36"/>
    <n v="269.94"/>
    <s v="High"/>
    <n v="28337.600000000002"/>
    <n v="56.675200000000004"/>
    <n v="28010.984800000002"/>
  </r>
  <r>
    <n v="23466"/>
    <s v="IN-2012-TS2137058-41187"/>
    <d v="2012-10-05T00:00:00"/>
    <d v="2012-10-09T00:00:00"/>
    <s v="Standard Class"/>
    <s v="TS-2137058"/>
    <s v="Todd Sumrall"/>
    <x v="1"/>
    <m/>
    <s v="Visakhapatnam"/>
    <s v="Andhra Pradesh"/>
    <s v="India"/>
    <x v="5"/>
    <s v="Asia Pacific"/>
    <s v="OFF-AP-3575"/>
    <x v="2"/>
    <s v="Appliances"/>
    <s v="Breville Refrigerator, Red"/>
    <n v="2077.3200000000002"/>
    <n v="4"/>
    <n v="0"/>
    <n v="581.64"/>
    <n v="269.89"/>
    <s v="Medium"/>
    <n v="8309.2800000000007"/>
    <n v="0"/>
    <n v="8039.39"/>
  </r>
  <r>
    <n v="4452"/>
    <s v="MX-2015-ML1741031-42320"/>
    <d v="2015-11-12T00:00:00"/>
    <d v="2015-11-16T00:00:00"/>
    <s v="Standard Class"/>
    <s v="ML-1741031"/>
    <s v="Maris LaWare"/>
    <x v="0"/>
    <m/>
    <s v="Camagüey"/>
    <s v="Camagüey"/>
    <s v="Cuba"/>
    <x v="15"/>
    <s v="LATAM"/>
    <s v="FUR-BO-3892"/>
    <x v="1"/>
    <s v="Bookcases"/>
    <s v="Dania Classic Bookcase, Traditional"/>
    <n v="1916.88"/>
    <n v="7"/>
    <n v="0"/>
    <n v="939.26"/>
    <n v="269.76400000000001"/>
    <s v="High"/>
    <n v="13418.16"/>
    <n v="0"/>
    <n v="13148.396000000001"/>
  </r>
  <r>
    <n v="14178"/>
    <s v="ES-2014-BS1166545-41734"/>
    <d v="2014-04-05T00:00:00"/>
    <d v="2014-04-08T00:00:00"/>
    <s v="First Class"/>
    <s v="BS-1166545"/>
    <s v="Brian Stugart"/>
    <x v="0"/>
    <m/>
    <s v="Clamart"/>
    <s v="Ile-de-France"/>
    <s v="France"/>
    <x v="2"/>
    <s v="Europe"/>
    <s v="TEC-PH-3147"/>
    <x v="0"/>
    <s v="Phones"/>
    <s v="Apple Smart Phone, Cordless"/>
    <n v="1622.57"/>
    <n v="3"/>
    <n v="0.15"/>
    <n v="133.61000000000001"/>
    <n v="268.19"/>
    <s v="Medium"/>
    <n v="4867.71"/>
    <n v="7.3015649999999992"/>
    <n v="4592.2184350000007"/>
  </r>
  <r>
    <n v="12075"/>
    <s v="IT-2015-CA1196548-42195"/>
    <d v="2015-07-10T00:00:00"/>
    <d v="2015-07-14T00:00:00"/>
    <s v="Second Class"/>
    <s v="CA-1196548"/>
    <s v="Carol Adams"/>
    <x v="1"/>
    <m/>
    <s v="Garbsen"/>
    <s v="Lower Saxony"/>
    <s v="Germany"/>
    <x v="2"/>
    <s v="Europe"/>
    <s v="FUR-BO-5942"/>
    <x v="1"/>
    <s v="Bookcases"/>
    <s v="Sauder 3-Shelf Cabinet, Pine"/>
    <n v="1361.04"/>
    <n v="9"/>
    <n v="0.1"/>
    <n v="196.53"/>
    <n v="268.04000000000002"/>
    <s v="High"/>
    <n v="12249.36"/>
    <n v="12.249360000000001"/>
    <n v="11969.07064"/>
  </r>
  <r>
    <n v="24075"/>
    <s v="IN-2015-QJ1925527-42283"/>
    <d v="2015-10-06T00:00:00"/>
    <d v="2015-10-12T00:00:00"/>
    <s v="Standard Class"/>
    <s v="QJ-1925527"/>
    <s v="Quincy Jones"/>
    <x v="1"/>
    <m/>
    <s v="Jixi"/>
    <s v="Heilongjiang"/>
    <s v="China"/>
    <x v="8"/>
    <s v="Asia Pacific"/>
    <s v="TEC-CO-3709"/>
    <x v="0"/>
    <s v="Copiers"/>
    <s v="Canon Wireless Fax, High-Speed"/>
    <n v="3391.74"/>
    <n v="9"/>
    <n v="0"/>
    <n v="271.08"/>
    <n v="267.93"/>
    <s v="Medium"/>
    <n v="30525.659999999996"/>
    <n v="0"/>
    <n v="30257.729999999996"/>
  </r>
  <r>
    <n v="6989"/>
    <s v="MX-2014-RE1945036-41791"/>
    <d v="2014-06-01T00:00:00"/>
    <d v="2014-06-07T00:00:00"/>
    <s v="Standard Class"/>
    <s v="RE-1945036"/>
    <s v="Richard Eichhorn"/>
    <x v="0"/>
    <m/>
    <s v="Santo Domingo"/>
    <s v="Santo Domingo"/>
    <s v="Dominican Republic"/>
    <x v="15"/>
    <s v="LATAM"/>
    <s v="TEC-PH-5841"/>
    <x v="0"/>
    <s v="Phones"/>
    <s v="Samsung Smart Phone, VoIP"/>
    <n v="2375.3000000000002"/>
    <n v="7"/>
    <n v="0.2"/>
    <n v="-207.84"/>
    <n v="267.78399999999999"/>
    <s v="Low"/>
    <n v="16627.100000000002"/>
    <n v="33.254200000000004"/>
    <n v="16326.061800000003"/>
  </r>
  <r>
    <n v="47262"/>
    <s v="SF-2013-CP2085117-41506"/>
    <d v="2013-08-20T00:00:00"/>
    <d v="2013-08-22T00:00:00"/>
    <s v="First Class"/>
    <s v="CP-2085117"/>
    <s v="Cathy Prescott"/>
    <x v="1"/>
    <m/>
    <s v="Potchefstroom"/>
    <s v="North-West"/>
    <s v="South Africa"/>
    <x v="20"/>
    <s v="Africa"/>
    <s v="FUR-BO-5972"/>
    <x v="1"/>
    <s v="Bookcases"/>
    <s v="Sauder Stackable Bookrack, Pine"/>
    <n v="889.02"/>
    <n v="6"/>
    <n v="0"/>
    <n v="320.04000000000002"/>
    <n v="267.64"/>
    <s v="Critical"/>
    <n v="5334.12"/>
    <n v="0"/>
    <n v="5066.4799999999996"/>
  </r>
  <r>
    <n v="48487"/>
    <s v="RS-2012-JK5730108-41150"/>
    <d v="2012-08-29T00:00:00"/>
    <d v="2012-08-29T00:00:00"/>
    <s v="Same Day"/>
    <s v="JK-5730108"/>
    <s v="Joe Kamberova"/>
    <x v="0"/>
    <m/>
    <s v="Vladimir"/>
    <s v="Vladimir"/>
    <s v="Russia"/>
    <x v="11"/>
    <s v="Europe"/>
    <s v="FUR-TA-3759"/>
    <x v="1"/>
    <s v="Tables"/>
    <s v="Chromcraft Computer Table, Adjustable Height"/>
    <n v="1782.48"/>
    <n v="4"/>
    <n v="0"/>
    <n v="873.36"/>
    <n v="266.39999999999998"/>
    <s v="High"/>
    <n v="7129.92"/>
    <n v="0"/>
    <n v="6863.52"/>
  </r>
  <r>
    <n v="14902"/>
    <s v="ES-2013-HZ1495045-41612"/>
    <d v="2013-12-04T00:00:00"/>
    <d v="2013-12-05T00:00:00"/>
    <s v="First Class"/>
    <s v="HZ-1495045"/>
    <s v="Henia Zydlo"/>
    <x v="0"/>
    <m/>
    <s v="Bordeaux"/>
    <s v="Aquitaine-Limousin-Poitou-Charentes"/>
    <s v="France"/>
    <x v="2"/>
    <s v="Europe"/>
    <s v="TEC-CO-4568"/>
    <x v="0"/>
    <s v="Copiers"/>
    <s v="Hewlett Copy Machine, Color"/>
    <n v="667.77"/>
    <n v="3"/>
    <n v="0.15"/>
    <n v="274.92"/>
    <n v="266.02"/>
    <s v="Critical"/>
    <n v="2003.31"/>
    <n v="3.0049649999999999"/>
    <n v="1734.2850349999999"/>
  </r>
  <r>
    <n v="23910"/>
    <s v="ID-2015-AR105707-42290"/>
    <d v="2015-10-13T00:00:00"/>
    <d v="2015-10-18T00:00:00"/>
    <s v="Standard Class"/>
    <s v="AR-105707"/>
    <s v="Anemone Ratner"/>
    <x v="0"/>
    <m/>
    <s v="Perth"/>
    <s v="Western Australia"/>
    <s v="Australia"/>
    <x v="1"/>
    <s v="Asia Pacific"/>
    <s v="TEC-CO-4791"/>
    <x v="0"/>
    <s v="Copiers"/>
    <s v="HP Wireless Fax, High-Speed"/>
    <n v="1612.85"/>
    <n v="5"/>
    <n v="0.1"/>
    <n v="394.25"/>
    <n v="266"/>
    <s v="High"/>
    <n v="8064.25"/>
    <n v="8.0642500000000013"/>
    <n v="7790.1857499999996"/>
  </r>
  <r>
    <n v="17770"/>
    <s v="IT-2014-EH14005120-41992"/>
    <d v="2014-12-19T00:00:00"/>
    <d v="2014-12-21T00:00:00"/>
    <s v="Second Class"/>
    <s v="EH-14005120"/>
    <s v="Erica Hernandez"/>
    <x v="2"/>
    <m/>
    <s v="Burgos"/>
    <s v="Castile and León"/>
    <s v="Spain"/>
    <x v="9"/>
    <s v="Europe"/>
    <s v="OFF-ST-6248"/>
    <x v="2"/>
    <s v="Storage"/>
    <s v="Tenex File Cart, Single Width"/>
    <n v="845.21"/>
    <n v="7"/>
    <n v="0.1"/>
    <n v="-9.49"/>
    <n v="265.85000000000002"/>
    <s v="Critical"/>
    <n v="5916.47"/>
    <n v="5.9164700000000003"/>
    <n v="5644.7035299999998"/>
  </r>
  <r>
    <n v="21505"/>
    <s v="IN-2013-JR1570058-41441"/>
    <d v="2013-06-16T00:00:00"/>
    <d v="2013-06-22T00:00:00"/>
    <s v="Standard Class"/>
    <s v="JR-1570058"/>
    <s v="Jocasta Rupert"/>
    <x v="0"/>
    <m/>
    <s v="Kollam"/>
    <s v="Kerala"/>
    <s v="India"/>
    <x v="5"/>
    <s v="Asia Pacific"/>
    <s v="OFF-AP-4958"/>
    <x v="2"/>
    <s v="Appliances"/>
    <s v="KitchenAid Microwave, Silver"/>
    <n v="2799.63"/>
    <n v="9"/>
    <n v="0"/>
    <n v="391.77"/>
    <n v="265.45999999999998"/>
    <s v="Medium"/>
    <n v="25196.670000000002"/>
    <n v="0"/>
    <n v="24931.210000000003"/>
  </r>
  <r>
    <n v="27612"/>
    <s v="IN-2014-PL1892588-41871"/>
    <d v="2014-08-20T00:00:00"/>
    <d v="2014-08-20T00:00:00"/>
    <s v="Same Day"/>
    <s v="PL-1892588"/>
    <s v="Paul Lucas"/>
    <x v="2"/>
    <m/>
    <s v="Yangon"/>
    <s v="Yangon"/>
    <s v="Myanmar (Burma)"/>
    <x v="17"/>
    <s v="Asia Pacific"/>
    <s v="OFF-AP-4958"/>
    <x v="2"/>
    <s v="Appliances"/>
    <s v="KitchenAid Microwave, Silver"/>
    <n v="1549.13"/>
    <n v="6"/>
    <n v="0.17"/>
    <n v="-56.11"/>
    <n v="265.14"/>
    <s v="Critical"/>
    <n v="9294.7800000000007"/>
    <n v="15.801126000000002"/>
    <n v="9013.8388740000009"/>
  </r>
  <r>
    <n v="5957"/>
    <s v="MX-2013-TC2114582-41446"/>
    <d v="2013-06-21T00:00:00"/>
    <d v="2013-06-25T00:00:00"/>
    <s v="Standard Class"/>
    <s v="TC-2114582"/>
    <s v="Theresa Coyne"/>
    <x v="1"/>
    <m/>
    <s v="Mexico City"/>
    <s v="Distrito Federal"/>
    <s v="Mexico"/>
    <x v="13"/>
    <s v="LATAM"/>
    <s v="TEC-PH-5842"/>
    <x v="0"/>
    <s v="Phones"/>
    <s v="Samsung Smart Phone, with Caller ID"/>
    <n v="1696.4"/>
    <n v="4"/>
    <n v="0"/>
    <n v="67.84"/>
    <n v="264.88799999999998"/>
    <s v="High"/>
    <n v="6785.6"/>
    <n v="0"/>
    <n v="6520.7120000000004"/>
  </r>
  <r>
    <n v="9316"/>
    <s v="MX-2013-DG1330082-41417"/>
    <d v="2013-05-23T00:00:00"/>
    <d v="2013-05-25T00:00:00"/>
    <s v="First Class"/>
    <s v="DG-1330082"/>
    <s v="Deirdre Greer"/>
    <x v="1"/>
    <m/>
    <s v="Mexico City"/>
    <s v="Distrito Federal"/>
    <s v="Mexico"/>
    <x v="13"/>
    <s v="LATAM"/>
    <s v="OFF-AP-4500"/>
    <x v="2"/>
    <s v="Appliances"/>
    <s v="Hamilton Beach Microwave, White"/>
    <n v="935.5"/>
    <n v="5"/>
    <n v="0"/>
    <n v="168.3"/>
    <n v="264.428"/>
    <s v="Medium"/>
    <n v="4677.5"/>
    <n v="0"/>
    <n v="4413.0720000000001"/>
  </r>
  <r>
    <n v="14608"/>
    <s v="ES-2014-LW1699045-41759"/>
    <d v="2014-04-30T00:00:00"/>
    <d v="2014-05-03T00:00:00"/>
    <s v="First Class"/>
    <s v="LW-1699045"/>
    <s v="Lindsay Williams"/>
    <x v="1"/>
    <m/>
    <s v="Bondy"/>
    <s v="Ile-de-France"/>
    <s v="France"/>
    <x v="2"/>
    <s v="Europe"/>
    <s v="TEC-MA-5016"/>
    <x v="0"/>
    <s v="Machines"/>
    <s v="Konica Printer, White"/>
    <n v="2036.81"/>
    <n v="9"/>
    <n v="0.15"/>
    <n v="359.3"/>
    <n v="263.82"/>
    <s v="Medium"/>
    <n v="18331.29"/>
    <n v="27.496934999999997"/>
    <n v="18039.973065000002"/>
  </r>
  <r>
    <n v="13059"/>
    <s v="ES-2013-Dl1360045-41440"/>
    <d v="2013-06-15T00:00:00"/>
    <d v="2013-06-15T00:00:00"/>
    <s v="Same Day"/>
    <s v="Dl-1360045"/>
    <s v="Dorris liebe"/>
    <x v="1"/>
    <m/>
    <s v="Mont-de-Marsan"/>
    <s v="Aquitaine-Limousin-Poitou-Charentes"/>
    <s v="France"/>
    <x v="2"/>
    <s v="Europe"/>
    <s v="TEC-AC-5135"/>
    <x v="0"/>
    <s v="Accessories"/>
    <s v="Logitech Router, Erganomic"/>
    <n v="980.52"/>
    <n v="4"/>
    <n v="0"/>
    <n v="176.4"/>
    <n v="263.70999999999998"/>
    <s v="High"/>
    <n v="3922.08"/>
    <n v="0"/>
    <n v="3658.37"/>
  </r>
  <r>
    <n v="14707"/>
    <s v="ES-2014-SC2009545-41991"/>
    <d v="2014-12-18T00:00:00"/>
    <d v="2014-12-22T00:00:00"/>
    <s v="Standard Class"/>
    <s v="SC-2009545"/>
    <s v="Sanjit Chand"/>
    <x v="0"/>
    <m/>
    <s v="Lyon"/>
    <s v="Auvergne-Rhône-Alpes"/>
    <s v="France"/>
    <x v="2"/>
    <s v="Europe"/>
    <s v="TEC-CO-4767"/>
    <x v="0"/>
    <s v="Copiers"/>
    <s v="HP Copy Machine, Laser"/>
    <n v="1654.64"/>
    <n v="8"/>
    <n v="0.15"/>
    <n v="681.2"/>
    <n v="263.47000000000003"/>
    <s v="High"/>
    <n v="13237.12"/>
    <n v="19.85568"/>
    <n v="12953.794320000001"/>
  </r>
  <r>
    <n v="26873"/>
    <s v="ID-2015-EB1393059-42206"/>
    <d v="2015-07-21T00:00:00"/>
    <d v="2015-07-25T00:00:00"/>
    <s v="Standard Class"/>
    <s v="EB-1393059"/>
    <s v="Eric Barreto"/>
    <x v="0"/>
    <m/>
    <s v="Depok"/>
    <s v="Jawa Barat"/>
    <s v="Indonesia"/>
    <x v="17"/>
    <s v="Asia Pacific"/>
    <s v="FUR-CH-4530"/>
    <x v="1"/>
    <s v="Chairs"/>
    <s v="Harbour Creations Executive Leather Armchair, Adjustable"/>
    <n v="2063.77"/>
    <n v="6"/>
    <n v="0.27"/>
    <n v="141.19"/>
    <n v="263.01"/>
    <s v="High"/>
    <n v="12382.619999999999"/>
    <n v="33.433074000000005"/>
    <n v="12086.176925999998"/>
  </r>
  <r>
    <n v="6479"/>
    <s v="MX-2014-SM2000518-41696"/>
    <d v="2014-02-26T00:00:00"/>
    <d v="2014-03-01T00:00:00"/>
    <s v="First Class"/>
    <s v="SM-2000518"/>
    <s v="Sally Matthias"/>
    <x v="0"/>
    <m/>
    <s v="Santo André"/>
    <s v="São Paulo"/>
    <s v="Brazil"/>
    <x v="7"/>
    <s v="LATAM"/>
    <s v="FUR-TA-3761"/>
    <x v="1"/>
    <s v="Tables"/>
    <s v="Chromcraft Computer Table, Rectangular"/>
    <n v="1411.2"/>
    <n v="6"/>
    <n v="0.2"/>
    <n v="405.72"/>
    <n v="262.11099999999999"/>
    <s v="Medium"/>
    <n v="8467.2000000000007"/>
    <n v="16.934400000000004"/>
    <n v="8188.1546000000008"/>
  </r>
  <r>
    <n v="11765"/>
    <s v="IT-2012-JR1567048-41238"/>
    <d v="2012-11-25T00:00:00"/>
    <d v="2012-11-29T00:00:00"/>
    <s v="Standard Class"/>
    <s v="JR-1567048"/>
    <s v="Jim Radford"/>
    <x v="0"/>
    <m/>
    <s v="Menden"/>
    <s v="North Rhine-Westphalia"/>
    <s v="Germany"/>
    <x v="2"/>
    <s v="Europe"/>
    <s v="OFF-AP-4745"/>
    <x v="2"/>
    <s v="Appliances"/>
    <s v="Hoover Stove, White"/>
    <n v="2039.8"/>
    <n v="4"/>
    <n v="0.1"/>
    <n v="-113.36"/>
    <n v="262.11"/>
    <s v="High"/>
    <n v="8159.2"/>
    <n v="8.1592000000000002"/>
    <n v="7888.9308000000001"/>
  </r>
  <r>
    <n v="25263"/>
    <s v="IN-2013-CM1216027-41506"/>
    <d v="2013-08-20T00:00:00"/>
    <d v="2013-08-24T00:00:00"/>
    <s v="Standard Class"/>
    <s v="CM-1216027"/>
    <s v="Charles McCrossin"/>
    <x v="0"/>
    <m/>
    <s v="Beijing"/>
    <s v="Beijing"/>
    <s v="China"/>
    <x v="8"/>
    <s v="Asia Pacific"/>
    <s v="TEC-PH-3148"/>
    <x v="0"/>
    <s v="Phones"/>
    <s v="Apple Smart Phone, Full Size"/>
    <n v="5737.5"/>
    <n v="9"/>
    <n v="0"/>
    <n v="630.99"/>
    <n v="261.87"/>
    <s v="Medium"/>
    <n v="51637.5"/>
    <n v="0"/>
    <n v="51375.63"/>
  </r>
  <r>
    <n v="21794"/>
    <s v="IN-2013-DL129257-41418"/>
    <d v="2013-05-24T00:00:00"/>
    <d v="2013-05-28T00:00:00"/>
    <s v="Standard Class"/>
    <s v="DL-129257"/>
    <s v="Daniel Lacy"/>
    <x v="0"/>
    <m/>
    <s v="Wollongong"/>
    <s v="New South Wales"/>
    <s v="Australia"/>
    <x v="1"/>
    <s v="Asia Pacific"/>
    <s v="TEC-CO-3587"/>
    <x v="0"/>
    <s v="Copiers"/>
    <s v="Brother Copy Machine, Color"/>
    <n v="1641.09"/>
    <n v="7"/>
    <n v="0.1"/>
    <n v="473.91"/>
    <n v="261.52"/>
    <s v="High"/>
    <n v="11487.63"/>
    <n v="11.487629999999999"/>
    <n v="11214.622369999999"/>
  </r>
  <r>
    <n v="8859"/>
    <s v="MX-2012-FM1429065-41216"/>
    <d v="2012-11-03T00:00:00"/>
    <d v="2012-11-07T00:00:00"/>
    <s v="Standard Class"/>
    <s v="FM-1429065"/>
    <s v="Frank Merwin"/>
    <x v="2"/>
    <m/>
    <s v="Spanish Town"/>
    <s v="Saint Catherine"/>
    <s v="Jamaica"/>
    <x v="15"/>
    <s v="LATAM"/>
    <s v="FUR-BO-4849"/>
    <x v="1"/>
    <s v="Bookcases"/>
    <s v="Ikea Classic Bookcase, Mobile"/>
    <n v="1380.9"/>
    <n v="5"/>
    <n v="0"/>
    <n v="303.7"/>
    <n v="261.262"/>
    <s v="High"/>
    <n v="6904.5"/>
    <n v="0"/>
    <n v="6643.2380000000003"/>
  </r>
  <r>
    <n v="27261"/>
    <s v="IN-2012-DP1316558-41173"/>
    <d v="2012-09-21T00:00:00"/>
    <d v="2012-09-26T00:00:00"/>
    <s v="Second Class"/>
    <s v="DP-1316558"/>
    <s v="David Philippe"/>
    <x v="0"/>
    <m/>
    <s v="Thane"/>
    <s v="Maharashtra"/>
    <s v="India"/>
    <x v="5"/>
    <s v="Asia Pacific"/>
    <s v="TEC-PH-5839"/>
    <x v="0"/>
    <s v="Phones"/>
    <s v="Samsung Smart Phone, Cordless"/>
    <n v="1917"/>
    <n v="3"/>
    <n v="0"/>
    <n v="690.12"/>
    <n v="261.08"/>
    <s v="High"/>
    <n v="5751"/>
    <n v="0"/>
    <n v="5489.92"/>
  </r>
  <r>
    <n v="30515"/>
    <s v="IN-2014-CK1259592-41929"/>
    <d v="2014-10-17T00:00:00"/>
    <d v="2014-10-19T00:00:00"/>
    <s v="Second Class"/>
    <s v="CK-1259592"/>
    <s v="Clytie Kelty"/>
    <x v="0"/>
    <m/>
    <s v="Taupo"/>
    <s v="Waikato"/>
    <s v="New Zealand"/>
    <x v="1"/>
    <s v="Asia Pacific"/>
    <s v="FUR-BO-4851"/>
    <x v="1"/>
    <s v="Bookcases"/>
    <s v="Ikea Classic Bookcase, Traditional"/>
    <n v="823.5"/>
    <n v="2"/>
    <n v="0"/>
    <n v="172.92"/>
    <n v="260.60000000000002"/>
    <s v="Critical"/>
    <n v="1647"/>
    <n v="0"/>
    <n v="1386.4"/>
  </r>
  <r>
    <n v="26538"/>
    <s v="IN-2014-GM1444027-41795"/>
    <d v="2014-06-05T00:00:00"/>
    <d v="2014-06-09T00:00:00"/>
    <s v="Standard Class"/>
    <s v="GM-1444027"/>
    <s v="Gary McGarr"/>
    <x v="0"/>
    <m/>
    <s v="Fengcheng"/>
    <s v="Liaoning"/>
    <s v="China"/>
    <x v="8"/>
    <s v="Asia Pacific"/>
    <s v="TEC-PH-5842"/>
    <x v="0"/>
    <s v="Phones"/>
    <s v="Samsung Smart Phone, with Caller ID"/>
    <n v="3180.75"/>
    <n v="5"/>
    <n v="0"/>
    <n v="1081.3499999999999"/>
    <n v="260.29000000000002"/>
    <s v="Medium"/>
    <n v="15903.75"/>
    <n v="0"/>
    <n v="15643.46"/>
  </r>
  <r>
    <n v="14619"/>
    <s v="ES-2014-CM1183045-41773"/>
    <d v="2014-05-14T00:00:00"/>
    <d v="2014-05-16T00:00:00"/>
    <s v="Second Class"/>
    <s v="CM-1183045"/>
    <s v="Cari MacIntyre"/>
    <x v="1"/>
    <m/>
    <s v="Vernon"/>
    <s v="Normandy"/>
    <s v="France"/>
    <x v="2"/>
    <s v="Europe"/>
    <s v="TEC-MA-5502"/>
    <x v="0"/>
    <s v="Machines"/>
    <s v="Okidata Inkjet, White"/>
    <n v="2910.19"/>
    <n v="11"/>
    <n v="0.15"/>
    <n v="-68.72"/>
    <n v="259.97000000000003"/>
    <s v="High"/>
    <n v="32012.09"/>
    <n v="48.018135000000001"/>
    <n v="31704.101865000001"/>
  </r>
  <r>
    <n v="28515"/>
    <s v="IN-2014-MM1726027-41933"/>
    <d v="2014-10-21T00:00:00"/>
    <d v="2014-10-24T00:00:00"/>
    <s v="Second Class"/>
    <s v="MM-1726027"/>
    <s v="Magdelene Morse"/>
    <x v="0"/>
    <m/>
    <s v="Tianjin"/>
    <s v="Tianjin"/>
    <s v="China"/>
    <x v="8"/>
    <s v="Asia Pacific"/>
    <s v="TEC-PH-3787"/>
    <x v="0"/>
    <s v="Phones"/>
    <s v="Cisco Audio Dock, with Caller ID"/>
    <n v="910.35"/>
    <n v="5"/>
    <n v="0"/>
    <n v="391.35"/>
    <n v="259.57"/>
    <s v="Critical"/>
    <n v="4551.75"/>
    <n v="0"/>
    <n v="4292.18"/>
  </r>
  <r>
    <n v="16022"/>
    <s v="ES-2015-ME17320139-42227"/>
    <d v="2015-08-11T00:00:00"/>
    <d v="2015-08-14T00:00:00"/>
    <s v="First Class"/>
    <s v="ME-17320139"/>
    <s v="Maria Etezadi"/>
    <x v="2"/>
    <m/>
    <s v="Stoke-on-Trent"/>
    <s v="England"/>
    <s v="United Kingdom"/>
    <x v="12"/>
    <s v="Europe"/>
    <s v="FUR-TA-5055"/>
    <x v="1"/>
    <s v="Tables"/>
    <s v="Lesro Computer Table, Fully Assembled"/>
    <n v="856.68"/>
    <n v="2"/>
    <n v="0"/>
    <n v="274.08"/>
    <n v="259.33999999999997"/>
    <s v="Critical"/>
    <n v="1713.36"/>
    <n v="0"/>
    <n v="1454.02"/>
  </r>
  <r>
    <n v="1117"/>
    <s v="MX-2014-CS1249082-41763"/>
    <d v="2014-05-04T00:00:00"/>
    <d v="2014-05-08T00:00:00"/>
    <s v="Standard Class"/>
    <s v="CS-1249082"/>
    <s v="Cindy Schnelling"/>
    <x v="1"/>
    <m/>
    <s v="Chihuahua"/>
    <s v="Chihuahua"/>
    <s v="Mexico"/>
    <x v="13"/>
    <s v="LATAM"/>
    <s v="FUR-CH-5776"/>
    <x v="1"/>
    <s v="Chairs"/>
    <s v="SAFCO Executive Leather Armchair, Set of Two"/>
    <n v="1731.07"/>
    <n v="7"/>
    <n v="0.2"/>
    <n v="-238.03"/>
    <n v="259.24900000000002"/>
    <s v="High"/>
    <n v="12117.49"/>
    <n v="24.23498"/>
    <n v="11834.006020000001"/>
  </r>
  <r>
    <n v="15203"/>
    <s v="IT-2014-GH14410120-41835"/>
    <d v="2014-07-15T00:00:00"/>
    <d v="2014-07-15T00:00:00"/>
    <s v="Same Day"/>
    <s v="GH-14410120"/>
    <s v="Gary Hansen"/>
    <x v="2"/>
    <m/>
    <s v="Elx"/>
    <s v="Valenciana"/>
    <s v="Spain"/>
    <x v="9"/>
    <s v="Europe"/>
    <s v="TEC-PH-5359"/>
    <x v="0"/>
    <s v="Phones"/>
    <s v="Nokia Speaker Phone, VoIP"/>
    <n v="1330.99"/>
    <n v="12"/>
    <n v="0.1"/>
    <n v="-103.61"/>
    <n v="259.12"/>
    <s v="Critical"/>
    <n v="15971.880000000001"/>
    <n v="15.971880000000001"/>
    <n v="15696.788120000001"/>
  </r>
  <r>
    <n v="7903"/>
    <s v="MX-2015-MC1763536-42340"/>
    <d v="2015-12-02T00:00:00"/>
    <d v="2015-12-06T00:00:00"/>
    <s v="Second Class"/>
    <s v="MC-1763536"/>
    <s v="Matthew Clasen"/>
    <x v="1"/>
    <m/>
    <s v="Santa Cruz de Barahona"/>
    <s v="Barahona"/>
    <s v="Dominican Republic"/>
    <x v="15"/>
    <s v="LATAM"/>
    <s v="TEC-AC-5894"/>
    <x v="0"/>
    <s v="Accessories"/>
    <s v="SanDisk Router, Bluetooth"/>
    <n v="1914.08"/>
    <n v="14"/>
    <n v="0.2"/>
    <n v="669.76"/>
    <n v="258.95999999999998"/>
    <s v="Medium"/>
    <n v="26797.119999999999"/>
    <n v="53.594239999999999"/>
    <n v="26484.565760000001"/>
  </r>
  <r>
    <n v="1500"/>
    <s v="MX-2015-VT2170018-42012"/>
    <d v="2015-01-08T00:00:00"/>
    <d v="2015-01-13T00:00:00"/>
    <s v="Standard Class"/>
    <s v="VT-2170018"/>
    <s v="Valerie Takahito"/>
    <x v="2"/>
    <m/>
    <s v="Brasília"/>
    <s v="Federal District"/>
    <s v="Brazil"/>
    <x v="7"/>
    <s v="LATAM"/>
    <s v="TEC-PH-3148"/>
    <x v="0"/>
    <s v="Phones"/>
    <s v="Apple Smart Phone, Full Size"/>
    <n v="3393.12"/>
    <n v="8"/>
    <n v="0"/>
    <n v="101.76"/>
    <n v="258.83499999999998"/>
    <s v="Medium"/>
    <n v="27144.959999999999"/>
    <n v="0"/>
    <n v="26886.125"/>
  </r>
  <r>
    <n v="40178"/>
    <s v="CA-2014-AH10120140-41821"/>
    <d v="2014-07-01T00:00:00"/>
    <d v="2014-07-04T00:00:00"/>
    <s v="Second Class"/>
    <s v="AH-101201402"/>
    <s v="Adrian Hane"/>
    <x v="2"/>
    <n v="60505"/>
    <s v="Aurora"/>
    <s v="Illinois"/>
    <s v="United States"/>
    <x v="0"/>
    <s v="USCA"/>
    <s v="TEC-AC-4945"/>
    <x v="0"/>
    <s v="Accessories"/>
    <s v="Kingston Digital DataTraveler 16GB USB 2.0"/>
    <n v="50.12"/>
    <n v="7"/>
    <n v="0.2"/>
    <n v="-0.63"/>
    <n v="1.34"/>
    <s v="Medium"/>
    <n v="350.84"/>
    <n v="0.70167999999999997"/>
    <n v="348.79831999999999"/>
  </r>
  <r>
    <n v="24382"/>
    <s v="IN-2015-SJ2021527-42182"/>
    <d v="2015-06-27T00:00:00"/>
    <d v="2015-06-27T00:00:00"/>
    <s v="Same Day"/>
    <s v="SJ-2021527"/>
    <s v="Sarah Jordon"/>
    <x v="0"/>
    <m/>
    <s v="Lanzhou"/>
    <s v="Gansu"/>
    <s v="China"/>
    <x v="8"/>
    <s v="Asia Pacific"/>
    <s v="TEC-CO-4789"/>
    <x v="0"/>
    <s v="Copiers"/>
    <s v="HP Wireless Fax, Color"/>
    <n v="1446.6"/>
    <n v="4"/>
    <n v="0"/>
    <n v="665.4"/>
    <n v="258.02"/>
    <s v="High"/>
    <n v="5786.4"/>
    <n v="0"/>
    <n v="5528.3799999999992"/>
  </r>
  <r>
    <n v="25242"/>
    <s v="IN-2012-CD1192027-40979"/>
    <d v="2012-03-11T00:00:00"/>
    <d v="2012-03-16T00:00:00"/>
    <s v="Standard Class"/>
    <s v="CD-1192027"/>
    <s v="Carlos Daly"/>
    <x v="0"/>
    <m/>
    <s v="Shanghai"/>
    <s v="Shanghai"/>
    <s v="China"/>
    <x v="8"/>
    <s v="Asia Pacific"/>
    <s v="FUR-CH-5442"/>
    <x v="1"/>
    <s v="Chairs"/>
    <s v="Office Star Executive Leather Armchair, Black"/>
    <n v="3272.01"/>
    <n v="7"/>
    <n v="0"/>
    <n v="1537.83"/>
    <n v="257.63"/>
    <s v="Medium"/>
    <n v="22904.07"/>
    <n v="0"/>
    <n v="22646.44"/>
  </r>
  <r>
    <n v="26410"/>
    <s v="ID-2014-TA21385102-41654"/>
    <d v="2014-01-15T00:00:00"/>
    <d v="2014-01-21T00:00:00"/>
    <s v="Standard Class"/>
    <s v="TA-21385102"/>
    <s v="Tom Ashbrook"/>
    <x v="2"/>
    <m/>
    <s v="Manila"/>
    <s v="National Capital"/>
    <s v="Philippines"/>
    <x v="17"/>
    <s v="Asia Pacific"/>
    <s v="OFF-AP-4744"/>
    <x v="2"/>
    <s v="Appliances"/>
    <s v="Hoover Stove, Silver"/>
    <n v="3386.86"/>
    <n v="7"/>
    <n v="0.15"/>
    <n v="-597.67999999999995"/>
    <n v="257.24"/>
    <s v="Low"/>
    <n v="23708.02"/>
    <n v="35.56203"/>
    <n v="23415.217969999998"/>
  </r>
  <r>
    <n v="29849"/>
    <s v="IN-2013-DP131057-41514"/>
    <d v="2013-08-28T00:00:00"/>
    <d v="2013-09-02T00:00:00"/>
    <s v="Second Class"/>
    <s v="DP-131057"/>
    <s v="Dave Poirier"/>
    <x v="1"/>
    <m/>
    <s v="Alice Springs"/>
    <s v="Northern Territory"/>
    <s v="Australia"/>
    <x v="1"/>
    <s v="Asia Pacific"/>
    <s v="OFF-AP-4959"/>
    <x v="2"/>
    <s v="Appliances"/>
    <s v="KitchenAid Microwave, White"/>
    <n v="2498.5300000000002"/>
    <n v="9"/>
    <n v="0.1"/>
    <n v="499.45"/>
    <n v="257.16000000000003"/>
    <s v="Medium"/>
    <n v="22486.77"/>
    <n v="22.48677"/>
    <n v="22207.123230000001"/>
  </r>
  <r>
    <n v="18210"/>
    <s v="ES-2012-DJ88887148-41231"/>
    <d v="2012-11-18T00:00:00"/>
    <d v="2012-11-20T00:00:00"/>
    <s v="Second Class"/>
    <s v="DJ-88887148"/>
    <s v="Denny Joy"/>
    <x v="1"/>
    <m/>
    <s v="Athens"/>
    <s v="Attica"/>
    <s v="Greece"/>
    <x v="9"/>
    <s v="Europe"/>
    <s v="TEC-PH-5248"/>
    <x v="0"/>
    <s v="Phones"/>
    <s v="Motorola Audio Dock, VoIP"/>
    <n v="728.53"/>
    <n v="7"/>
    <n v="0.4"/>
    <n v="-133.72999999999999"/>
    <n v="257.16000000000003"/>
    <s v="Critical"/>
    <n v="5099.71"/>
    <n v="20.39884"/>
    <n v="4822.1511600000003"/>
  </r>
  <r>
    <n v="50691"/>
    <s v="QA-2015-LM7065105-42362"/>
    <d v="2015-12-24T00:00:00"/>
    <d v="2015-12-28T00:00:00"/>
    <s v="Standard Class"/>
    <s v="LM-7065105"/>
    <s v="Liz MacKendrick"/>
    <x v="0"/>
    <m/>
    <s v="Doha"/>
    <s v="Ad Dawhah"/>
    <s v="Qatar"/>
    <x v="6"/>
    <s v="Asia Pacific"/>
    <s v="TEC-PH-5268"/>
    <x v="0"/>
    <s v="Phones"/>
    <s v="Motorola Smart Phone, Full Size"/>
    <n v="2575.92"/>
    <n v="4"/>
    <n v="0"/>
    <n v="772.68"/>
    <n v="256.87"/>
    <s v="High"/>
    <n v="10303.68"/>
    <n v="0"/>
    <n v="10046.81"/>
  </r>
  <r>
    <n v="12118"/>
    <s v="ES-2013-AR1051064-41441"/>
    <d v="2013-06-16T00:00:00"/>
    <d v="2013-06-20T00:00:00"/>
    <s v="Standard Class"/>
    <s v="AR-1051064"/>
    <s v="Andrew Roberts"/>
    <x v="0"/>
    <m/>
    <s v="Velletri"/>
    <s v="Lazio"/>
    <s v="Italy"/>
    <x v="9"/>
    <s v="Europe"/>
    <s v="FUR-BO-3639"/>
    <x v="1"/>
    <s v="Bookcases"/>
    <s v="Bush Library with Doors, Metal"/>
    <n v="2546.46"/>
    <n v="7"/>
    <n v="0"/>
    <n v="381.78"/>
    <n v="256.7"/>
    <s v="High"/>
    <n v="17825.22"/>
    <n v="0"/>
    <n v="17568.52"/>
  </r>
  <r>
    <n v="28213"/>
    <s v="IN-2014-JH1591066-41831"/>
    <d v="2014-07-11T00:00:00"/>
    <d v="2014-07-15T00:00:00"/>
    <s v="Standard Class"/>
    <s v="JH-1591066"/>
    <s v="Jonathan Howell"/>
    <x v="0"/>
    <m/>
    <s v="Matsubara"/>
    <s v="Oita"/>
    <s v="Japan"/>
    <x v="8"/>
    <s v="Asia Pacific"/>
    <s v="FUR-BO-3627"/>
    <x v="1"/>
    <s v="Bookcases"/>
    <s v="Bush Classic Bookcase, Traditional"/>
    <n v="2888.76"/>
    <n v="7"/>
    <n v="0"/>
    <n v="173.25"/>
    <n v="256.64"/>
    <s v="Medium"/>
    <n v="20221.32"/>
    <n v="0"/>
    <n v="19964.68"/>
  </r>
  <r>
    <n v="20417"/>
    <s v="IN-2013-PC1900078-41416"/>
    <d v="2013-05-22T00:00:00"/>
    <d v="2013-05-25T00:00:00"/>
    <s v="Second Class"/>
    <s v="PC-1900078"/>
    <s v="Pauline Chand"/>
    <x v="2"/>
    <m/>
    <s v="Kuantan"/>
    <s v="Pahang"/>
    <s v="Malaysia"/>
    <x v="17"/>
    <s v="Asia Pacific"/>
    <s v="TEC-AC-5896"/>
    <x v="0"/>
    <s v="Accessories"/>
    <s v="SanDisk Router, Programmable"/>
    <n v="1031.4000000000001"/>
    <n v="4"/>
    <n v="0"/>
    <n v="185.64"/>
    <n v="256.26"/>
    <s v="High"/>
    <n v="4125.6000000000004"/>
    <n v="0"/>
    <n v="3869.34"/>
  </r>
  <r>
    <n v="17364"/>
    <s v="ES-2015-CM12235139-42221"/>
    <d v="2015-08-05T00:00:00"/>
    <d v="2015-08-09T00:00:00"/>
    <s v="Standard Class"/>
    <s v="CM-12235139"/>
    <s v="Chris McAfee"/>
    <x v="0"/>
    <m/>
    <s v="Gloucester"/>
    <s v="England"/>
    <s v="United Kingdom"/>
    <x v="12"/>
    <s v="Europe"/>
    <s v="TEC-PH-3800"/>
    <x v="0"/>
    <s v="Phones"/>
    <s v="Cisco Signal Booster, Cordless"/>
    <n v="1237.44"/>
    <n v="8"/>
    <n v="0"/>
    <n v="74.16"/>
    <n v="255.92"/>
    <s v="High"/>
    <n v="9899.52"/>
    <n v="0"/>
    <n v="9643.6"/>
  </r>
  <r>
    <n v="41913"/>
    <s v="CG-2015-DK337533-42228"/>
    <d v="2015-08-12T00:00:00"/>
    <d v="2015-08-15T00:00:00"/>
    <s v="Second Class"/>
    <s v="DK-337533"/>
    <s v="Dennis Kane"/>
    <x v="0"/>
    <m/>
    <s v="Kinshasa"/>
    <s v="Kinshasa"/>
    <s v="Democratic Republic of the Congo"/>
    <x v="16"/>
    <s v="Africa"/>
    <s v="TEC-MA-6149"/>
    <x v="0"/>
    <s v="Machines"/>
    <s v="StarTech Printer, White"/>
    <n v="1018.32"/>
    <n v="4"/>
    <n v="0"/>
    <n v="183.24"/>
    <n v="255.69"/>
    <s v="Critical"/>
    <n v="4073.28"/>
    <n v="0"/>
    <n v="3817.59"/>
  </r>
  <r>
    <n v="18760"/>
    <s v="ES-2014-EG1390045-41644"/>
    <d v="2014-01-05T00:00:00"/>
    <d v="2014-01-10T00:00:00"/>
    <s v="Standard Class"/>
    <s v="EG-1390045"/>
    <s v="Emily Grady"/>
    <x v="0"/>
    <m/>
    <s v="Puteaux"/>
    <s v="Ile-de-France"/>
    <s v="France"/>
    <x v="2"/>
    <s v="Europe"/>
    <s v="FUR-BO-5760"/>
    <x v="1"/>
    <s v="Bookcases"/>
    <s v="Safco Classic Bookcase, Metal"/>
    <n v="2756.94"/>
    <n v="7"/>
    <n v="0.1"/>
    <n v="1163.8800000000001"/>
    <n v="255.56"/>
    <s v="Medium"/>
    <n v="19298.580000000002"/>
    <n v="19.298580000000001"/>
    <n v="19023.721420000002"/>
  </r>
  <r>
    <n v="20826"/>
    <s v="ID-2015-AH100757-42367"/>
    <d v="2015-12-29T00:00:00"/>
    <d v="2015-12-31T00:00:00"/>
    <s v="First Class"/>
    <s v="AH-100757"/>
    <s v="Adam Hart"/>
    <x v="1"/>
    <m/>
    <s v="Geelong"/>
    <s v="Victoria"/>
    <s v="Australia"/>
    <x v="1"/>
    <s v="Asia Pacific"/>
    <s v="OFF-AP-4743"/>
    <x v="2"/>
    <s v="Appliances"/>
    <s v="Hoover Stove, Red"/>
    <n v="1534.87"/>
    <n v="3"/>
    <n v="0.1"/>
    <n v="-102.41"/>
    <n v="255.42"/>
    <s v="Medium"/>
    <n v="4604.6099999999997"/>
    <n v="4.6046100000000001"/>
    <n v="4344.5853899999993"/>
  </r>
  <r>
    <n v="30958"/>
    <s v="IN-2014-AS1063092-41989"/>
    <d v="2014-12-16T00:00:00"/>
    <d v="2014-12-20T00:00:00"/>
    <s v="Standard Class"/>
    <s v="AS-1063092"/>
    <s v="Ann Steele"/>
    <x v="2"/>
    <m/>
    <s v="Whakatane"/>
    <s v="Bay of Plenty"/>
    <s v="New Zealand"/>
    <x v="1"/>
    <s v="Asia Pacific"/>
    <s v="TEC-PH-5268"/>
    <x v="0"/>
    <s v="Phones"/>
    <s v="Motorola Smart Phone, Full Size"/>
    <n v="6439.8"/>
    <n v="10"/>
    <n v="0"/>
    <n v="2447.1"/>
    <n v="255.36"/>
    <s v="Medium"/>
    <n v="64398"/>
    <n v="0"/>
    <n v="64142.64"/>
  </r>
  <r>
    <n v="29782"/>
    <s v="IN-2014-DK1289559-41697"/>
    <d v="2014-02-27T00:00:00"/>
    <d v="2014-03-04T00:00:00"/>
    <s v="Standard Class"/>
    <s v="DK-1289559"/>
    <s v="Dana Kaydos"/>
    <x v="0"/>
    <m/>
    <s v="Jakarta"/>
    <s v="Jakarta"/>
    <s v="Indonesia"/>
    <x v="17"/>
    <s v="Asia Pacific"/>
    <s v="TEC-CO-5991"/>
    <x v="0"/>
    <s v="Copiers"/>
    <s v="Sharp Copy Machine, High-Speed"/>
    <n v="1781.14"/>
    <n v="8"/>
    <n v="7.0000000000000007E-2"/>
    <n v="-134.06"/>
    <n v="255.36"/>
    <s v="High"/>
    <n v="14249.12"/>
    <n v="9.9743840000000006"/>
    <n v="13983.785616000001"/>
  </r>
  <r>
    <n v="10274"/>
    <s v="US-2013-CL1189018-41459"/>
    <d v="2013-07-04T00:00:00"/>
    <d v="2013-07-04T00:00:00"/>
    <s v="Same Day"/>
    <s v="CL-1189018"/>
    <s v="Carl Ludwig"/>
    <x v="0"/>
    <m/>
    <s v="Açu"/>
    <s v="Rio Grande do Norte"/>
    <s v="Brazil"/>
    <x v="7"/>
    <s v="LATAM"/>
    <s v="TEC-PH-5839"/>
    <x v="0"/>
    <s v="Phones"/>
    <s v="Samsung Smart Phone, Cordless"/>
    <n v="1363.2"/>
    <n v="8"/>
    <n v="0.6"/>
    <n v="-1806.24"/>
    <n v="255.173"/>
    <s v="Critical"/>
    <n v="10905.6"/>
    <n v="65.433599999999998"/>
    <n v="10584.993399999999"/>
  </r>
  <r>
    <n v="17414"/>
    <s v="ES-2013-CA12265139-41506"/>
    <d v="2013-08-20T00:00:00"/>
    <d v="2013-08-24T00:00:00"/>
    <s v="Standard Class"/>
    <s v="CA-12265139"/>
    <s v="Christina Anderson"/>
    <x v="0"/>
    <m/>
    <s v="Colchester"/>
    <s v="England"/>
    <s v="United Kingdom"/>
    <x v="12"/>
    <s v="Europe"/>
    <s v="FUR-CH-4531"/>
    <x v="1"/>
    <s v="Chairs"/>
    <s v="Harbour Creations Executive Leather Armchair, Black"/>
    <n v="3315.27"/>
    <n v="7"/>
    <n v="0"/>
    <n v="961.38"/>
    <n v="254.92"/>
    <s v="High"/>
    <n v="23206.89"/>
    <n v="0"/>
    <n v="22951.97"/>
  </r>
  <r>
    <n v="37694"/>
    <s v="CA-2015-AH10120140-42309"/>
    <d v="2015-11-01T00:00:00"/>
    <d v="2015-11-05T00:00:00"/>
    <s v="Standard Class"/>
    <s v="AH-101201402"/>
    <s v="Adrian Hane"/>
    <x v="2"/>
    <n v="75217"/>
    <s v="Dallas"/>
    <s v="Texas"/>
    <s v="United States"/>
    <x v="0"/>
    <s v="USCA"/>
    <s v="OFF-AR-5331"/>
    <x v="2"/>
    <s v="Art"/>
    <s v="Newell 350"/>
    <n v="5.25"/>
    <n v="2"/>
    <n v="0.2"/>
    <n v="0.59"/>
    <n v="1.26"/>
    <s v="Medium"/>
    <n v="10.5"/>
    <n v="2.1000000000000001E-2"/>
    <n v="9.2189999999999994"/>
  </r>
  <r>
    <n v="16577"/>
    <s v="ES-2013-DB1297045-41458"/>
    <d v="2013-07-03T00:00:00"/>
    <d v="2013-07-07T00:00:00"/>
    <s v="Standard Class"/>
    <s v="DB-1297045"/>
    <s v="Darren Budd"/>
    <x v="1"/>
    <m/>
    <s v="Montpellier"/>
    <s v="Languedoc-Roussillon-Midi-Pyrénées"/>
    <s v="France"/>
    <x v="2"/>
    <s v="Europe"/>
    <s v="TEC-MA-5546"/>
    <x v="0"/>
    <s v="Machines"/>
    <s v="Panasonic Inkjet, Durable"/>
    <n v="2123.0300000000002"/>
    <n v="8"/>
    <n v="0.15"/>
    <n v="124.79"/>
    <n v="254.54"/>
    <s v="High"/>
    <n v="16984.240000000002"/>
    <n v="25.47636"/>
    <n v="16704.22364"/>
  </r>
  <r>
    <n v="19378"/>
    <s v="ES-2015-PC1900048-42337"/>
    <d v="2015-11-29T00:00:00"/>
    <d v="2015-12-04T00:00:00"/>
    <s v="Standard Class"/>
    <s v="PC-1900048"/>
    <s v="Pauline Chand"/>
    <x v="2"/>
    <m/>
    <s v="Wetzlar"/>
    <s v="Hesse"/>
    <s v="Germany"/>
    <x v="2"/>
    <s v="Europe"/>
    <s v="TEC-CO-6011"/>
    <x v="0"/>
    <s v="Copiers"/>
    <s v="Sharp Wireless Fax, High-Speed"/>
    <n v="2478.84"/>
    <n v="7"/>
    <n v="0"/>
    <n v="272.58"/>
    <n v="254.47"/>
    <s v="Medium"/>
    <n v="17351.88"/>
    <n v="0"/>
    <n v="17097.41"/>
  </r>
  <r>
    <n v="22900"/>
    <s v="IN-2012-VS218207-41006"/>
    <d v="2012-04-07T00:00:00"/>
    <d v="2012-04-12T00:00:00"/>
    <s v="Standard Class"/>
    <s v="VS-218207"/>
    <s v="Vivek Sundaresam"/>
    <x v="0"/>
    <m/>
    <s v="Perth"/>
    <s v="Western Australia"/>
    <s v="Australia"/>
    <x v="1"/>
    <s v="Asia Pacific"/>
    <s v="OFF-AP-4736"/>
    <x v="2"/>
    <s v="Appliances"/>
    <s v="Hoover Refrigerator, Red"/>
    <n v="1894.54"/>
    <n v="4"/>
    <n v="0.1"/>
    <n v="505.18"/>
    <n v="254.37"/>
    <s v="High"/>
    <n v="7578.16"/>
    <n v="7.5781600000000005"/>
    <n v="7316.2118399999999"/>
  </r>
  <r>
    <n v="31843"/>
    <s v="CA-2015-AS10135140-42328"/>
    <d v="2015-11-20T00:00:00"/>
    <d v="2015-11-23T00:00:00"/>
    <s v="First Class"/>
    <s v="AS-101351406"/>
    <s v="Adrian Shami"/>
    <x v="2"/>
    <n v="10035"/>
    <s v="New York City"/>
    <s v="New York"/>
    <s v="United States"/>
    <x v="14"/>
    <s v="USCA"/>
    <s v="OFF-BI-3307"/>
    <x v="2"/>
    <s v="Binders"/>
    <s v="Avery Printable Repositionable Plastic Tabs"/>
    <n v="41.28"/>
    <n v="6"/>
    <n v="0.2"/>
    <n v="13.93"/>
    <n v="7.14"/>
    <s v="Medium"/>
    <n v="247.68"/>
    <n v="0.49536000000000002"/>
    <n v="240.04464000000002"/>
  </r>
  <r>
    <n v="49151"/>
    <s v="CA-2013-AS13523-41403"/>
    <d v="2013-05-09T00:00:00"/>
    <d v="2013-05-13T00:00:00"/>
    <s v="Standard Class"/>
    <s v="AS-13523"/>
    <s v="Adrian Shami"/>
    <x v="2"/>
    <m/>
    <s v="Edmonton"/>
    <s v="Alberta"/>
    <s v="Canada"/>
    <x v="21"/>
    <s v="USCA"/>
    <s v="OFF-ST-5695"/>
    <x v="2"/>
    <s v="Storage"/>
    <s v="Rogers Folders, Industrial"/>
    <n v="187.02"/>
    <n v="6"/>
    <n v="0"/>
    <n v="26.1"/>
    <n v="6.96"/>
    <s v="Medium"/>
    <n v="1122.1200000000001"/>
    <n v="0"/>
    <n v="1115.1600000000001"/>
  </r>
  <r>
    <n v="21605"/>
    <s v="IN-2013-JR1567027-41597"/>
    <d v="2013-11-19T00:00:00"/>
    <d v="2013-11-23T00:00:00"/>
    <s v="Standard Class"/>
    <s v="JR-1567027"/>
    <s v="Jim Radford"/>
    <x v="0"/>
    <m/>
    <s v="Shashi"/>
    <s v="Hubei"/>
    <s v="China"/>
    <x v="8"/>
    <s v="Asia Pacific"/>
    <s v="TEC-CO-3678"/>
    <x v="0"/>
    <s v="Copiers"/>
    <s v="Canon Copy Machine, Color"/>
    <n v="1317.9"/>
    <n v="5"/>
    <n v="0"/>
    <n v="0"/>
    <n v="253.95"/>
    <s v="High"/>
    <n v="6589.5"/>
    <n v="0"/>
    <n v="6335.55"/>
  </r>
  <r>
    <n v="25523"/>
    <s v="IN-2014-MF1766527-41947"/>
    <d v="2014-11-04T00:00:00"/>
    <d v="2014-11-08T00:00:00"/>
    <s v="Second Class"/>
    <s v="MF-1766527"/>
    <s v="Maureen Fritzler"/>
    <x v="1"/>
    <m/>
    <s v="Chaoyang"/>
    <s v="Jilin"/>
    <s v="China"/>
    <x v="8"/>
    <s v="Asia Pacific"/>
    <s v="TEC-MA-4205"/>
    <x v="0"/>
    <s v="Machines"/>
    <s v="Epson Printer, Durable"/>
    <n v="1839.18"/>
    <n v="7"/>
    <n v="0"/>
    <n v="238.98"/>
    <n v="253.5"/>
    <s v="High"/>
    <n v="12874.26"/>
    <n v="0"/>
    <n v="12620.76"/>
  </r>
  <r>
    <n v="18018"/>
    <s v="ES-2014-EB13930139-41962"/>
    <d v="2014-11-19T00:00:00"/>
    <d v="2014-11-24T00:00:00"/>
    <s v="Standard Class"/>
    <s v="EB-13930139"/>
    <s v="Eric Barreto"/>
    <x v="0"/>
    <m/>
    <s v="Rugby"/>
    <s v="England"/>
    <s v="United Kingdom"/>
    <x v="12"/>
    <s v="Europe"/>
    <s v="TEC-PH-5355"/>
    <x v="0"/>
    <s v="Phones"/>
    <s v="Nokia Smart Phone, Full Size"/>
    <n v="1908.18"/>
    <n v="3"/>
    <n v="0"/>
    <n v="820.44"/>
    <n v="253.26"/>
    <s v="High"/>
    <n v="5724.54"/>
    <n v="0"/>
    <n v="5471.28"/>
  </r>
  <r>
    <n v="1783"/>
    <s v="MX-2015-EB1397518-42369"/>
    <d v="2015-12-31T00:00:00"/>
    <d v="2016-01-03T00:00:00"/>
    <s v="Second Class"/>
    <s v="EB-1397518"/>
    <s v="Erica Bern"/>
    <x v="1"/>
    <m/>
    <s v="São Paulo"/>
    <s v="São Paulo"/>
    <s v="Brazil"/>
    <x v="7"/>
    <s v="LATAM"/>
    <s v="TEC-CO-3707"/>
    <x v="0"/>
    <s v="Copiers"/>
    <s v="Canon Wireless Fax, Color"/>
    <n v="1264.47"/>
    <n v="5"/>
    <n v="2E-3"/>
    <n v="301.47000000000003"/>
    <n v="253.25399999999999"/>
    <s v="High"/>
    <n v="6322.35"/>
    <n v="0.126447"/>
    <n v="6068.9695530000008"/>
  </r>
  <r>
    <n v="33098"/>
    <s v="CA-2014-AS10135140-41957"/>
    <d v="2014-11-14T00:00:00"/>
    <d v="2014-11-20T00:00:00"/>
    <s v="Standard Class"/>
    <s v="AS-101351404"/>
    <s v="Adrian Shami"/>
    <x v="2"/>
    <n v="98002"/>
    <s v="Auburn"/>
    <s v="Washington"/>
    <s v="United States"/>
    <x v="4"/>
    <s v="USCA"/>
    <s v="FUR-FU-4070"/>
    <x v="1"/>
    <s v="Furnishings"/>
    <s v="Eldon Image Series Desk Accessories, Burgundy"/>
    <n v="4.18"/>
    <n v="1"/>
    <n v="0"/>
    <n v="1.5"/>
    <n v="1.18"/>
    <s v="Medium"/>
    <n v="4.18"/>
    <n v="0"/>
    <n v="3"/>
  </r>
  <r>
    <n v="13787"/>
    <s v="IT-2014-MV1748545-41717"/>
    <d v="2014-03-19T00:00:00"/>
    <d v="2014-03-19T00:00:00"/>
    <s v="Same Day"/>
    <s v="MV-1748545"/>
    <s v="Mark Van Huff"/>
    <x v="0"/>
    <m/>
    <s v="Saint-Chamond"/>
    <s v="Auvergne-Rhône-Alpes"/>
    <s v="France"/>
    <x v="2"/>
    <s v="Europe"/>
    <s v="OFF-ST-4267"/>
    <x v="2"/>
    <s v="Storage"/>
    <s v="Fellowes Lockers, Industrial"/>
    <n v="748.12"/>
    <n v="4"/>
    <n v="0.1"/>
    <n v="282.52"/>
    <n v="253.03"/>
    <s v="Critical"/>
    <n v="2992.48"/>
    <n v="2.99248"/>
    <n v="2736.4575199999999"/>
  </r>
  <r>
    <n v="13739"/>
    <s v="ES-2013-JW1595545-41354"/>
    <d v="2013-03-21T00:00:00"/>
    <d v="2013-03-23T00:00:00"/>
    <s v="Second Class"/>
    <s v="JW-1595545"/>
    <s v="Joni Wasserman"/>
    <x v="0"/>
    <m/>
    <s v="Fontenay-aux-Roses"/>
    <s v="Ile-de-France"/>
    <s v="France"/>
    <x v="2"/>
    <s v="Europe"/>
    <s v="FUR-BO-5953"/>
    <x v="1"/>
    <s v="Bookcases"/>
    <s v="Sauder Corner Shelving, Mobile"/>
    <n v="943.87"/>
    <n v="7"/>
    <n v="0.1"/>
    <n v="209.71"/>
    <n v="252.9"/>
    <s v="Critical"/>
    <n v="6607.09"/>
    <n v="6.6070900000000004"/>
    <n v="6347.5829100000001"/>
  </r>
  <r>
    <n v="22100"/>
    <s v="IN-2015-LA1678027-42148"/>
    <d v="2015-05-24T00:00:00"/>
    <d v="2015-05-29T00:00:00"/>
    <s v="Second Class"/>
    <s v="LA-1678027"/>
    <s v="Laura Armstrong"/>
    <x v="1"/>
    <m/>
    <s v="Baotou"/>
    <s v="Inner Mongolia"/>
    <s v="China"/>
    <x v="8"/>
    <s v="Asia Pacific"/>
    <s v="FUR-BO-3901"/>
    <x v="1"/>
    <s v="Bookcases"/>
    <s v="Dania Library with Doors, Metal"/>
    <n v="1447.44"/>
    <n v="4"/>
    <n v="0"/>
    <n v="43.32"/>
    <n v="252.36"/>
    <s v="Medium"/>
    <n v="5789.76"/>
    <n v="0"/>
    <n v="5537.4000000000005"/>
  </r>
  <r>
    <n v="15899"/>
    <s v="ES-2014-FM1421564-41804"/>
    <d v="2014-06-14T00:00:00"/>
    <d v="2014-06-16T00:00:00"/>
    <s v="First Class"/>
    <s v="FM-1421564"/>
    <s v="Filia McAdams"/>
    <x v="1"/>
    <m/>
    <s v="Prato"/>
    <s v="Tuscany"/>
    <s v="Italy"/>
    <x v="9"/>
    <s v="Europe"/>
    <s v="TEC-AC-3402"/>
    <x v="0"/>
    <s v="Accessories"/>
    <s v="Belkin Router, Bluetooth"/>
    <n v="1552.5"/>
    <n v="6"/>
    <n v="0"/>
    <n v="62.1"/>
    <n v="252.17"/>
    <s v="Medium"/>
    <n v="9315"/>
    <n v="0"/>
    <n v="9062.83"/>
  </r>
  <r>
    <n v="39794"/>
    <s v="CA-2012-AB10150140-40972"/>
    <d v="2012-03-04T00:00:00"/>
    <d v="2012-03-07T00:00:00"/>
    <s v="Second Class"/>
    <s v="AB-101501406"/>
    <s v="Aimee Bixby"/>
    <x v="0"/>
    <n v="10701"/>
    <s v="Yonkers"/>
    <s v="New York"/>
    <s v="United States"/>
    <x v="14"/>
    <s v="USCA"/>
    <s v="TEC-AC-5140"/>
    <x v="0"/>
    <s v="Accessories"/>
    <s v="Logitech Wireless Gaming Headset G930"/>
    <n v="479.97"/>
    <n v="3"/>
    <n v="0"/>
    <n v="177.59"/>
    <n v="55.01"/>
    <s v="Medium"/>
    <n v="1439.91"/>
    <n v="0"/>
    <n v="1384.9"/>
  </r>
  <r>
    <n v="4569"/>
    <s v="MX-2014-MC1757518-41982"/>
    <d v="2014-12-09T00:00:00"/>
    <d v="2014-12-11T00:00:00"/>
    <s v="Second Class"/>
    <s v="MC-1757518"/>
    <s v="Matt Collins"/>
    <x v="0"/>
    <m/>
    <s v="Joinville"/>
    <s v="Santa Catarina"/>
    <s v="Brazil"/>
    <x v="7"/>
    <s v="LATAM"/>
    <s v="FUR-CH-4654"/>
    <x v="1"/>
    <s v="Chairs"/>
    <s v="Hon Executive Leather Armchair, Adjustable"/>
    <n v="919.26"/>
    <n v="3"/>
    <n v="0"/>
    <n v="266.58"/>
    <n v="251.57"/>
    <s v="Critical"/>
    <n v="2757.7799999999997"/>
    <n v="0"/>
    <n v="2506.2099999999996"/>
  </r>
  <r>
    <n v="8252"/>
    <s v="MX-2014-MC1763582-41921"/>
    <d v="2014-10-09T00:00:00"/>
    <d v="2014-10-14T00:00:00"/>
    <s v="Standard Class"/>
    <s v="MC-1763582"/>
    <s v="Matthew Clasen"/>
    <x v="1"/>
    <m/>
    <s v="Mexico City"/>
    <s v="Distrito Federal"/>
    <s v="Mexico"/>
    <x v="13"/>
    <s v="LATAM"/>
    <s v="TEC-PH-3806"/>
    <x v="0"/>
    <s v="Phones"/>
    <s v="Cisco Smart Phone, Full Size"/>
    <n v="3045.84"/>
    <n v="7"/>
    <n v="0"/>
    <n v="1035.58"/>
    <n v="251.05199999999999"/>
    <s v="High"/>
    <n v="21320.880000000001"/>
    <n v="0"/>
    <n v="21069.828000000001"/>
  </r>
  <r>
    <n v="21940"/>
    <s v="IN-2014-CR126257-41928"/>
    <d v="2014-10-16T00:00:00"/>
    <d v="2014-10-18T00:00:00"/>
    <s v="First Class"/>
    <s v="CR-126257"/>
    <s v="Corey Roper"/>
    <x v="2"/>
    <m/>
    <s v="Canberra"/>
    <s v="Australian Capital Territory"/>
    <s v="Australia"/>
    <x v="1"/>
    <s v="Asia Pacific"/>
    <s v="TEC-PH-3149"/>
    <x v="0"/>
    <s v="Phones"/>
    <s v="Apple Smart Phone, with Caller ID"/>
    <n v="766.87"/>
    <n v="2"/>
    <n v="0.4"/>
    <n v="114.97"/>
    <n v="250.36"/>
    <s v="High"/>
    <n v="1533.74"/>
    <n v="6.1349599999999995"/>
    <n v="1277.2450399999998"/>
  </r>
  <r>
    <n v="46524"/>
    <s v="MO-2012-JF541586-41266"/>
    <d v="2012-12-23T00:00:00"/>
    <d v="2012-12-27T00:00:00"/>
    <s v="Second Class"/>
    <s v="JF-541586"/>
    <s v="Jennifer Ferguson"/>
    <x v="0"/>
    <m/>
    <s v="Casablanca"/>
    <s v="Grand Casablanca"/>
    <s v="Morocco"/>
    <x v="19"/>
    <s v="Africa"/>
    <s v="FUR-TA-3342"/>
    <x v="1"/>
    <s v="Tables"/>
    <s v="Barricks Computer Table, with Bottom Storage"/>
    <n v="2880.18"/>
    <n v="6"/>
    <n v="0"/>
    <n v="115.2"/>
    <n v="250.06"/>
    <s v="Medium"/>
    <n v="17281.079999999998"/>
    <n v="0"/>
    <n v="17031.019999999997"/>
  </r>
  <r>
    <n v="4369"/>
    <s v="MX-2014-AH1021018-41745"/>
    <d v="2014-04-16T00:00:00"/>
    <d v="2014-04-19T00:00:00"/>
    <s v="First Class"/>
    <s v="AH-1021018"/>
    <s v="Alan Hwang"/>
    <x v="0"/>
    <m/>
    <s v="Colombo"/>
    <s v="Parana"/>
    <s v="Brazil"/>
    <x v="7"/>
    <s v="LATAM"/>
    <s v="OFF-AP-4736"/>
    <x v="2"/>
    <s v="Appliances"/>
    <s v="Hoover Refrigerator, Red"/>
    <n v="1403.36"/>
    <n v="4"/>
    <n v="0"/>
    <n v="449.04"/>
    <n v="250.029"/>
    <s v="High"/>
    <n v="5613.44"/>
    <n v="0"/>
    <n v="5363.4110000000001"/>
  </r>
  <r>
    <n v="26337"/>
    <s v="IN-2012-PO1919527-41200"/>
    <d v="2012-10-18T00:00:00"/>
    <d v="2012-10-23T00:00:00"/>
    <s v="Standard Class"/>
    <s v="PO-1919527"/>
    <s v="Phillina Ober"/>
    <x v="2"/>
    <m/>
    <s v="Jining"/>
    <s v="Shandong"/>
    <s v="China"/>
    <x v="8"/>
    <s v="Asia Pacific"/>
    <s v="FUR-TA-3413"/>
    <x v="1"/>
    <s v="Tables"/>
    <s v="Bevis Coffee Table, Adjustable Height"/>
    <n v="2018.33"/>
    <n v="9"/>
    <n v="0.3"/>
    <n v="-576.91"/>
    <n v="248.91"/>
    <s v="High"/>
    <n v="18164.97"/>
    <n v="54.494909999999997"/>
    <n v="17861.56509"/>
  </r>
  <r>
    <n v="21030"/>
    <s v="IN-2012-BM1178527-40977"/>
    <d v="2012-03-09T00:00:00"/>
    <d v="2012-03-11T00:00:00"/>
    <s v="First Class"/>
    <s v="BM-1178527"/>
    <s v="Bryan Mills"/>
    <x v="0"/>
    <m/>
    <s v="Zhenjiang"/>
    <s v="Jiangsu"/>
    <s v="China"/>
    <x v="8"/>
    <s v="Asia Pacific"/>
    <s v="TEC-CO-3598"/>
    <x v="0"/>
    <s v="Copiers"/>
    <s v="Brother Fax Machine, Laser"/>
    <n v="1274.1600000000001"/>
    <n v="4"/>
    <n v="0"/>
    <n v="382.2"/>
    <n v="248.59"/>
    <s v="Critical"/>
    <n v="5096.6400000000003"/>
    <n v="0"/>
    <n v="4848.05"/>
  </r>
  <r>
    <n v="23842"/>
    <s v="IN-2015-KD1634558-42029"/>
    <d v="2015-01-25T00:00:00"/>
    <d v="2015-01-29T00:00:00"/>
    <s v="Standard Class"/>
    <s v="KD-1634558"/>
    <s v="Katherine Ducich"/>
    <x v="0"/>
    <m/>
    <s v="Surat"/>
    <s v="Gujarat"/>
    <s v="India"/>
    <x v="5"/>
    <s v="Asia Pacific"/>
    <s v="FUR-BO-4849"/>
    <x v="1"/>
    <s v="Bookcases"/>
    <s v="Ikea Classic Bookcase, Mobile"/>
    <n v="2485.62"/>
    <n v="6"/>
    <n v="0"/>
    <n v="795.24"/>
    <n v="248.41"/>
    <s v="Medium"/>
    <n v="14913.72"/>
    <n v="0"/>
    <n v="14665.31"/>
  </r>
  <r>
    <n v="14759"/>
    <s v="IT-2015-TS21610139-42173"/>
    <d v="2015-06-18T00:00:00"/>
    <d v="2015-06-18T00:00:00"/>
    <s v="Same Day"/>
    <s v="TS-21610139"/>
    <s v="Troy Staebel"/>
    <x v="0"/>
    <m/>
    <s v="York"/>
    <s v="England"/>
    <s v="United Kingdom"/>
    <x v="12"/>
    <s v="Europe"/>
    <s v="OFF-AP-3576"/>
    <x v="2"/>
    <s v="Appliances"/>
    <s v="Breville Refrigerator, Silver"/>
    <n v="1560.24"/>
    <n v="3"/>
    <n v="0"/>
    <n v="421.2"/>
    <n v="247.99"/>
    <s v="High"/>
    <n v="4680.72"/>
    <n v="0"/>
    <n v="4432.7300000000005"/>
  </r>
  <r>
    <n v="21464"/>
    <s v="IN-2012-AR1051027-41266"/>
    <d v="2012-12-23T00:00:00"/>
    <d v="2012-12-29T00:00:00"/>
    <s v="Standard Class"/>
    <s v="AR-1051027"/>
    <s v="Andrew Roberts"/>
    <x v="0"/>
    <m/>
    <s v="Jining"/>
    <s v="Inner Mongolia"/>
    <s v="China"/>
    <x v="8"/>
    <s v="Asia Pacific"/>
    <s v="TEC-PH-3807"/>
    <x v="0"/>
    <s v="Phones"/>
    <s v="Cisco Smart Phone, with Caller ID"/>
    <n v="3271.2"/>
    <n v="5"/>
    <n v="0"/>
    <n v="1341.15"/>
    <n v="247.7"/>
    <s v="Medium"/>
    <n v="16356"/>
    <n v="0"/>
    <n v="16108.3"/>
  </r>
  <r>
    <n v="5138"/>
    <s v="US-2014-PG1889582-41647"/>
    <d v="2014-01-08T00:00:00"/>
    <d v="2014-01-11T00:00:00"/>
    <s v="Second Class"/>
    <s v="PG-1889582"/>
    <s v="Paul Gonzalez"/>
    <x v="0"/>
    <m/>
    <s v="Mérida"/>
    <s v="Yucatán"/>
    <s v="Mexico"/>
    <x v="13"/>
    <s v="LATAM"/>
    <s v="FUR-CH-5443"/>
    <x v="1"/>
    <s v="Chairs"/>
    <s v="Office Star Executive Leather Armchair, Red"/>
    <n v="751.49"/>
    <n v="3"/>
    <n v="0.2"/>
    <n v="-112.75"/>
    <n v="246.726"/>
    <s v="Critical"/>
    <n v="2254.4700000000003"/>
    <n v="4.5089400000000008"/>
    <n v="2003.23506"/>
  </r>
  <r>
    <n v="8682"/>
    <s v="MX-2014-LC1705051-41643"/>
    <d v="2014-01-04T00:00:00"/>
    <d v="2014-01-10T00:00:00"/>
    <s v="Standard Class"/>
    <s v="LC-1705051"/>
    <s v="Liz Carlisle"/>
    <x v="0"/>
    <m/>
    <s v="Villa Nueva"/>
    <s v="Guatemala"/>
    <s v="Guatemala"/>
    <x v="13"/>
    <s v="LATAM"/>
    <s v="TEC-PH-5841"/>
    <x v="0"/>
    <s v="Phones"/>
    <s v="Samsung Smart Phone, VoIP"/>
    <n v="2120.8000000000002"/>
    <n v="5"/>
    <n v="0"/>
    <n v="275.7"/>
    <n v="246.387"/>
    <s v="Medium"/>
    <n v="10604"/>
    <n v="0"/>
    <n v="10357.612999999999"/>
  </r>
  <r>
    <n v="18667"/>
    <s v="ES-2015-DJ1342045-42035"/>
    <d v="2015-01-31T00:00:00"/>
    <d v="2015-02-04T00:00:00"/>
    <s v="Standard Class"/>
    <s v="DJ-1342045"/>
    <s v="Denny Joy"/>
    <x v="1"/>
    <m/>
    <s v="Annecy-le-Vieux"/>
    <s v="Auvergne-Rhône-Alpes"/>
    <s v="France"/>
    <x v="2"/>
    <s v="Europe"/>
    <s v="TEC-MA-5547"/>
    <x v="0"/>
    <s v="Machines"/>
    <s v="Panasonic Inkjet, Red"/>
    <n v="2102.83"/>
    <n v="8"/>
    <n v="0.15"/>
    <n v="321.55"/>
    <n v="246.17"/>
    <s v="High"/>
    <n v="16822.64"/>
    <n v="25.233959999999996"/>
    <n v="16551.23604"/>
  </r>
  <r>
    <n v="11633"/>
    <s v="ES-2012-HK1489045-41216"/>
    <d v="2012-11-03T00:00:00"/>
    <d v="2012-11-05T00:00:00"/>
    <s v="Second Class"/>
    <s v="HK-1489045"/>
    <s v="Heather Kirkland"/>
    <x v="1"/>
    <m/>
    <s v="Drancy"/>
    <s v="Ile-de-France"/>
    <s v="France"/>
    <x v="2"/>
    <s v="Europe"/>
    <s v="TEC-MA-5020"/>
    <x v="0"/>
    <s v="Machines"/>
    <s v="Konica Receipt Printer, White"/>
    <n v="820.49"/>
    <n v="8"/>
    <n v="0.15"/>
    <n v="183.29"/>
    <n v="246.09"/>
    <s v="Critical"/>
    <n v="6563.92"/>
    <n v="9.8458799999999993"/>
    <n v="6307.9841200000001"/>
  </r>
  <r>
    <n v="32852"/>
    <s v="CA-2015-AB10150140-42252"/>
    <d v="2015-09-05T00:00:00"/>
    <d v="2015-09-09T00:00:00"/>
    <s v="Standard Class"/>
    <s v="AB-101501406"/>
    <s v="Aimee Bixby"/>
    <x v="0"/>
    <n v="11561"/>
    <s v="Long Beach"/>
    <s v="New York"/>
    <s v="United States"/>
    <x v="14"/>
    <s v="USCA"/>
    <s v="TEC-AC-6341"/>
    <x v="0"/>
    <s v="Accessories"/>
    <s v="Verbatim 25 GB 6x Blu-ray Single Layer Recordable Disc, 25/Pack"/>
    <n v="91.96"/>
    <n v="4"/>
    <n v="0"/>
    <n v="39.54"/>
    <n v="6.44"/>
    <s v="Medium"/>
    <n v="367.84"/>
    <n v="0"/>
    <n v="361.4"/>
  </r>
  <r>
    <n v="50937"/>
    <s v="TZ-2014-HH5010129-41906"/>
    <d v="2014-09-24T00:00:00"/>
    <d v="2014-09-24T00:00:00"/>
    <s v="Same Day"/>
    <s v="HH-5010129"/>
    <s v="Hilary Holden"/>
    <x v="1"/>
    <m/>
    <s v="Dar es Salaam"/>
    <s v="Dar Es Salaam"/>
    <s v="Tanzania"/>
    <x v="10"/>
    <s v="Africa"/>
    <s v="OFF-AP-4490"/>
    <x v="2"/>
    <s v="Appliances"/>
    <s v="Hamilton Beach Blender, Black"/>
    <n v="553.44000000000005"/>
    <n v="8"/>
    <n v="0"/>
    <n v="16.559999999999999"/>
    <n v="246.05"/>
    <s v="Critical"/>
    <n v="4427.5200000000004"/>
    <n v="0"/>
    <n v="4181.47"/>
  </r>
  <r>
    <n v="23360"/>
    <s v="IN-2012-RR193157-41081"/>
    <d v="2012-06-21T00:00:00"/>
    <d v="2012-06-26T00:00:00"/>
    <s v="Standard Class"/>
    <s v="RR-193157"/>
    <s v="Ralph Ritter"/>
    <x v="0"/>
    <m/>
    <s v="Gold Coast"/>
    <s v="Queensland"/>
    <s v="Australia"/>
    <x v="1"/>
    <s v="Asia Pacific"/>
    <s v="TEC-CO-3596"/>
    <x v="0"/>
    <s v="Copiers"/>
    <s v="Brother Fax Machine, Digital"/>
    <n v="1718.17"/>
    <n v="6"/>
    <n v="0.1"/>
    <n v="610.80999999999995"/>
    <n v="246.05"/>
    <s v="High"/>
    <n v="10309.02"/>
    <n v="10.30902"/>
    <n v="10052.660980000001"/>
  </r>
  <r>
    <n v="10377"/>
    <s v="ES-2013-SH2063548-41516"/>
    <d v="2013-08-30T00:00:00"/>
    <d v="2013-09-02T00:00:00"/>
    <s v="Second Class"/>
    <s v="SH-2063548"/>
    <s v="Stefanie Holloman"/>
    <x v="1"/>
    <m/>
    <s v="Nuremberg"/>
    <s v="Bavaria"/>
    <s v="Germany"/>
    <x v="2"/>
    <s v="Europe"/>
    <s v="FUR-TA-5057"/>
    <x v="1"/>
    <s v="Tables"/>
    <s v="Lesro Conference Table, Adjustable Height"/>
    <n v="2794.25"/>
    <n v="5"/>
    <n v="0.35"/>
    <n v="515.75"/>
    <n v="245.86"/>
    <s v="Medium"/>
    <n v="13971.25"/>
    <n v="48.899374999999999"/>
    <n v="13676.490624999999"/>
  </r>
  <r>
    <n v="32896"/>
    <s v="CA-2015-AB10150140-42328"/>
    <d v="2015-11-20T00:00:00"/>
    <d v="2015-11-22T00:00:00"/>
    <s v="Second Class"/>
    <s v="AB-101501402"/>
    <s v="Aimee Bixby"/>
    <x v="0"/>
    <n v="75007"/>
    <s v="Carrollton"/>
    <s v="Texas"/>
    <s v="United States"/>
    <x v="0"/>
    <s v="USCA"/>
    <s v="OFF-AR-3551"/>
    <x v="2"/>
    <s v="Art"/>
    <s v="Boston School Pro Electric Pencil Sharpener, 1670"/>
    <n v="99.14"/>
    <n v="4"/>
    <n v="0.2"/>
    <n v="8.67"/>
    <n v="4.3099999999999996"/>
    <s v="Medium"/>
    <n v="396.56"/>
    <n v="0.79312000000000016"/>
    <n v="391.45688000000001"/>
  </r>
  <r>
    <n v="25965"/>
    <s v="IN-2013-DV1346527-41626"/>
    <d v="2013-12-18T00:00:00"/>
    <d v="2013-12-22T00:00:00"/>
    <s v="Second Class"/>
    <s v="DV-1346527"/>
    <s v="Dianna Vittorini"/>
    <x v="0"/>
    <m/>
    <s v="Macheng"/>
    <s v="Hubei"/>
    <s v="China"/>
    <x v="8"/>
    <s v="Asia Pacific"/>
    <s v="TEC-PH-5355"/>
    <x v="0"/>
    <s v="Phones"/>
    <s v="Nokia Smart Phone, Full Size"/>
    <n v="1274.7"/>
    <n v="2"/>
    <n v="0"/>
    <n v="165.66"/>
    <n v="245.57"/>
    <s v="High"/>
    <n v="2549.4"/>
    <n v="0"/>
    <n v="2303.83"/>
  </r>
  <r>
    <n v="44891"/>
    <s v="MO-2014-RP985586-41907"/>
    <d v="2014-09-25T00:00:00"/>
    <d v="2014-10-01T00:00:00"/>
    <s v="Standard Class"/>
    <s v="RP-985586"/>
    <s v="Roy Phan"/>
    <x v="1"/>
    <m/>
    <s v="Beni Mellal"/>
    <s v="Tadla-Azilal"/>
    <s v="Morocco"/>
    <x v="19"/>
    <s v="Africa"/>
    <s v="TEC-AC-3405"/>
    <x v="0"/>
    <s v="Accessories"/>
    <s v="Belkin Router, USB"/>
    <n v="1553.76"/>
    <n v="6"/>
    <n v="0"/>
    <n v="730.26"/>
    <n v="245.57"/>
    <s v="Low"/>
    <n v="9322.56"/>
    <n v="0"/>
    <n v="9076.99"/>
  </r>
  <r>
    <n v="7046"/>
    <s v="MX-2015-NF1838582-42087"/>
    <d v="2015-03-24T00:00:00"/>
    <d v="2015-03-28T00:00:00"/>
    <s v="Standard Class"/>
    <s v="NF-1838582"/>
    <s v="Natalie Fritzler"/>
    <x v="0"/>
    <m/>
    <s v="Juárez"/>
    <s v="Chihuahua"/>
    <s v="Mexico"/>
    <x v="13"/>
    <s v="LATAM"/>
    <s v="FUR-TA-3359"/>
    <x v="1"/>
    <s v="Tables"/>
    <s v="Barricks Wood Table, with Bottom Storage"/>
    <n v="2205.5700000000002"/>
    <n v="8"/>
    <n v="0.2"/>
    <n v="689.09"/>
    <n v="245.06700000000001"/>
    <s v="High"/>
    <n v="17644.560000000001"/>
    <n v="35.289120000000004"/>
    <n v="17364.203880000001"/>
  </r>
  <r>
    <n v="36410"/>
    <s v="CA-2014-AB10150140-41670"/>
    <d v="2014-01-31T00:00:00"/>
    <d v="2014-02-02T00:00:00"/>
    <s v="Second Class"/>
    <s v="AB-101501402"/>
    <s v="Aimee Bixby"/>
    <x v="0"/>
    <n v="75220"/>
    <s v="Dallas"/>
    <s v="Texas"/>
    <s v="United States"/>
    <x v="0"/>
    <s v="USCA"/>
    <s v="OFF-PA-6553"/>
    <x v="2"/>
    <s v="Paper"/>
    <s v="Xerox 1994"/>
    <n v="15.55"/>
    <n v="3"/>
    <n v="0.2"/>
    <n v="5.44"/>
    <n v="3.66"/>
    <s v="Critical"/>
    <n v="46.650000000000006"/>
    <n v="9.3300000000000022E-2"/>
    <n v="42.89670000000001"/>
  </r>
  <r>
    <n v="10408"/>
    <s v="ES-2012-LR1703548-41245"/>
    <d v="2012-12-02T00:00:00"/>
    <d v="2012-12-02T00:00:00"/>
    <s v="Same Day"/>
    <s v="LR-1703548"/>
    <s v="Lisa Ryan"/>
    <x v="1"/>
    <m/>
    <s v="Hamburg"/>
    <s v="Hamburg"/>
    <s v="Germany"/>
    <x v="2"/>
    <s v="Europe"/>
    <s v="TEC-PH-5269"/>
    <x v="0"/>
    <s v="Phones"/>
    <s v="Motorola Smart Phone, with Caller ID"/>
    <n v="3227.7"/>
    <n v="5"/>
    <n v="0"/>
    <n v="742.35"/>
    <n v="244.67"/>
    <s v="Medium"/>
    <n v="16138.5"/>
    <n v="0"/>
    <n v="15893.83"/>
  </r>
  <r>
    <n v="21019"/>
    <s v="IN-2015-DR1294058-42152"/>
    <d v="2015-05-28T00:00:00"/>
    <d v="2015-06-01T00:00:00"/>
    <s v="Standard Class"/>
    <s v="DR-1294058"/>
    <s v="Daniel Raglin"/>
    <x v="2"/>
    <m/>
    <s v="Madurai"/>
    <s v="Tamil Nadu"/>
    <s v="India"/>
    <x v="5"/>
    <s v="Asia Pacific"/>
    <s v="FUR-CH-5441"/>
    <x v="1"/>
    <s v="Chairs"/>
    <s v="Office Star Executive Leather Armchair, Adjustable"/>
    <n v="1395"/>
    <n v="3"/>
    <n v="0"/>
    <n v="237.15"/>
    <n v="244.5"/>
    <s v="High"/>
    <n v="4185"/>
    <n v="0"/>
    <n v="3940.5"/>
  </r>
  <r>
    <n v="12827"/>
    <s v="ES-2015-AF1087048-42169"/>
    <d v="2015-06-14T00:00:00"/>
    <d v="2015-06-17T00:00:00"/>
    <s v="Second Class"/>
    <s v="AF-1087048"/>
    <s v="Art Ferguson"/>
    <x v="0"/>
    <m/>
    <s v="Dortmund"/>
    <s v="North Rhine-Westphalia"/>
    <s v="Germany"/>
    <x v="2"/>
    <s v="Europe"/>
    <s v="FUR-TA-3348"/>
    <x v="1"/>
    <s v="Tables"/>
    <s v="Barricks Round Table, Adjustable Height"/>
    <n v="2291.84"/>
    <n v="7"/>
    <n v="0.35"/>
    <n v="-1128.44"/>
    <n v="244.3"/>
    <s v="High"/>
    <n v="16042.880000000001"/>
    <n v="56.150079999999996"/>
    <n v="15742.429920000002"/>
  </r>
  <r>
    <n v="41965"/>
    <s v="CF-2012-IM5055106-41224"/>
    <d v="2012-11-11T00:00:00"/>
    <d v="2012-11-15T00:00:00"/>
    <s v="Standard Class"/>
    <s v="IM-5055106"/>
    <s v="Ionia McGrath"/>
    <x v="0"/>
    <m/>
    <s v="Loubomo"/>
    <s v="Niari"/>
    <s v="Republic of the Congo"/>
    <x v="16"/>
    <s v="Africa"/>
    <s v="FUR-BO-3625"/>
    <x v="1"/>
    <s v="Bookcases"/>
    <s v="Bush Classic Bookcase, Mobile"/>
    <n v="1660.8"/>
    <n v="4"/>
    <n v="0"/>
    <n v="83.04"/>
    <n v="244.07"/>
    <s v="High"/>
    <n v="6643.2"/>
    <n v="0"/>
    <n v="6399.13"/>
  </r>
  <r>
    <n v="22056"/>
    <s v="ID-2014-VG2180527-41790"/>
    <d v="2014-05-31T00:00:00"/>
    <d v="2014-06-05T00:00:00"/>
    <s v="Standard Class"/>
    <s v="VG-2180527"/>
    <s v="Vivek Grady"/>
    <x v="1"/>
    <m/>
    <s v="Jiangmen"/>
    <s v="Guangdong"/>
    <s v="China"/>
    <x v="8"/>
    <s v="Asia Pacific"/>
    <s v="FUR-TA-3765"/>
    <x v="1"/>
    <s v="Tables"/>
    <s v="Chromcraft Conference Table, Rectangular"/>
    <n v="2436.67"/>
    <n v="4"/>
    <n v="0.3"/>
    <n v="-487.37"/>
    <n v="244.03"/>
    <s v="High"/>
    <n v="9746.68"/>
    <n v="29.24004"/>
    <n v="9473.409959999999"/>
  </r>
  <r>
    <n v="41450"/>
    <s v="RS-2012-AS285108-41137"/>
    <d v="2012-08-16T00:00:00"/>
    <d v="2012-08-18T00:00:00"/>
    <s v="First Class"/>
    <s v="AS-285108"/>
    <s v="Alejandro Savely"/>
    <x v="1"/>
    <m/>
    <s v="Kaliningrad"/>
    <s v="Kaliningrad"/>
    <s v="Russia"/>
    <x v="11"/>
    <s v="Europe"/>
    <s v="FUR-CH-4558"/>
    <x v="1"/>
    <s v="Chairs"/>
    <s v="Harbour Creations Steel Folding Chair, Black"/>
    <n v="954.6"/>
    <n v="10"/>
    <n v="0"/>
    <n v="152.69999999999999"/>
    <n v="243.85"/>
    <s v="Critical"/>
    <n v="9546"/>
    <n v="0"/>
    <n v="9302.15"/>
  </r>
  <r>
    <n v="6459"/>
    <s v="MX-2013-DK1298539-41339"/>
    <d v="2013-03-06T00:00:00"/>
    <d v="2013-03-11T00:00:00"/>
    <s v="Standard Class"/>
    <s v="DK-1298539"/>
    <s v="Darren Koutras"/>
    <x v="0"/>
    <m/>
    <s v="Mejicanos"/>
    <s v="San Salvador"/>
    <s v="El Salvador"/>
    <x v="13"/>
    <s v="LATAM"/>
    <s v="OFF-AP-4966"/>
    <x v="2"/>
    <s v="Appliances"/>
    <s v="KitchenAid Stove, Silver"/>
    <n v="1903"/>
    <n v="5"/>
    <n v="0"/>
    <n v="57"/>
    <n v="243.79300000000001"/>
    <s v="High"/>
    <n v="9515"/>
    <n v="0"/>
    <n v="9271.2070000000003"/>
  </r>
  <r>
    <n v="13340"/>
    <s v="ES-2015-RW1954096-42222"/>
    <d v="2015-08-06T00:00:00"/>
    <d v="2015-08-06T00:00:00"/>
    <s v="Same Day"/>
    <s v="RW-1954096"/>
    <s v="Rick Wilson"/>
    <x v="1"/>
    <m/>
    <s v="Kristiansand"/>
    <s v="Vest-Agder"/>
    <s v="Norway"/>
    <x v="12"/>
    <s v="Europe"/>
    <s v="TEC-CO-3596"/>
    <x v="0"/>
    <s v="Copiers"/>
    <s v="Brother Fax Machine, Digital"/>
    <n v="1590.9"/>
    <n v="5"/>
    <n v="0"/>
    <n v="508.95"/>
    <n v="243.57"/>
    <s v="Medium"/>
    <n v="7954.5"/>
    <n v="0"/>
    <n v="7710.93"/>
  </r>
  <r>
    <n v="46906"/>
    <s v="IZ-2015-EH418561-42173"/>
    <d v="2015-06-18T00:00:00"/>
    <d v="2015-06-21T00:00:00"/>
    <s v="First Class"/>
    <s v="EH-418561"/>
    <s v="Evan Henry"/>
    <x v="0"/>
    <m/>
    <s v="Ad Diwaniyah"/>
    <s v="Al Qadisiyah"/>
    <s v="Iraq"/>
    <x v="6"/>
    <s v="Asia Pacific"/>
    <s v="FUR-BO-3640"/>
    <x v="1"/>
    <s v="Bookcases"/>
    <s v="Bush Library with Doors, Mobile"/>
    <n v="1467.36"/>
    <n v="4"/>
    <n v="0"/>
    <n v="469.44"/>
    <n v="243.14"/>
    <s v="High"/>
    <n v="5869.44"/>
    <n v="0"/>
    <n v="5626.2999999999993"/>
  </r>
  <r>
    <n v="26535"/>
    <s v="IN-2015-ML1739559-42369"/>
    <d v="2015-12-31T00:00:00"/>
    <d v="2016-01-01T00:00:00"/>
    <s v="First Class"/>
    <s v="ML-1739559"/>
    <s v="Marina Lichtenstein"/>
    <x v="1"/>
    <m/>
    <s v="Jakarta"/>
    <s v="Jakarta"/>
    <s v="Indonesia"/>
    <x v="17"/>
    <s v="Asia Pacific"/>
    <s v="FUR-BO-5787"/>
    <x v="1"/>
    <s v="Bookcases"/>
    <s v="Safco Library with Doors, Pine"/>
    <n v="1091.28"/>
    <n v="3"/>
    <n v="7.0000000000000007E-2"/>
    <n v="46.92"/>
    <n v="243.11"/>
    <s v="High"/>
    <n v="3273.84"/>
    <n v="2.2916880000000002"/>
    <n v="3028.4383120000002"/>
  </r>
  <r>
    <n v="509"/>
    <s v="MX-2013-BF1121593-41541"/>
    <d v="2013-09-24T00:00:00"/>
    <d v="2013-09-28T00:00:00"/>
    <s v="Second Class"/>
    <s v="BF-1121593"/>
    <s v="Benjamin Farhat"/>
    <x v="2"/>
    <m/>
    <s v="Managua"/>
    <s v="Managua"/>
    <s v="Nicaragua"/>
    <x v="13"/>
    <s v="LATAM"/>
    <s v="TEC-CO-3609"/>
    <x v="0"/>
    <s v="Copiers"/>
    <s v="Brother Wireless Fax, Digital"/>
    <n v="2014.36"/>
    <n v="8"/>
    <n v="2E-3"/>
    <n v="419.8"/>
    <n v="243.059"/>
    <s v="Medium"/>
    <n v="16114.88"/>
    <n v="0.32229759999999996"/>
    <n v="15871.4987024"/>
  </r>
  <r>
    <n v="49790"/>
    <s v="CG-2014-MB730533-41688"/>
    <d v="2014-02-18T00:00:00"/>
    <d v="2014-02-23T00:00:00"/>
    <s v="Second Class"/>
    <s v="MB-730533"/>
    <s v="Maria Bertelson"/>
    <x v="0"/>
    <m/>
    <s v="Kinshasa"/>
    <s v="Kinshasa"/>
    <s v="Democratic Republic of the Congo"/>
    <x v="16"/>
    <s v="Africa"/>
    <s v="FUR-TA-3777"/>
    <x v="1"/>
    <s v="Tables"/>
    <s v="Chromcraft Wood Table, Adjustable Height"/>
    <n v="3877.68"/>
    <n v="8"/>
    <n v="0"/>
    <n v="930.48"/>
    <n v="242.9"/>
    <s v="Medium"/>
    <n v="31021.439999999999"/>
    <n v="0"/>
    <n v="30778.539999999997"/>
  </r>
  <r>
    <n v="29737"/>
    <s v="IN-2015-KN164507-42332"/>
    <d v="2015-11-24T00:00:00"/>
    <d v="2015-11-26T00:00:00"/>
    <s v="First Class"/>
    <s v="KN-164507"/>
    <s v="Kean Nguyen"/>
    <x v="1"/>
    <m/>
    <s v="Perth"/>
    <s v="Western Australia"/>
    <s v="Australia"/>
    <x v="1"/>
    <s v="Asia Pacific"/>
    <s v="TEC-PH-3147"/>
    <x v="0"/>
    <s v="Phones"/>
    <s v="Apple Smart Phone, Cordless"/>
    <n v="2863.35"/>
    <n v="5"/>
    <n v="0.1"/>
    <n v="858.9"/>
    <n v="242.57"/>
    <s v="Medium"/>
    <n v="14316.75"/>
    <n v="14.316750000000003"/>
    <n v="14059.86325"/>
  </r>
  <r>
    <n v="25271"/>
    <s v="IN-2015-HR14770102-42270"/>
    <d v="2015-09-23T00:00:00"/>
    <d v="2015-09-29T00:00:00"/>
    <s v="Standard Class"/>
    <s v="HR-14770102"/>
    <s v="Hallie Redmond"/>
    <x v="2"/>
    <m/>
    <s v="Marikina"/>
    <s v="National Capital"/>
    <s v="Philippines"/>
    <x v="17"/>
    <s v="Asia Pacific"/>
    <s v="FUR-CH-4531"/>
    <x v="1"/>
    <s v="Chairs"/>
    <s v="Harbour Creations Executive Leather Armchair, Black"/>
    <n v="2841.66"/>
    <n v="8"/>
    <n v="0.25"/>
    <n v="189.42"/>
    <n v="242.38"/>
    <s v="Medium"/>
    <n v="22733.279999999999"/>
    <n v="56.833199999999998"/>
    <n v="22434.066799999997"/>
  </r>
  <r>
    <n v="15079"/>
    <s v="ES-2015-CK1276045-42312"/>
    <d v="2015-11-04T00:00:00"/>
    <d v="2015-11-07T00:00:00"/>
    <s v="First Class"/>
    <s v="CK-1276045"/>
    <s v="Cyma Kinney"/>
    <x v="1"/>
    <m/>
    <s v="Bayonne"/>
    <s v="Aquitaine-Limousin-Poitou-Charentes"/>
    <s v="France"/>
    <x v="2"/>
    <s v="Europe"/>
    <s v="TEC-MA-6140"/>
    <x v="0"/>
    <s v="Machines"/>
    <s v="StarTech Inkjet, Durable"/>
    <n v="765.46"/>
    <n v="3"/>
    <n v="0.15"/>
    <n v="-36.08"/>
    <n v="242.18"/>
    <s v="Critical"/>
    <n v="2296.38"/>
    <n v="3.4445700000000001"/>
    <n v="2050.7554300000002"/>
  </r>
  <r>
    <n v="28572"/>
    <s v="IN-2015-PB192107-42248"/>
    <d v="2015-09-01T00:00:00"/>
    <d v="2015-09-04T00:00:00"/>
    <s v="First Class"/>
    <s v="PB-192107"/>
    <s v="Phillip Breyer"/>
    <x v="1"/>
    <m/>
    <s v="Wollongong"/>
    <s v="New South Wales"/>
    <s v="Australia"/>
    <x v="1"/>
    <s v="Asia Pacific"/>
    <s v="OFF-AP-4738"/>
    <x v="2"/>
    <s v="Appliances"/>
    <s v="Hoover Refrigerator, White"/>
    <n v="1887.84"/>
    <n v="4"/>
    <n v="0.1"/>
    <n v="0"/>
    <n v="241.89"/>
    <s v="Medium"/>
    <n v="7551.36"/>
    <n v="7.5513599999999999"/>
    <n v="7301.918639999999"/>
  </r>
  <r>
    <n v="33927"/>
    <s v="CA-2013-AB10150140-41527"/>
    <d v="2013-09-10T00:00:00"/>
    <d v="2013-09-15T00:00:00"/>
    <s v="Standard Class"/>
    <s v="AB-101501402"/>
    <s v="Aimee Bixby"/>
    <x v="0"/>
    <n v="74133"/>
    <s v="Tulsa"/>
    <s v="Oklahoma"/>
    <s v="United States"/>
    <x v="0"/>
    <s v="USCA"/>
    <s v="OFF-PA-6508"/>
    <x v="2"/>
    <s v="Paper"/>
    <s v="Xerox 1952"/>
    <n v="14.94"/>
    <n v="3"/>
    <n v="0"/>
    <n v="7.02"/>
    <n v="1.52"/>
    <s v="High"/>
    <n v="44.82"/>
    <n v="0"/>
    <n v="43.3"/>
  </r>
  <r>
    <n v="47228"/>
    <s v="CA-2014-AB16523-41660"/>
    <d v="2014-01-21T00:00:00"/>
    <d v="2014-01-21T00:00:00"/>
    <s v="Same Day"/>
    <s v="AB-16523"/>
    <s v="Alan Barnes"/>
    <x v="0"/>
    <m/>
    <s v="Hamilton"/>
    <s v="Ontario"/>
    <s v="Canada"/>
    <x v="21"/>
    <s v="USCA"/>
    <s v="OFF-AR-3475"/>
    <x v="2"/>
    <s v="Art"/>
    <s v="Binney &amp; Smith Canvas, Blue"/>
    <n v="410.88"/>
    <n v="8"/>
    <n v="0"/>
    <n v="78"/>
    <n v="59.79"/>
    <s v="High"/>
    <n v="3287.04"/>
    <n v="0"/>
    <n v="3227.25"/>
  </r>
  <r>
    <n v="5467"/>
    <s v="MX-2015-AA1048031-42111"/>
    <d v="2015-04-17T00:00:00"/>
    <d v="2015-04-20T00:00:00"/>
    <s v="Second Class"/>
    <s v="AA-1048031"/>
    <s v="Andrew Allen"/>
    <x v="0"/>
    <m/>
    <s v="San José de las Lajas"/>
    <s v="Mayabeque"/>
    <s v="Cuba"/>
    <x v="15"/>
    <s v="LATAM"/>
    <s v="OFF-AP-4508"/>
    <x v="2"/>
    <s v="Appliances"/>
    <s v="Hamilton Beach Stove, White"/>
    <n v="1801.6"/>
    <n v="5"/>
    <n v="0"/>
    <n v="180.1"/>
    <n v="241.53700000000001"/>
    <s v="Medium"/>
    <n v="9008"/>
    <n v="0"/>
    <n v="8766.4629999999997"/>
  </r>
  <r>
    <n v="50118"/>
    <s v="AG-2012-RO97803-40964"/>
    <d v="2012-02-25T00:00:00"/>
    <d v="2012-02-25T00:00:00"/>
    <s v="Same Day"/>
    <s v="RO-97803"/>
    <s v="Rose O'Brian"/>
    <x v="0"/>
    <m/>
    <s v="Algiers"/>
    <s v="Alger"/>
    <s v="Algeria"/>
    <x v="19"/>
    <s v="Africa"/>
    <s v="TEC-MA-4197"/>
    <x v="0"/>
    <s v="Machines"/>
    <s v="Epson Inkjet, Durable"/>
    <n v="613.26"/>
    <n v="2"/>
    <n v="0"/>
    <n v="202.32"/>
    <n v="241.33"/>
    <s v="Critical"/>
    <n v="1226.52"/>
    <n v="0"/>
    <n v="985.18999999999994"/>
  </r>
  <r>
    <n v="31989"/>
    <s v="CA-2013-AB10165140-41361"/>
    <d v="2013-03-28T00:00:00"/>
    <d v="2013-04-02T00:00:00"/>
    <s v="Standard Class"/>
    <s v="AB-101651404"/>
    <s v="Alan Barnes"/>
    <x v="0"/>
    <n v="90036"/>
    <s v="Los Angeles"/>
    <s v="California"/>
    <s v="United States"/>
    <x v="4"/>
    <s v="USCA"/>
    <s v="TEC-AC-4870"/>
    <x v="0"/>
    <s v="Accessories"/>
    <s v="Imation Bio 8GB USB Flash Drive Imation Corp"/>
    <n v="166.24"/>
    <n v="1"/>
    <n v="0"/>
    <n v="24.94"/>
    <n v="17.399999999999999"/>
    <s v="Medium"/>
    <n v="166.24"/>
    <n v="0"/>
    <n v="148.84"/>
  </r>
  <r>
    <n v="30834"/>
    <s v="IN-2015-MR175457-42263"/>
    <d v="2015-09-16T00:00:00"/>
    <d v="2015-09-20T00:00:00"/>
    <s v="Second Class"/>
    <s v="MR-175457"/>
    <s v="Mathew Reese"/>
    <x v="2"/>
    <m/>
    <s v="Wollongong"/>
    <s v="New South Wales"/>
    <s v="Australia"/>
    <x v="1"/>
    <s v="Asia Pacific"/>
    <s v="FUR-CH-4656"/>
    <x v="1"/>
    <s v="Chairs"/>
    <s v="Hon Executive Leather Armchair, Red"/>
    <n v="1837.56"/>
    <n v="4"/>
    <n v="0"/>
    <n v="275.52"/>
    <n v="240.32"/>
    <s v="Medium"/>
    <n v="7350.24"/>
    <n v="0"/>
    <n v="7109.92"/>
  </r>
  <r>
    <n v="12121"/>
    <s v="ES-2014-SP2092064-41828"/>
    <d v="2014-07-08T00:00:00"/>
    <d v="2014-07-11T00:00:00"/>
    <s v="First Class"/>
    <s v="SP-2092064"/>
    <s v="Susan Pistek"/>
    <x v="0"/>
    <m/>
    <s v="Bologna"/>
    <s v="Emilia-Romagna"/>
    <s v="Italy"/>
    <x v="9"/>
    <s v="Europe"/>
    <s v="OFF-AP-4743"/>
    <x v="2"/>
    <s v="Appliances"/>
    <s v="Hoover Stove, Red"/>
    <n v="3979.29"/>
    <n v="7"/>
    <n v="0"/>
    <n v="1989.54"/>
    <n v="240.17"/>
    <s v="Medium"/>
    <n v="27855.03"/>
    <n v="0"/>
    <n v="27614.86"/>
  </r>
  <r>
    <n v="35613"/>
    <s v="CA-2013-AB10165140-41450"/>
    <d v="2013-06-25T00:00:00"/>
    <d v="2013-07-01T00:00:00"/>
    <s v="Standard Class"/>
    <s v="AB-101651404"/>
    <s v="Alan Barnes"/>
    <x v="0"/>
    <n v="90045"/>
    <s v="Los Angeles"/>
    <s v="California"/>
    <s v="United States"/>
    <x v="4"/>
    <s v="USCA"/>
    <s v="OFF-ST-6293"/>
    <x v="2"/>
    <s v="Storage"/>
    <s v="Tennsco Regal Shelving Units"/>
    <n v="304.23"/>
    <n v="3"/>
    <n v="0"/>
    <n v="9.1300000000000008"/>
    <n v="11.27"/>
    <s v="Medium"/>
    <n v="912.69"/>
    <n v="0"/>
    <n v="901.42000000000007"/>
  </r>
  <r>
    <n v="5256"/>
    <s v="MX-2014-AH1046593-42004"/>
    <d v="2014-12-31T00:00:00"/>
    <d v="2015-01-01T00:00:00"/>
    <s v="First Class"/>
    <s v="AH-1046593"/>
    <s v="Amy Hunt"/>
    <x v="0"/>
    <m/>
    <s v="León"/>
    <s v="León"/>
    <s v="Nicaragua"/>
    <x v="13"/>
    <s v="LATAM"/>
    <s v="TEC-CO-4792"/>
    <x v="0"/>
    <s v="Copiers"/>
    <s v="HP Wireless Fax, Laser"/>
    <n v="1198.3"/>
    <n v="5"/>
    <n v="2E-3"/>
    <n v="165.6"/>
    <n v="240.09200000000001"/>
    <s v="High"/>
    <n v="5991.5"/>
    <n v="0.11983000000000001"/>
    <n v="5751.2881700000007"/>
  </r>
  <r>
    <n v="37429"/>
    <s v="CA-2015-AB10165140-42263"/>
    <d v="2015-09-16T00:00:00"/>
    <d v="2015-09-21T00:00:00"/>
    <s v="Standard Class"/>
    <s v="AB-101651408"/>
    <s v="Alan Barnes"/>
    <x v="0"/>
    <n v="37087"/>
    <s v="Lebanon"/>
    <s v="Tennessee"/>
    <s v="United States"/>
    <x v="18"/>
    <s v="USCA"/>
    <s v="OFF-PA-6443"/>
    <x v="2"/>
    <s v="Paper"/>
    <s v="Xerox 1893"/>
    <n v="163.96"/>
    <n v="5"/>
    <n v="0.2"/>
    <n v="59.44"/>
    <n v="7.84"/>
    <s v="Medium"/>
    <n v="819.80000000000007"/>
    <n v="1.6396000000000004"/>
    <n v="810.32040000000006"/>
  </r>
  <r>
    <n v="24646"/>
    <s v="IN-2015-AH105857-42033"/>
    <d v="2015-01-29T00:00:00"/>
    <d v="2015-02-02T00:00:00"/>
    <s v="Standard Class"/>
    <s v="AH-105857"/>
    <s v="Angele Hood"/>
    <x v="0"/>
    <m/>
    <s v="Townsville"/>
    <s v="Queensland"/>
    <s v="Australia"/>
    <x v="1"/>
    <s v="Asia Pacific"/>
    <s v="FUR-BO-4849"/>
    <x v="1"/>
    <s v="Bookcases"/>
    <s v="Ikea Classic Bookcase, Mobile"/>
    <n v="1864.22"/>
    <n v="5"/>
    <n v="0.1"/>
    <n v="455.57"/>
    <n v="239.83"/>
    <s v="High"/>
    <n v="9321.1"/>
    <n v="9.3211000000000013"/>
    <n v="9071.9489000000012"/>
  </r>
  <r>
    <n v="43619"/>
    <s v="TU-2012-CV2805134-41159"/>
    <d v="2012-09-07T00:00:00"/>
    <d v="2012-09-09T00:00:00"/>
    <s v="Second Class"/>
    <s v="CV-2805134"/>
    <s v="Cynthia Voltz"/>
    <x v="1"/>
    <m/>
    <s v="Istanbul"/>
    <s v="Istanbul"/>
    <s v="Turkey"/>
    <x v="6"/>
    <s v="Asia Pacific"/>
    <s v="FUR-CH-4530"/>
    <x v="1"/>
    <s v="Chairs"/>
    <s v="Harbour Creations Executive Leather Armchair, Adjustable"/>
    <n v="1142.6400000000001"/>
    <n v="6"/>
    <n v="0.6"/>
    <n v="-571.32000000000005"/>
    <n v="239.71"/>
    <s v="Critical"/>
    <n v="6855.84"/>
    <n v="41.135039999999996"/>
    <n v="6574.99496"/>
  </r>
  <r>
    <n v="18895"/>
    <s v="IT-2015-JK1532545-42052"/>
    <d v="2015-02-17T00:00:00"/>
    <d v="2015-02-21T00:00:00"/>
    <s v="Standard Class"/>
    <s v="JK-1532545"/>
    <s v="Jason Klamczynski"/>
    <x v="1"/>
    <m/>
    <s v="Marseille"/>
    <s v="Provence-Alpes-Côte d'Azur"/>
    <s v="France"/>
    <x v="2"/>
    <s v="Europe"/>
    <s v="FUR-BO-3904"/>
    <x v="1"/>
    <s v="Bookcases"/>
    <s v="Dania Library with Doors, Traditional"/>
    <n v="1630.8"/>
    <n v="5"/>
    <n v="0.1"/>
    <n v="18"/>
    <n v="239.69"/>
    <s v="High"/>
    <n v="8154"/>
    <n v="8.1540000000000017"/>
    <n v="7906.1559999999999"/>
  </r>
  <r>
    <n v="50832"/>
    <s v="LH-2013-RB943575-41424"/>
    <d v="2013-05-30T00:00:00"/>
    <d v="2013-06-02T00:00:00"/>
    <s v="First Class"/>
    <s v="RB-943575"/>
    <s v="Richard Bierner"/>
    <x v="0"/>
    <m/>
    <s v="Kaunas"/>
    <s v="Kaunas"/>
    <s v="Lithuania"/>
    <x v="12"/>
    <s v="Europe"/>
    <s v="TEC-PH-3805"/>
    <x v="0"/>
    <s v="Phones"/>
    <s v="Cisco Smart Phone, Cordless"/>
    <n v="1172.6600000000001"/>
    <n v="6"/>
    <n v="0.7"/>
    <n v="-1172.74"/>
    <n v="239.69"/>
    <s v="High"/>
    <n v="7035.9600000000009"/>
    <n v="49.251720000000006"/>
    <n v="6747.0182800000011"/>
  </r>
  <r>
    <n v="47986"/>
    <s v="IR-2014-AG52560-41641"/>
    <d v="2014-01-02T00:00:00"/>
    <d v="2014-01-04T00:00:00"/>
    <s v="Second Class"/>
    <s v="AG-52560"/>
    <s v="Andy Gerbode"/>
    <x v="1"/>
    <m/>
    <s v="Ardabil"/>
    <s v="Ardabil"/>
    <s v="Iran"/>
    <x v="5"/>
    <s v="Asia Pacific"/>
    <s v="TEC-PH-5264"/>
    <x v="0"/>
    <s v="Phones"/>
    <s v="Motorola Signal Booster, Full Size"/>
    <n v="2021.88"/>
    <n v="14"/>
    <n v="0"/>
    <n v="323.39999999999998"/>
    <n v="239.62"/>
    <s v="High"/>
    <n v="28306.32"/>
    <n v="0"/>
    <n v="28066.7"/>
  </r>
  <r>
    <n v="165"/>
    <s v="MX-2013-AR1034582-41601"/>
    <d v="2013-11-23T00:00:00"/>
    <d v="2013-11-25T00:00:00"/>
    <s v="First Class"/>
    <s v="AR-1034582"/>
    <s v="Alex Russell"/>
    <x v="1"/>
    <m/>
    <s v="Mexicali"/>
    <s v="Baja California"/>
    <s v="Mexico"/>
    <x v="13"/>
    <s v="LATAM"/>
    <s v="FUR-BO-5786"/>
    <x v="1"/>
    <s v="Bookcases"/>
    <s v="Safco Library with Doors, Mobile"/>
    <n v="836.93"/>
    <n v="4"/>
    <n v="0.2"/>
    <n v="230.13"/>
    <n v="239.21700000000001"/>
    <s v="High"/>
    <n v="3347.72"/>
    <n v="6.6954399999999996"/>
    <n v="3101.8075599999997"/>
  </r>
  <r>
    <n v="41568"/>
    <s v="SA-2015-MW8220110-42105"/>
    <d v="2015-04-11T00:00:00"/>
    <d v="2015-04-17T00:00:00"/>
    <s v="Standard Class"/>
    <s v="MW-8220110"/>
    <s v="Mitch Webber"/>
    <x v="0"/>
    <m/>
    <s v="Mecca"/>
    <s v="Makkah"/>
    <s v="Saudi Arabia"/>
    <x v="6"/>
    <s v="Asia Pacific"/>
    <s v="TEC-PH-3806"/>
    <x v="0"/>
    <s v="Phones"/>
    <s v="Cisco Smart Phone, Full Size"/>
    <n v="1302.78"/>
    <n v="2"/>
    <n v="0"/>
    <n v="286.56"/>
    <n v="239.04"/>
    <s v="Low"/>
    <n v="2605.56"/>
    <n v="0"/>
    <n v="2366.52"/>
  </r>
  <r>
    <n v="41569"/>
    <s v="EG-2013-AH21038-41489"/>
    <d v="2013-08-03T00:00:00"/>
    <d v="2013-08-07T00:00:00"/>
    <s v="Standard Class"/>
    <s v="AH-21038"/>
    <s v="Alan Hwang"/>
    <x v="0"/>
    <m/>
    <s v="Alexandria"/>
    <s v="Al Iskandariyah"/>
    <s v="Egypt"/>
    <x v="19"/>
    <s v="Africa"/>
    <s v="OFF-AP-3578"/>
    <x v="2"/>
    <s v="Appliances"/>
    <s v="Breville Stove, Black"/>
    <n v="2243.88"/>
    <n v="4"/>
    <n v="0"/>
    <n v="246.72"/>
    <n v="238.95"/>
    <s v="Medium"/>
    <n v="8975.52"/>
    <n v="0"/>
    <n v="8736.57"/>
  </r>
  <r>
    <n v="28173"/>
    <s v="IN-2015-FC142457-42326"/>
    <d v="2015-11-18T00:00:00"/>
    <d v="2015-11-22T00:00:00"/>
    <s v="Second Class"/>
    <s v="FC-142457"/>
    <s v="Frank Carlisle"/>
    <x v="2"/>
    <m/>
    <s v="Queanbeyan"/>
    <s v="New South Wales"/>
    <s v="Australia"/>
    <x v="1"/>
    <s v="Asia Pacific"/>
    <s v="TEC-PH-3152"/>
    <x v="0"/>
    <s v="Phones"/>
    <s v="Apple Speaker Phone, VoIP"/>
    <n v="1221.56"/>
    <n v="11"/>
    <n v="0.1"/>
    <n v="325.61"/>
    <n v="238.9"/>
    <s v="High"/>
    <n v="13437.16"/>
    <n v="13.43716"/>
    <n v="13184.822840000001"/>
  </r>
  <r>
    <n v="25420"/>
    <s v="IN-2012-ML1741027-41255"/>
    <d v="2012-12-12T00:00:00"/>
    <d v="2012-12-16T00:00:00"/>
    <s v="Standard Class"/>
    <s v="ML-1741027"/>
    <s v="Maris LaWare"/>
    <x v="0"/>
    <m/>
    <s v="Guilin"/>
    <s v="Guangxi"/>
    <s v="China"/>
    <x v="8"/>
    <s v="Asia Pacific"/>
    <s v="OFF-AP-3875"/>
    <x v="2"/>
    <s v="Appliances"/>
    <s v="Cuisinart Stove, White"/>
    <n v="1609.29"/>
    <n v="3"/>
    <n v="0"/>
    <n v="241.38"/>
    <n v="238.76"/>
    <s v="High"/>
    <n v="4827.87"/>
    <n v="0"/>
    <n v="4589.1099999999997"/>
  </r>
  <r>
    <n v="23033"/>
    <s v="ID-2015-TH212357-42175"/>
    <d v="2015-06-20T00:00:00"/>
    <d v="2015-06-23T00:00:00"/>
    <s v="Second Class"/>
    <s v="TH-212357"/>
    <s v="Tiffany House"/>
    <x v="1"/>
    <m/>
    <s v="Sydney"/>
    <s v="New South Wales"/>
    <s v="Australia"/>
    <x v="1"/>
    <s v="Asia Pacific"/>
    <s v="TEC-CO-6000"/>
    <x v="0"/>
    <s v="Copiers"/>
    <s v="Sharp Fax Machine, Laser"/>
    <n v="1596.51"/>
    <n v="6"/>
    <n v="0.1"/>
    <n v="-53.37"/>
    <n v="238.52"/>
    <s v="Medium"/>
    <n v="9579.06"/>
    <n v="9.5790600000000001"/>
    <n v="9330.960939999999"/>
  </r>
  <r>
    <n v="32227"/>
    <s v="CA-2015-AB10165140-42109"/>
    <d v="2015-04-15T00:00:00"/>
    <d v="2015-04-18T00:00:00"/>
    <s v="First Class"/>
    <s v="AB-101651406"/>
    <s v="Alan Barnes"/>
    <x v="0"/>
    <n v="43615"/>
    <s v="Toledo"/>
    <s v="Ohio"/>
    <s v="United States"/>
    <x v="14"/>
    <s v="USCA"/>
    <s v="OFF-AR-5929"/>
    <x v="2"/>
    <s v="Art"/>
    <s v="Sanford Prismacolor Professional Thick Lead Art Pencils, 36-Color Set"/>
    <n v="89.86"/>
    <n v="3"/>
    <n v="0.2"/>
    <n v="21.34"/>
    <n v="5.26"/>
    <s v="Medium"/>
    <n v="269.58"/>
    <n v="0.53915999999999997"/>
    <n v="263.78084000000001"/>
  </r>
  <r>
    <n v="24695"/>
    <s v="IN-2014-TW2102527-41780"/>
    <d v="2014-05-21T00:00:00"/>
    <d v="2014-05-25T00:00:00"/>
    <s v="Standard Class"/>
    <s v="TW-2102527"/>
    <s v="Tamara Willingham"/>
    <x v="2"/>
    <m/>
    <s v="Gaomi"/>
    <s v="Shandong"/>
    <s v="China"/>
    <x v="8"/>
    <s v="Asia Pacific"/>
    <s v="TEC-CO-5994"/>
    <x v="0"/>
    <s v="Copiers"/>
    <s v="Sharp Fax and Copier, Digital"/>
    <n v="2018.88"/>
    <n v="12"/>
    <n v="0"/>
    <n v="928.44"/>
    <n v="238.34"/>
    <s v="Medium"/>
    <n v="24226.560000000001"/>
    <n v="0"/>
    <n v="23988.22"/>
  </r>
  <r>
    <n v="41831"/>
    <s v="SF-2015-LT7110117-42280"/>
    <d v="2015-10-03T00:00:00"/>
    <d v="2015-10-07T00:00:00"/>
    <s v="Standard Class"/>
    <s v="LT-7110117"/>
    <s v="Liz Thompson"/>
    <x v="0"/>
    <m/>
    <s v="Pretoria"/>
    <s v="Gauteng"/>
    <s v="South Africa"/>
    <x v="20"/>
    <s v="Africa"/>
    <s v="TEC-MA-5503"/>
    <x v="0"/>
    <s v="Machines"/>
    <s v="Okidata Inkjet, Wireless"/>
    <n v="1885.32"/>
    <n v="6"/>
    <n v="0"/>
    <n v="18.72"/>
    <n v="238.23"/>
    <s v="High"/>
    <n v="11311.92"/>
    <n v="0"/>
    <n v="11073.69"/>
  </r>
  <r>
    <n v="12230"/>
    <s v="IT-2012-KN16390139-41268"/>
    <d v="2012-12-25T00:00:00"/>
    <d v="2012-12-30T00:00:00"/>
    <s v="Standard Class"/>
    <s v="KN-16390139"/>
    <s v="Katherine Nockton"/>
    <x v="1"/>
    <m/>
    <s v="Blackpool"/>
    <s v="England"/>
    <s v="United Kingdom"/>
    <x v="12"/>
    <s v="Europe"/>
    <s v="FUR-TA-3759"/>
    <x v="1"/>
    <s v="Tables"/>
    <s v="Chromcraft Computer Table, Adjustable Height"/>
    <n v="3119.34"/>
    <n v="7"/>
    <n v="0"/>
    <n v="1528.38"/>
    <n v="238.03"/>
    <s v="Medium"/>
    <n v="21835.38"/>
    <n v="0"/>
    <n v="21597.350000000002"/>
  </r>
  <r>
    <n v="14209"/>
    <s v="ES-2015-HD1478548-42271"/>
    <d v="2015-09-24T00:00:00"/>
    <d v="2015-10-01T00:00:00"/>
    <s v="Standard Class"/>
    <s v="HD-1478548"/>
    <s v="Harold Dahlen"/>
    <x v="2"/>
    <m/>
    <s v="Schwerin"/>
    <s v="Mecklenburg-Vorpommern"/>
    <s v="Germany"/>
    <x v="2"/>
    <s v="Europe"/>
    <s v="FUR-BO-3903"/>
    <x v="1"/>
    <s v="Bookcases"/>
    <s v="Dania Library with Doors, Pine"/>
    <n v="1964.25"/>
    <n v="6"/>
    <n v="0.1"/>
    <n v="21.69"/>
    <n v="237.78"/>
    <s v="Low"/>
    <n v="11785.5"/>
    <n v="11.785499999999999"/>
    <n v="11535.934499999999"/>
  </r>
  <r>
    <n v="30724"/>
    <s v="ID-2015-BE114557-42242"/>
    <d v="2015-08-26T00:00:00"/>
    <d v="2015-08-28T00:00:00"/>
    <s v="First Class"/>
    <s v="BE-114557"/>
    <s v="Brad Eason"/>
    <x v="2"/>
    <m/>
    <s v="Gold Coast"/>
    <s v="Queensland"/>
    <s v="Australia"/>
    <x v="1"/>
    <s v="Asia Pacific"/>
    <s v="FUR-CH-4656"/>
    <x v="1"/>
    <s v="Chairs"/>
    <s v="Hon Executive Leather Armchair, Red"/>
    <n v="1653.8"/>
    <n v="6"/>
    <n v="0.4"/>
    <n v="-689.26"/>
    <n v="237.38"/>
    <s v="High"/>
    <n v="9922.7999999999993"/>
    <n v="39.691200000000002"/>
    <n v="9645.7288000000008"/>
  </r>
  <r>
    <n v="47042"/>
    <s v="SA-2015-MC7575110-42326"/>
    <d v="2015-11-18T00:00:00"/>
    <d v="2015-11-21T00:00:00"/>
    <s v="Second Class"/>
    <s v="MC-7575110"/>
    <s v="Matt Collins"/>
    <x v="0"/>
    <m/>
    <s v="Jeddah"/>
    <s v="Makkah"/>
    <s v="Saudi Arabia"/>
    <x v="6"/>
    <s v="Asia Pacific"/>
    <s v="TEC-MA-5548"/>
    <x v="0"/>
    <s v="Machines"/>
    <s v="Panasonic Inkjet, White"/>
    <n v="621"/>
    <n v="2"/>
    <n v="0"/>
    <n v="180.06"/>
    <n v="237.28"/>
    <s v="Critical"/>
    <n v="1242"/>
    <n v="0"/>
    <n v="1004.72"/>
  </r>
  <r>
    <n v="24164"/>
    <s v="IN-2013-CS1246058-41609"/>
    <d v="2013-12-01T00:00:00"/>
    <d v="2013-12-07T00:00:00"/>
    <s v="Standard Class"/>
    <s v="CS-1246058"/>
    <s v="Chuck Sachs"/>
    <x v="0"/>
    <m/>
    <s v="Aligarh"/>
    <s v="Uttar Pradesh"/>
    <s v="India"/>
    <x v="5"/>
    <s v="Asia Pacific"/>
    <s v="TEC-CO-5997"/>
    <x v="0"/>
    <s v="Copiers"/>
    <s v="Sharp Fax Machine, Color"/>
    <n v="2673.81"/>
    <n v="9"/>
    <n v="0"/>
    <n v="26.73"/>
    <n v="237.05"/>
    <s v="Medium"/>
    <n v="24064.29"/>
    <n v="0"/>
    <n v="23827.24"/>
  </r>
  <r>
    <n v="16213"/>
    <s v="ES-2015-ME1732064-42253"/>
    <d v="2015-09-06T00:00:00"/>
    <d v="2015-09-06T00:00:00"/>
    <s v="Same Day"/>
    <s v="ME-1732064"/>
    <s v="Maria Etezadi"/>
    <x v="2"/>
    <m/>
    <s v="Trento"/>
    <s v="Trentino-Alto Adige"/>
    <s v="Italy"/>
    <x v="9"/>
    <s v="Europe"/>
    <s v="FUR-BO-5951"/>
    <x v="1"/>
    <s v="Bookcases"/>
    <s v="Sauder Classic Bookcase, Traditional"/>
    <n v="1307.97"/>
    <n v="3"/>
    <n v="0"/>
    <n v="536.22"/>
    <n v="236.79"/>
    <s v="High"/>
    <n v="3923.91"/>
    <n v="0"/>
    <n v="3687.12"/>
  </r>
  <r>
    <n v="18865"/>
    <s v="IT-2015-SW2027564-42277"/>
    <d v="2015-09-30T00:00:00"/>
    <d v="2015-10-02T00:00:00"/>
    <s v="First Class"/>
    <s v="SW-2027564"/>
    <s v="Scott Williamson"/>
    <x v="0"/>
    <m/>
    <s v="Ravenna"/>
    <s v="Emilia-Romagna"/>
    <s v="Italy"/>
    <x v="9"/>
    <s v="Europe"/>
    <s v="TEC-PH-5841"/>
    <x v="0"/>
    <s v="Phones"/>
    <s v="Samsung Smart Phone, VoIP"/>
    <n v="1145.23"/>
    <n v="3"/>
    <n v="0.4"/>
    <n v="-706.25"/>
    <n v="236.69"/>
    <s v="Critical"/>
    <n v="3435.69"/>
    <n v="13.742760000000001"/>
    <n v="3185.2572399999999"/>
  </r>
  <r>
    <n v="39961"/>
    <s v="CA-2015-AB10165140-42094"/>
    <d v="2015-03-31T00:00:00"/>
    <d v="2015-04-02T00:00:00"/>
    <s v="Second Class"/>
    <s v="AB-101651404"/>
    <s v="Alan Barnes"/>
    <x v="0"/>
    <n v="90712"/>
    <s v="Lakewood"/>
    <s v="California"/>
    <s v="United States"/>
    <x v="4"/>
    <s v="USCA"/>
    <s v="FUR-FU-4329"/>
    <x v="1"/>
    <s v="Furnishings"/>
    <s v="Flat Face Poster Frame"/>
    <n v="94.2"/>
    <n v="5"/>
    <n v="0"/>
    <n v="39.56"/>
    <n v="4.6900000000000004"/>
    <s v="Medium"/>
    <n v="471"/>
    <n v="0"/>
    <n v="466.31"/>
  </r>
  <r>
    <n v="9567"/>
    <s v="MX-2013-CR1282051-41543"/>
    <d v="2013-09-26T00:00:00"/>
    <d v="2013-09-28T00:00:00"/>
    <s v="First Class"/>
    <s v="CR-1282051"/>
    <s v="Cyra Reiten"/>
    <x v="2"/>
    <m/>
    <s v="Mixco"/>
    <s v="Guatemala"/>
    <s v="Guatemala"/>
    <x v="13"/>
    <s v="LATAM"/>
    <s v="TEC-CO-6009"/>
    <x v="0"/>
    <s v="Copiers"/>
    <s v="Sharp Wireless Fax, Color"/>
    <n v="1902.11"/>
    <n v="8"/>
    <n v="2E-3"/>
    <n v="872.83"/>
    <n v="236.56399999999999"/>
    <s v="Medium"/>
    <n v="15216.88"/>
    <n v="0.30433759999999999"/>
    <n v="14980.011662399998"/>
  </r>
  <r>
    <n v="19965"/>
    <s v="ES-2015-HM14860125-42368"/>
    <d v="2015-12-30T00:00:00"/>
    <d v="2016-01-02T00:00:00"/>
    <s v="First Class"/>
    <s v="HM-14860125"/>
    <s v="Harry Marie"/>
    <x v="1"/>
    <m/>
    <s v="Basel"/>
    <s v="Basel-Stadt"/>
    <s v="Switzerland"/>
    <x v="2"/>
    <s v="Europe"/>
    <s v="TEC-CO-3685"/>
    <x v="0"/>
    <s v="Copiers"/>
    <s v="Canon Fax and Copier, Laser"/>
    <n v="1913.4"/>
    <n v="10"/>
    <n v="0"/>
    <n v="899.1"/>
    <n v="236.49"/>
    <s v="Critical"/>
    <n v="19134"/>
    <n v="0"/>
    <n v="18897.509999999998"/>
  </r>
  <r>
    <n v="43835"/>
    <s v="MZ-2015-CC247587-42024"/>
    <d v="2015-01-20T00:00:00"/>
    <d v="2015-01-25T00:00:00"/>
    <s v="Second Class"/>
    <s v="CC-247587"/>
    <s v="Cindy Chapman"/>
    <x v="0"/>
    <m/>
    <s v="Matola"/>
    <s v="Maputo"/>
    <s v="Mozambique"/>
    <x v="10"/>
    <s v="Africa"/>
    <s v="FUR-CH-5776"/>
    <x v="1"/>
    <s v="Chairs"/>
    <s v="SAFCO Executive Leather Armchair, Set of Two"/>
    <n v="1854.72"/>
    <n v="4"/>
    <n v="0"/>
    <n v="778.92"/>
    <n v="236.26"/>
    <s v="Medium"/>
    <n v="7418.88"/>
    <n v="0"/>
    <n v="7182.62"/>
  </r>
  <r>
    <n v="17674"/>
    <s v="ES-2014-JM1525045-41835"/>
    <d v="2014-07-15T00:00:00"/>
    <d v="2014-07-18T00:00:00"/>
    <s v="Second Class"/>
    <s v="JM-1525045"/>
    <s v="Janet Martin"/>
    <x v="0"/>
    <m/>
    <s v="Poitiers"/>
    <s v="Aquitaine-Limousin-Poitou-Charentes"/>
    <s v="France"/>
    <x v="2"/>
    <s v="Europe"/>
    <s v="FUR-CH-5443"/>
    <x v="1"/>
    <s v="Chairs"/>
    <s v="Office Star Executive Leather Armchair, Red"/>
    <n v="2958.98"/>
    <n v="7"/>
    <n v="0.1"/>
    <n v="953.27"/>
    <n v="236.23"/>
    <s v="Medium"/>
    <n v="20712.86"/>
    <n v="20.712859999999999"/>
    <n v="20455.917140000001"/>
  </r>
  <r>
    <n v="25322"/>
    <s v="ID-2012-PS18970118-40967"/>
    <d v="2012-02-28T00:00:00"/>
    <d v="2012-03-02T00:00:00"/>
    <s v="First Class"/>
    <s v="PS-18970118"/>
    <s v="Paul Stevenson"/>
    <x v="2"/>
    <m/>
    <s v="Seoul"/>
    <s v="Seoul"/>
    <s v="South Korea"/>
    <x v="8"/>
    <s v="Asia Pacific"/>
    <s v="OFF-AP-4508"/>
    <x v="2"/>
    <s v="Appliances"/>
    <s v="Hamilton Beach Stove, White"/>
    <n v="810.72"/>
    <n v="3"/>
    <n v="0.5"/>
    <n v="-599.94000000000005"/>
    <n v="236.16"/>
    <s v="Critical"/>
    <n v="2432.16"/>
    <n v="12.1608"/>
    <n v="2183.8391999999999"/>
  </r>
  <r>
    <n v="12672"/>
    <s v="ES-2015-CM1219045-42094"/>
    <d v="2015-03-31T00:00:00"/>
    <d v="2015-03-31T00:00:00"/>
    <s v="Same Day"/>
    <s v="CM-1219045"/>
    <s v="Charlotte Melton"/>
    <x v="0"/>
    <m/>
    <s v="Mulhouse"/>
    <s v="Alsace-Champagne-Ardenne-Lorraine"/>
    <s v="France"/>
    <x v="2"/>
    <s v="Europe"/>
    <s v="FUR-BO-3889"/>
    <x v="1"/>
    <s v="Bookcases"/>
    <s v="Dania Classic Bookcase, Metal"/>
    <n v="2953.58"/>
    <n v="8"/>
    <n v="0.1"/>
    <n v="754.7"/>
    <n v="236.13"/>
    <s v="Medium"/>
    <n v="23628.639999999999"/>
    <n v="23.628640000000001"/>
    <n v="23368.881359999999"/>
  </r>
  <r>
    <n v="12964"/>
    <s v="ES-2014-QJ1925564-41793"/>
    <d v="2014-06-03T00:00:00"/>
    <d v="2014-06-06T00:00:00"/>
    <s v="Second Class"/>
    <s v="QJ-1925564"/>
    <s v="Quincy Jones"/>
    <x v="1"/>
    <m/>
    <s v="Milan"/>
    <s v="Lombardy"/>
    <s v="Italy"/>
    <x v="9"/>
    <s v="Europe"/>
    <s v="OFF-AP-3574"/>
    <x v="2"/>
    <s v="Appliances"/>
    <s v="Breville Refrigerator, Black"/>
    <n v="2593.8000000000002"/>
    <n v="5"/>
    <n v="0"/>
    <n v="1141.2"/>
    <n v="236.06"/>
    <s v="High"/>
    <n v="12969"/>
    <n v="0"/>
    <n v="12732.94"/>
  </r>
  <r>
    <n v="29525"/>
    <s v="IN-2014-TS2150559-41703"/>
    <d v="2014-03-05T00:00:00"/>
    <d v="2014-03-12T00:00:00"/>
    <s v="Standard Class"/>
    <s v="TS-2150559"/>
    <s v="Tony Sayre"/>
    <x v="0"/>
    <m/>
    <s v="Jakarta"/>
    <s v="Jakarta"/>
    <s v="Indonesia"/>
    <x v="17"/>
    <s v="Asia Pacific"/>
    <s v="OFF-AP-3871"/>
    <x v="2"/>
    <s v="Appliances"/>
    <s v="Cuisinart Refrigerator, White"/>
    <n v="2051.0100000000002"/>
    <n v="5"/>
    <n v="0.17"/>
    <n v="667.11"/>
    <n v="235.88"/>
    <s v="Medium"/>
    <n v="10255.050000000001"/>
    <n v="17.433585000000004"/>
    <n v="10001.736415000001"/>
  </r>
  <r>
    <n v="36600"/>
    <s v="US-2012-AB10165140-41228"/>
    <d v="2012-11-15T00:00:00"/>
    <d v="2012-11-19T00:00:00"/>
    <s v="Standard Class"/>
    <s v="AB-101651402"/>
    <s v="Alan Barnes"/>
    <x v="0"/>
    <n v="62521"/>
    <s v="Decatur"/>
    <s v="Illinois"/>
    <s v="United States"/>
    <x v="0"/>
    <s v="USCA"/>
    <s v="FUR-CH-5790"/>
    <x v="1"/>
    <s v="Chairs"/>
    <s v="SAFCO Optional Arm Kit for Workspace Cribbage Stacking Chair"/>
    <n v="37.299999999999997"/>
    <n v="2"/>
    <n v="0.3"/>
    <n v="-1.07"/>
    <n v="4.4000000000000004"/>
    <s v="High"/>
    <n v="74.599999999999994"/>
    <n v="0.2238"/>
    <n v="69.976199999999992"/>
  </r>
  <r>
    <n v="22587"/>
    <s v="IN-2012-KM1672078-41051"/>
    <d v="2012-05-22T00:00:00"/>
    <d v="2012-05-22T00:00:00"/>
    <s v="Same Day"/>
    <s v="KM-1672078"/>
    <s v="Kunst Miller"/>
    <x v="0"/>
    <m/>
    <s v="Kota Kinabalu"/>
    <s v="Sabah"/>
    <s v="Malaysia"/>
    <x v="17"/>
    <s v="Asia Pacific"/>
    <s v="TEC-PH-5844"/>
    <x v="0"/>
    <s v="Phones"/>
    <s v="Samsung Speaker Phone, Full Size"/>
    <n v="1120.77"/>
    <n v="9"/>
    <n v="0"/>
    <n v="55.89"/>
    <n v="235.28"/>
    <s v="High"/>
    <n v="10086.93"/>
    <n v="0"/>
    <n v="9851.65"/>
  </r>
  <r>
    <n v="39761"/>
    <s v="CA-2013-AB10165140-41404"/>
    <d v="2013-05-10T00:00:00"/>
    <d v="2013-05-15T00:00:00"/>
    <s v="Standard Class"/>
    <s v="AB-101651404"/>
    <s v="Alan Barnes"/>
    <x v="0"/>
    <n v="80027"/>
    <s v="Louisville"/>
    <s v="Colorado"/>
    <s v="United States"/>
    <x v="4"/>
    <s v="USCA"/>
    <s v="TEC-AC-3407"/>
    <x v="0"/>
    <s v="Accessories"/>
    <s v="Belkin Standard 104 key USB Keyboard"/>
    <n v="46.69"/>
    <n v="4"/>
    <n v="0.2"/>
    <n v="-2.92"/>
    <n v="4.29"/>
    <s v="Medium"/>
    <n v="186.76"/>
    <n v="0.37351999999999996"/>
    <n v="182.09647999999999"/>
  </r>
  <r>
    <n v="643"/>
    <s v="MX-2015-SB2018518-42245"/>
    <d v="2015-08-29T00:00:00"/>
    <d v="2015-09-03T00:00:00"/>
    <s v="Second Class"/>
    <s v="SB-2018518"/>
    <s v="Sarah Brown"/>
    <x v="0"/>
    <m/>
    <s v="Uberaba"/>
    <s v="Minas Gerais"/>
    <s v="Brazil"/>
    <x v="7"/>
    <s v="LATAM"/>
    <s v="OFF-AP-4966"/>
    <x v="2"/>
    <s v="Appliances"/>
    <s v="KitchenAid Stove, Silver"/>
    <n v="3044.8"/>
    <n v="8"/>
    <n v="0"/>
    <n v="91.2"/>
    <n v="235.07599999999999"/>
    <s v="Medium"/>
    <n v="24358.400000000001"/>
    <n v="0"/>
    <n v="24123.324000000001"/>
  </r>
  <r>
    <n v="16968"/>
    <s v="ES-2015-MT1807045-42176"/>
    <d v="2015-06-21T00:00:00"/>
    <d v="2015-06-22T00:00:00"/>
    <s v="First Class"/>
    <s v="MT-1807045"/>
    <s v="Michelle Tran"/>
    <x v="2"/>
    <m/>
    <s v="Rueil-Malmaison"/>
    <s v="Ile-de-France"/>
    <s v="France"/>
    <x v="2"/>
    <s v="Europe"/>
    <s v="FUR-BO-3902"/>
    <x v="1"/>
    <s v="Bookcases"/>
    <s v="Dania Library with Doors, Mobile"/>
    <n v="656.86"/>
    <n v="2"/>
    <n v="0.1"/>
    <n v="94.84"/>
    <n v="234.96"/>
    <s v="Critical"/>
    <n v="1313.72"/>
    <n v="1.3137200000000002"/>
    <n v="1077.4462799999999"/>
  </r>
  <r>
    <n v="17988"/>
    <s v="ES-2015-JF15415139-42132"/>
    <d v="2015-05-08T00:00:00"/>
    <d v="2015-05-13T00:00:00"/>
    <s v="Second Class"/>
    <s v="JF-15415139"/>
    <s v="Jennifer Ferguson"/>
    <x v="0"/>
    <m/>
    <s v="Crawley"/>
    <s v="England"/>
    <s v="United Kingdom"/>
    <x v="12"/>
    <s v="Europe"/>
    <s v="TEC-CO-4790"/>
    <x v="0"/>
    <s v="Copiers"/>
    <s v="HP Wireless Fax, Digital"/>
    <n v="2518.9499999999998"/>
    <n v="7"/>
    <n v="0"/>
    <n v="1032.57"/>
    <n v="234.85"/>
    <s v="Medium"/>
    <n v="17632.649999999998"/>
    <n v="0"/>
    <n v="17397.8"/>
  </r>
  <r>
    <n v="46109"/>
    <s v="NI-2014-MT807095-41870"/>
    <d v="2014-08-19T00:00:00"/>
    <d v="2014-08-20T00:00:00"/>
    <s v="First Class"/>
    <s v="MT-807095"/>
    <s v="Michelle Tran"/>
    <x v="2"/>
    <m/>
    <s v="Makurdi"/>
    <s v="Benue"/>
    <s v="Nigeria"/>
    <x v="3"/>
    <s v="Africa"/>
    <s v="FUR-CH-5776"/>
    <x v="1"/>
    <s v="Chairs"/>
    <s v="SAFCO Executive Leather Armchair, Set of Two"/>
    <n v="1669.25"/>
    <n v="12"/>
    <n v="0.7"/>
    <n v="-1558.15"/>
    <n v="234.85"/>
    <s v="Medium"/>
    <n v="20031"/>
    <n v="140.21699999999998"/>
    <n v="19655.933000000001"/>
  </r>
  <r>
    <n v="14818"/>
    <s v="ES-2014-ES14020120-41817"/>
    <d v="2014-06-27T00:00:00"/>
    <d v="2014-06-27T00:00:00"/>
    <s v="Same Day"/>
    <s v="ES-14020120"/>
    <s v="Erica Smith"/>
    <x v="0"/>
    <m/>
    <s v="Madrid"/>
    <s v="Madrid"/>
    <s v="Spain"/>
    <x v="9"/>
    <s v="Europe"/>
    <s v="FUR-BO-3627"/>
    <x v="1"/>
    <s v="Bookcases"/>
    <s v="Bush Classic Bookcase, Traditional"/>
    <n v="2476.08"/>
    <n v="6"/>
    <n v="0"/>
    <n v="1015.02"/>
    <n v="234.79"/>
    <s v="High"/>
    <n v="14856.48"/>
    <n v="0"/>
    <n v="14621.689999999999"/>
  </r>
  <r>
    <n v="49367"/>
    <s v="EN-2012-AB60042-40932"/>
    <d v="2012-01-24T00:00:00"/>
    <d v="2012-01-24T00:00:00"/>
    <s v="Same Day"/>
    <s v="AB-60042"/>
    <s v="Ann Blume"/>
    <x v="1"/>
    <m/>
    <s v="Tallinn"/>
    <s v="Harjumaa"/>
    <s v="Estonia"/>
    <x v="12"/>
    <s v="Europe"/>
    <s v="TEC-PH-3806"/>
    <x v="0"/>
    <s v="Phones"/>
    <s v="Cisco Smart Phone, Full Size"/>
    <n v="1302.78"/>
    <n v="2"/>
    <n v="0"/>
    <n v="286.56"/>
    <n v="234.73"/>
    <s v="Medium"/>
    <n v="2605.56"/>
    <n v="0"/>
    <n v="2370.83"/>
  </r>
  <r>
    <n v="31211"/>
    <s v="IN-2015-PS189707-42342"/>
    <d v="2015-12-04T00:00:00"/>
    <d v="2015-12-08T00:00:00"/>
    <s v="Standard Class"/>
    <s v="PS-189707"/>
    <s v="Paul Stevenson"/>
    <x v="2"/>
    <m/>
    <s v="Hobart"/>
    <s v="Tasmania"/>
    <s v="Australia"/>
    <x v="1"/>
    <s v="Asia Pacific"/>
    <s v="FUR-TA-4713"/>
    <x v="1"/>
    <s v="Tables"/>
    <s v="Hon Wood Table, with Bottom Storage"/>
    <n v="2125.3200000000002"/>
    <n v="4"/>
    <n v="0"/>
    <n v="148.68"/>
    <n v="234.67"/>
    <s v="Medium"/>
    <n v="8501.2800000000007"/>
    <n v="0"/>
    <n v="8266.61"/>
  </r>
  <r>
    <n v="12413"/>
    <s v="ES-2014-EB13975139-41818"/>
    <d v="2014-06-28T00:00:00"/>
    <d v="2014-07-04T00:00:00"/>
    <s v="Standard Class"/>
    <s v="EB-13975139"/>
    <s v="Erica Bern"/>
    <x v="1"/>
    <m/>
    <s v="Swansea"/>
    <s v="Wales"/>
    <s v="United Kingdom"/>
    <x v="12"/>
    <s v="Europe"/>
    <s v="TEC-PH-3805"/>
    <x v="0"/>
    <s v="Phones"/>
    <s v="Cisco Smart Phone, Cordless"/>
    <n v="1954.44"/>
    <n v="3"/>
    <n v="0"/>
    <n v="781.74"/>
    <n v="234.61"/>
    <s v="Low"/>
    <n v="5863.32"/>
    <n v="0"/>
    <n v="5628.71"/>
  </r>
  <r>
    <n v="1088"/>
    <s v="MX-2013-AF1087018-41418"/>
    <d v="2013-05-24T00:00:00"/>
    <d v="2013-05-26T00:00:00"/>
    <s v="Second Class"/>
    <s v="AF-1087018"/>
    <s v="Art Ferguson"/>
    <x v="0"/>
    <m/>
    <s v="Paranaguá"/>
    <s v="Parana"/>
    <s v="Brazil"/>
    <x v="7"/>
    <s v="LATAM"/>
    <s v="TEC-PH-5268"/>
    <x v="0"/>
    <s v="Phones"/>
    <s v="Motorola Smart Phone, Full Size"/>
    <n v="856.92"/>
    <n v="2"/>
    <n v="0"/>
    <n v="222.76"/>
    <n v="234.28"/>
    <s v="Critical"/>
    <n v="1713.84"/>
    <n v="0"/>
    <n v="1479.56"/>
  </r>
  <r>
    <n v="27747"/>
    <s v="IN-2015-MC1742559-42346"/>
    <d v="2015-12-08T00:00:00"/>
    <d v="2015-12-14T00:00:00"/>
    <s v="Standard Class"/>
    <s v="MC-1742559"/>
    <s v="Mark Cousins"/>
    <x v="1"/>
    <m/>
    <s v="Samarinda"/>
    <s v="Kalimantan Timur"/>
    <s v="Indonesia"/>
    <x v="17"/>
    <s v="Asia Pacific"/>
    <s v="TEC-PH-5842"/>
    <x v="0"/>
    <s v="Phones"/>
    <s v="Samsung Smart Phone, with Caller ID"/>
    <n v="3696.03"/>
    <n v="7"/>
    <n v="0.17"/>
    <n v="756.87"/>
    <n v="234.16"/>
    <s v="Medium"/>
    <n v="25872.210000000003"/>
    <n v="43.982757000000014"/>
    <n v="25594.067243000001"/>
  </r>
  <r>
    <n v="27454"/>
    <s v="IN-2013-CC1268558-41619"/>
    <d v="2013-12-11T00:00:00"/>
    <d v="2013-12-15T00:00:00"/>
    <s v="Standard Class"/>
    <s v="CC-1268558"/>
    <s v="Craig Carroll"/>
    <x v="0"/>
    <m/>
    <s v="Vijayawada"/>
    <s v="Andhra Pradesh"/>
    <s v="India"/>
    <x v="5"/>
    <s v="Asia Pacific"/>
    <s v="TEC-PH-3805"/>
    <x v="0"/>
    <s v="Phones"/>
    <s v="Cisco Smart Phone, Cordless"/>
    <n v="1302.96"/>
    <n v="2"/>
    <n v="0"/>
    <n v="182.4"/>
    <n v="234.15"/>
    <s v="High"/>
    <n v="2605.92"/>
    <n v="0"/>
    <n v="2371.77"/>
  </r>
  <r>
    <n v="48301"/>
    <s v="TU-2015-EH4125134-42068"/>
    <d v="2015-03-05T00:00:00"/>
    <d v="2015-03-07T00:00:00"/>
    <s v="First Class"/>
    <s v="EH-4125134"/>
    <s v="Eugene Hildebrand"/>
    <x v="2"/>
    <m/>
    <s v="Bandirma"/>
    <s v="Balikesir"/>
    <s v="Turkey"/>
    <x v="6"/>
    <s v="Asia Pacific"/>
    <s v="FUR-CH-4531"/>
    <x v="1"/>
    <s v="Chairs"/>
    <s v="Harbour Creations Executive Leather Armchair, Black"/>
    <n v="1136.6600000000001"/>
    <n v="6"/>
    <n v="0.6"/>
    <n v="-880.96"/>
    <n v="234.15"/>
    <s v="High"/>
    <n v="6819.9600000000009"/>
    <n v="40.919760000000004"/>
    <n v="6544.8902400000015"/>
  </r>
  <r>
    <n v="29372"/>
    <s v="IN-2014-BS116657-41815"/>
    <d v="2014-06-25T00:00:00"/>
    <d v="2014-06-29T00:00:00"/>
    <s v="Standard Class"/>
    <s v="BS-116657"/>
    <s v="Brian Stugart"/>
    <x v="0"/>
    <m/>
    <s v="Whyalla"/>
    <s v="South Australia"/>
    <s v="Australia"/>
    <x v="1"/>
    <s v="Asia Pacific"/>
    <s v="TEC-CO-3598"/>
    <x v="0"/>
    <s v="Copiers"/>
    <s v="Brother Fax Machine, Laser"/>
    <n v="1720.12"/>
    <n v="6"/>
    <n v="0.1"/>
    <n v="382.18"/>
    <n v="234.13"/>
    <s v="High"/>
    <n v="10320.719999999999"/>
    <n v="10.32072"/>
    <n v="10076.26928"/>
  </r>
  <r>
    <n v="25774"/>
    <s v="IN-2015-IM1507059-42157"/>
    <d v="2015-06-02T00:00:00"/>
    <d v="2015-06-04T00:00:00"/>
    <s v="First Class"/>
    <s v="IM-1507059"/>
    <s v="Irene Maddox"/>
    <x v="0"/>
    <m/>
    <s v="Bandung"/>
    <s v="Jawa Barat"/>
    <s v="Indonesia"/>
    <x v="17"/>
    <s v="Asia Pacific"/>
    <s v="TEC-AC-5223"/>
    <x v="0"/>
    <s v="Accessories"/>
    <s v="Memorex Router, Bluetooth"/>
    <n v="1043.93"/>
    <n v="8"/>
    <n v="0.47"/>
    <n v="-295.51"/>
    <n v="234.13"/>
    <s v="Medium"/>
    <n v="8351.44"/>
    <n v="39.251767999999998"/>
    <n v="8078.0582320000003"/>
  </r>
  <r>
    <n v="50056"/>
    <s v="IV-2012-SM1032029-41178"/>
    <d v="2012-09-26T00:00:00"/>
    <d v="2012-10-02T00:00:00"/>
    <s v="Standard Class"/>
    <s v="SM-1032029"/>
    <s v="Sean Miller"/>
    <x v="2"/>
    <m/>
    <s v="Gagnoa"/>
    <s v="Fromager"/>
    <s v="Cote d'Ivoire"/>
    <x v="3"/>
    <s v="Africa"/>
    <s v="TEC-MA-5008"/>
    <x v="0"/>
    <s v="Machines"/>
    <s v="Konica Inkjet, Wireless"/>
    <n v="1253.76"/>
    <n v="4"/>
    <n v="0"/>
    <n v="200.52"/>
    <n v="234.11"/>
    <s v="Low"/>
    <n v="5015.04"/>
    <n v="0"/>
    <n v="4780.93"/>
  </r>
  <r>
    <n v="5010"/>
    <s v="US-2014-DA1345055-41795"/>
    <d v="2014-06-05T00:00:00"/>
    <d v="2014-06-09T00:00:00"/>
    <s v="Second Class"/>
    <s v="DA-1345055"/>
    <s v="Dianna Arnett"/>
    <x v="2"/>
    <m/>
    <s v="Tegucigalpa"/>
    <s v="Francisco Morazán"/>
    <s v="Honduras"/>
    <x v="13"/>
    <s v="LATAM"/>
    <s v="OFF-AP-3868"/>
    <x v="2"/>
    <s v="Appliances"/>
    <s v="Cuisinart Refrigerator, Black"/>
    <n v="2180.2399999999998"/>
    <n v="11"/>
    <n v="0.4"/>
    <n v="-690.54"/>
    <n v="234.04300000000001"/>
    <s v="Medium"/>
    <n v="23982.639999999999"/>
    <n v="95.93056"/>
    <n v="23652.666439999997"/>
  </r>
  <r>
    <n v="10434"/>
    <s v="ES-2014-DB1306045-41928"/>
    <d v="2014-10-16T00:00:00"/>
    <d v="2014-10-18T00:00:00"/>
    <s v="First Class"/>
    <s v="DB-1306045"/>
    <s v="Dave Brooks"/>
    <x v="0"/>
    <m/>
    <s v="Villiers-le-Bel"/>
    <s v="Ile-de-France"/>
    <s v="France"/>
    <x v="2"/>
    <s v="Europe"/>
    <s v="TEC-MA-6150"/>
    <x v="0"/>
    <s v="Machines"/>
    <s v="StarTech Printer, Wireless"/>
    <n v="1306.47"/>
    <n v="6"/>
    <n v="0.15"/>
    <n v="107.49"/>
    <n v="233.74"/>
    <s v="High"/>
    <n v="7838.82"/>
    <n v="11.758229999999999"/>
    <n v="7593.3217699999996"/>
  </r>
  <r>
    <n v="34730"/>
    <s v="CA-2015-AB10165140-42344"/>
    <d v="2015-12-06T00:00:00"/>
    <d v="2015-12-10T00:00:00"/>
    <s v="Standard Class"/>
    <s v="AB-101651404"/>
    <s v="Alan Barnes"/>
    <x v="0"/>
    <n v="98006"/>
    <s v="Bellevue"/>
    <s v="Washington"/>
    <s v="United States"/>
    <x v="4"/>
    <s v="USCA"/>
    <s v="OFF-BI-4378"/>
    <x v="2"/>
    <s v="Binders"/>
    <s v="GBC Wire Binding Combs"/>
    <n v="24.82"/>
    <n v="3"/>
    <n v="0.2"/>
    <n v="8.3800000000000008"/>
    <n v="2.02"/>
    <s v="Medium"/>
    <n v="74.460000000000008"/>
    <n v="0.14892000000000002"/>
    <n v="72.291080000000008"/>
  </r>
  <r>
    <n v="5991"/>
    <s v="MX-2015-LC1688582-42329"/>
    <d v="2015-11-21T00:00:00"/>
    <d v="2015-11-22T00:00:00"/>
    <s v="First Class"/>
    <s v="LC-1688582"/>
    <s v="Lena Creighton"/>
    <x v="0"/>
    <m/>
    <s v="Tlaquepaque"/>
    <s v="Jalisco"/>
    <s v="Mexico"/>
    <x v="13"/>
    <s v="LATAM"/>
    <s v="FUR-TA-3777"/>
    <x v="1"/>
    <s v="Tables"/>
    <s v="Chromcraft Wood Table, Adjustable Height"/>
    <n v="775.54"/>
    <n v="3"/>
    <n v="0.2"/>
    <n v="213.22"/>
    <n v="232.83600000000001"/>
    <s v="High"/>
    <n v="2326.62"/>
    <n v="4.6532400000000003"/>
    <n v="2089.13076"/>
  </r>
  <r>
    <n v="13705"/>
    <s v="ES-2013-TC2098045-41588"/>
    <d v="2013-11-10T00:00:00"/>
    <d v="2013-11-13T00:00:00"/>
    <s v="First Class"/>
    <s v="TC-2098045"/>
    <s v="Tamara Chand"/>
    <x v="1"/>
    <m/>
    <s v="Saint-Denis"/>
    <s v="Ile-de-France"/>
    <s v="France"/>
    <x v="2"/>
    <s v="Europe"/>
    <s v="FUR-TA-4692"/>
    <x v="1"/>
    <s v="Tables"/>
    <s v="Hon Round Table, with Bottom Storage"/>
    <n v="2012.05"/>
    <n v="6"/>
    <n v="0.35"/>
    <n v="-1021.67"/>
    <n v="232.54"/>
    <s v="Medium"/>
    <n v="12072.3"/>
    <n v="42.253049999999995"/>
    <n v="11797.506949999999"/>
  </r>
  <r>
    <n v="24939"/>
    <s v="IN-2012-SW2035059-41067"/>
    <d v="2012-06-07T00:00:00"/>
    <d v="2012-06-12T00:00:00"/>
    <s v="Standard Class"/>
    <s v="SW-2035059"/>
    <s v="Sean Wendt"/>
    <x v="2"/>
    <m/>
    <s v="Depok"/>
    <s v="Jawa Barat"/>
    <s v="Indonesia"/>
    <x v="17"/>
    <s v="Asia Pacific"/>
    <s v="TEC-PH-3806"/>
    <x v="0"/>
    <s v="Phones"/>
    <s v="Cisco Smart Phone, Full Size"/>
    <n v="2166.9"/>
    <n v="4"/>
    <n v="0.17"/>
    <n v="391.5"/>
    <n v="232.49"/>
    <s v="Medium"/>
    <n v="8667.6"/>
    <n v="14.734920000000002"/>
    <n v="8420.3750799999998"/>
  </r>
  <r>
    <n v="27579"/>
    <s v="IN-2015-JW1522058-42101"/>
    <d v="2015-04-07T00:00:00"/>
    <d v="2015-04-12T00:00:00"/>
    <s v="Standard Class"/>
    <s v="JW-1522058"/>
    <s v="Jane Waco"/>
    <x v="1"/>
    <m/>
    <s v="Mangalore"/>
    <s v="Karnataka"/>
    <s v="India"/>
    <x v="5"/>
    <s v="Asia Pacific"/>
    <s v="TEC-PH-3807"/>
    <x v="0"/>
    <s v="Phones"/>
    <s v="Cisco Smart Phone, with Caller ID"/>
    <n v="3271.2"/>
    <n v="5"/>
    <n v="0"/>
    <n v="1341.15"/>
    <n v="232.45"/>
    <s v="High"/>
    <n v="16356"/>
    <n v="0"/>
    <n v="16123.55"/>
  </r>
  <r>
    <n v="6773"/>
    <s v="MX-2012-DA1345031-41199"/>
    <d v="2012-10-17T00:00:00"/>
    <d v="2012-10-20T00:00:00"/>
    <s v="Second Class"/>
    <s v="DA-1345031"/>
    <s v="Dianna Arnett"/>
    <x v="2"/>
    <m/>
    <s v="Sancti Spíritus"/>
    <s v="Sancti Spíritus"/>
    <s v="Cuba"/>
    <x v="15"/>
    <s v="LATAM"/>
    <s v="TEC-CO-3710"/>
    <x v="0"/>
    <s v="Copiers"/>
    <s v="Canon Wireless Fax, Laser"/>
    <n v="755.81"/>
    <n v="3"/>
    <n v="2E-3"/>
    <n v="195.35"/>
    <n v="232.42400000000001"/>
    <s v="Critical"/>
    <n v="2267.4299999999998"/>
    <n v="4.5348600000000003E-2"/>
    <n v="2034.9606513999997"/>
  </r>
  <r>
    <n v="45983"/>
    <s v="SF-2013-CM1830117-41389"/>
    <d v="2013-04-25T00:00:00"/>
    <d v="2013-04-30T00:00:00"/>
    <s v="Standard Class"/>
    <s v="CM-1830117"/>
    <s v="Cari MacIntyre"/>
    <x v="1"/>
    <m/>
    <s v="Johannesburg"/>
    <s v="Gauteng"/>
    <s v="South Africa"/>
    <x v="20"/>
    <s v="Africa"/>
    <s v="FUR-BO-3639"/>
    <x v="1"/>
    <s v="Bookcases"/>
    <s v="Bush Library with Doors, Metal"/>
    <n v="2182.6799999999998"/>
    <n v="6"/>
    <n v="0"/>
    <n v="327.24"/>
    <n v="232.24"/>
    <s v="Medium"/>
    <n v="13096.079999999998"/>
    <n v="0"/>
    <n v="12863.839999999998"/>
  </r>
  <r>
    <n v="29757"/>
    <s v="IN-2013-CS1184527-41517"/>
    <d v="2013-08-31T00:00:00"/>
    <d v="2013-09-02T00:00:00"/>
    <s v="Second Class"/>
    <s v="CS-1184527"/>
    <s v="Cari Sayre"/>
    <x v="1"/>
    <m/>
    <s v="Shenzhen"/>
    <s v="Guangdong"/>
    <s v="China"/>
    <x v="8"/>
    <s v="Asia Pacific"/>
    <s v="TEC-PH-5267"/>
    <x v="0"/>
    <s v="Phones"/>
    <s v="Motorola Smart Phone, Cordless"/>
    <n v="1285.56"/>
    <n v="2"/>
    <n v="0"/>
    <n v="51.42"/>
    <n v="232.17"/>
    <s v="Critical"/>
    <n v="2571.12"/>
    <n v="0"/>
    <n v="2338.9499999999998"/>
  </r>
  <r>
    <n v="3068"/>
    <s v="MX-2013-MO1780051-41382"/>
    <d v="2013-04-18T00:00:00"/>
    <d v="2013-04-21T00:00:00"/>
    <s v="Second Class"/>
    <s v="MO-1780051"/>
    <s v="Meg O'Connel"/>
    <x v="2"/>
    <m/>
    <s v="Villa Nueva"/>
    <s v="Guatemala"/>
    <s v="Guatemala"/>
    <x v="13"/>
    <s v="LATAM"/>
    <s v="TEC-PH-3784"/>
    <x v="0"/>
    <s v="Phones"/>
    <s v="Cisco Audio Dock, Cordless"/>
    <n v="1479.36"/>
    <n v="12"/>
    <n v="0"/>
    <n v="103.44"/>
    <n v="231.95699999999999"/>
    <s v="Medium"/>
    <n v="17752.32"/>
    <n v="0"/>
    <n v="17520.363000000001"/>
  </r>
  <r>
    <n v="10183"/>
    <s v="US-2014-CR1273018-41993"/>
    <d v="2014-12-20T00:00:00"/>
    <d v="2014-12-22T00:00:00"/>
    <s v="First Class"/>
    <s v="CR-1273018"/>
    <s v="Craig Reiter"/>
    <x v="0"/>
    <m/>
    <s v="Indaial"/>
    <s v="Santa Catarina"/>
    <s v="Brazil"/>
    <x v="7"/>
    <s v="LATAM"/>
    <s v="FUR-TA-3420"/>
    <x v="1"/>
    <s v="Tables"/>
    <s v="Bevis Conference Table, Fully Assembled"/>
    <n v="740.18"/>
    <n v="3"/>
    <n v="0.6"/>
    <n v="-407.14"/>
    <n v="231.517"/>
    <s v="Critical"/>
    <n v="2220.54"/>
    <n v="13.323239999999998"/>
    <n v="1975.6997599999997"/>
  </r>
  <r>
    <n v="13621"/>
    <s v="IT-2014-MY1738096-41794"/>
    <d v="2014-06-04T00:00:00"/>
    <d v="2014-06-08T00:00:00"/>
    <s v="Standard Class"/>
    <s v="MY-1738096"/>
    <s v="Maribeth Yedwab"/>
    <x v="1"/>
    <m/>
    <s v="Bergen"/>
    <s v="Hordaland"/>
    <s v="Norway"/>
    <x v="12"/>
    <s v="Europe"/>
    <s v="TEC-MA-4197"/>
    <x v="0"/>
    <s v="Machines"/>
    <s v="Epson Inkjet, Durable"/>
    <n v="1533.15"/>
    <n v="5"/>
    <n v="0"/>
    <n v="505.8"/>
    <n v="231.35"/>
    <s v="High"/>
    <n v="7665.75"/>
    <n v="0"/>
    <n v="7434.4"/>
  </r>
  <r>
    <n v="49268"/>
    <s v="SA-2013-MS7830110-41450"/>
    <d v="2013-06-25T00:00:00"/>
    <d v="2013-07-01T00:00:00"/>
    <s v="Standard Class"/>
    <s v="MS-7830110"/>
    <s v="Melanie Seite"/>
    <x v="0"/>
    <m/>
    <s v="Riyadh"/>
    <s v="Ar Riyad"/>
    <s v="Saudi Arabia"/>
    <x v="6"/>
    <s v="Asia Pacific"/>
    <s v="FUR-TA-3352"/>
    <x v="1"/>
    <s v="Tables"/>
    <s v="Barricks Training Table, Adjustable Height"/>
    <n v="2563.92"/>
    <n v="8"/>
    <n v="0"/>
    <n v="820.32"/>
    <n v="231.32"/>
    <s v="Medium"/>
    <n v="20511.36"/>
    <n v="0"/>
    <n v="20280.04"/>
  </r>
  <r>
    <n v="27207"/>
    <s v="IN-2013-SW207557-41502"/>
    <d v="2013-08-16T00:00:00"/>
    <d v="2013-08-20T00:00:00"/>
    <s v="Standard Class"/>
    <s v="SW-207557"/>
    <s v="Steven Ward"/>
    <x v="1"/>
    <m/>
    <s v="Newcastle"/>
    <s v="New South Wales"/>
    <s v="Australia"/>
    <x v="1"/>
    <s v="Asia Pacific"/>
    <s v="TEC-PH-5268"/>
    <x v="0"/>
    <s v="Phones"/>
    <s v="Motorola Smart Phone, Full Size"/>
    <n v="2897.91"/>
    <n v="5"/>
    <n v="0.1"/>
    <n v="901.56"/>
    <n v="231.16"/>
    <s v="Medium"/>
    <n v="14489.55"/>
    <n v="14.489549999999999"/>
    <n v="14243.900449999999"/>
  </r>
  <r>
    <n v="30065"/>
    <s v="ID-2015-HG1496597-42230"/>
    <d v="2015-08-14T00:00:00"/>
    <d v="2015-08-18T00:00:00"/>
    <s v="Standard Class"/>
    <s v="HG-1496597"/>
    <s v="Henry Goldwyn"/>
    <x v="1"/>
    <m/>
    <s v="Lahore"/>
    <s v="Punjab"/>
    <s v="Pakistan"/>
    <x v="5"/>
    <s v="Asia Pacific"/>
    <s v="OFF-AP-4960"/>
    <x v="2"/>
    <s v="Appliances"/>
    <s v="KitchenAid Refrigerator, Black"/>
    <n v="1582.11"/>
    <n v="6"/>
    <n v="0.5"/>
    <n v="-886.05"/>
    <n v="231.11"/>
    <s v="High"/>
    <n v="9492.66"/>
    <n v="47.463299999999997"/>
    <n v="9214.0866999999998"/>
  </r>
  <r>
    <n v="6154"/>
    <s v="MX-2014-DC1328551-41885"/>
    <d v="2014-09-03T00:00:00"/>
    <d v="2014-09-09T00:00:00"/>
    <s v="Standard Class"/>
    <s v="DC-1328551"/>
    <s v="Debra Catini"/>
    <x v="0"/>
    <m/>
    <s v="Mixco"/>
    <s v="Guatemala"/>
    <s v="Guatemala"/>
    <x v="13"/>
    <s v="LATAM"/>
    <s v="TEC-PH-3807"/>
    <x v="0"/>
    <s v="Phones"/>
    <s v="Cisco Smart Phone, with Caller ID"/>
    <n v="2616.96"/>
    <n v="6"/>
    <n v="0"/>
    <n v="26.16"/>
    <n v="230.47"/>
    <s v="Medium"/>
    <n v="15701.76"/>
    <n v="0"/>
    <n v="15471.29"/>
  </r>
  <r>
    <n v="13532"/>
    <s v="ES-2015-DL13315139-42153"/>
    <d v="2015-05-29T00:00:00"/>
    <d v="2015-06-01T00:00:00"/>
    <s v="Second Class"/>
    <s v="DL-13315139"/>
    <s v="Delfina Latchford"/>
    <x v="0"/>
    <m/>
    <s v="London"/>
    <s v="England"/>
    <s v="United Kingdom"/>
    <x v="12"/>
    <s v="Europe"/>
    <s v="FUR-TA-3432"/>
    <x v="1"/>
    <s v="Tables"/>
    <s v="Bevis Round Table, with Bottom Storage"/>
    <n v="1399.11"/>
    <n v="3"/>
    <n v="0.1"/>
    <n v="108.78"/>
    <n v="230.35"/>
    <s v="Critical"/>
    <n v="4197.33"/>
    <n v="4.19733"/>
    <n v="3962.7826700000001"/>
  </r>
  <r>
    <n v="15892"/>
    <s v="ES-2014-TH21235125-41814"/>
    <d v="2014-06-24T00:00:00"/>
    <d v="2014-07-01T00:00:00"/>
    <s v="Standard Class"/>
    <s v="TH-21235125"/>
    <s v="Tiffany House"/>
    <x v="1"/>
    <m/>
    <s v="Lucerne"/>
    <s v="Lucerne"/>
    <s v="Switzerland"/>
    <x v="2"/>
    <s v="Europe"/>
    <s v="TEC-CO-4593"/>
    <x v="0"/>
    <s v="Copiers"/>
    <s v="Hewlett Wireless Fax, Laser"/>
    <n v="3421.71"/>
    <n v="9"/>
    <n v="0"/>
    <n v="1060.56"/>
    <n v="230.04"/>
    <s v="Medium"/>
    <n v="30795.39"/>
    <n v="0"/>
    <n v="30565.35"/>
  </r>
  <r>
    <n v="1548"/>
    <s v="MX-2015-JK15370100-42132"/>
    <d v="2015-05-08T00:00:00"/>
    <d v="2015-05-10T00:00:00"/>
    <s v="Second Class"/>
    <s v="JK-15370100"/>
    <s v="Jay Kimmel"/>
    <x v="0"/>
    <m/>
    <s v="Fernando de la Mora"/>
    <s v="Central"/>
    <s v="Paraguay"/>
    <x v="7"/>
    <s v="LATAM"/>
    <s v="TEC-PH-5837"/>
    <x v="0"/>
    <s v="Phones"/>
    <s v="Samsung Signal Booster, VoIP"/>
    <n v="820.08"/>
    <n v="9"/>
    <n v="0"/>
    <n v="98.28"/>
    <n v="229.08500000000001"/>
    <s v="Critical"/>
    <n v="7380.72"/>
    <n v="0"/>
    <n v="7151.6350000000002"/>
  </r>
  <r>
    <n v="45942"/>
    <s v="IR-2015-CH207060-42048"/>
    <d v="2015-02-13T00:00:00"/>
    <d v="2015-02-14T00:00:00"/>
    <s v="First Class"/>
    <s v="CH-207060"/>
    <s v="Cathy Hwang"/>
    <x v="2"/>
    <m/>
    <s v="Malayer"/>
    <s v="Hamadan"/>
    <s v="Iran"/>
    <x v="5"/>
    <s v="Asia Pacific"/>
    <s v="FUR-BO-5953"/>
    <x v="1"/>
    <s v="Bookcases"/>
    <s v="Sauder Corner Shelving, Mobile"/>
    <n v="1198.56"/>
    <n v="8"/>
    <n v="0"/>
    <n v="359.52"/>
    <n v="228.94"/>
    <s v="High"/>
    <n v="9588.48"/>
    <n v="0"/>
    <n v="9359.5399999999991"/>
  </r>
  <r>
    <n v="28516"/>
    <s v="ID-2015-ST205307-42336"/>
    <d v="2015-11-28T00:00:00"/>
    <d v="2015-12-05T00:00:00"/>
    <s v="Standard Class"/>
    <s v="ST-205307"/>
    <s v="Shui Tom"/>
    <x v="0"/>
    <m/>
    <s v="Bundaberg"/>
    <s v="Queensland"/>
    <s v="Australia"/>
    <x v="1"/>
    <s v="Asia Pacific"/>
    <s v="FUR-TA-3766"/>
    <x v="1"/>
    <s v="Tables"/>
    <s v="Chromcraft Conference Table, with Bottom Storage"/>
    <n v="1832.61"/>
    <n v="3"/>
    <n v="0.3"/>
    <n v="-445.11"/>
    <n v="228.89"/>
    <s v="Low"/>
    <n v="5497.83"/>
    <n v="16.493489999999998"/>
    <n v="5252.4465099999998"/>
  </r>
  <r>
    <n v="18095"/>
    <s v="ES-2013-SP2092048-41510"/>
    <d v="2013-08-24T00:00:00"/>
    <d v="2013-08-29T00:00:00"/>
    <s v="Standard Class"/>
    <s v="SP-2092048"/>
    <s v="Susan Pistek"/>
    <x v="0"/>
    <m/>
    <s v="Bochum"/>
    <s v="North Rhine-Westphalia"/>
    <s v="Germany"/>
    <x v="2"/>
    <s v="Europe"/>
    <s v="FUR-BO-3627"/>
    <x v="1"/>
    <s v="Bookcases"/>
    <s v="Bush Classic Bookcase, Traditional"/>
    <n v="1857.06"/>
    <n v="5"/>
    <n v="0.1"/>
    <n v="639.51"/>
    <n v="228.78"/>
    <s v="High"/>
    <n v="9285.2999999999993"/>
    <n v="9.2852999999999994"/>
    <n v="9047.2346999999991"/>
  </r>
  <r>
    <n v="44161"/>
    <s v="CG-2015-MH744033-42218"/>
    <d v="2015-08-02T00:00:00"/>
    <d v="2015-08-08T00:00:00"/>
    <s v="Standard Class"/>
    <s v="MH-744033"/>
    <s v="Mark Haberlin"/>
    <x v="1"/>
    <m/>
    <s v="Mbuji-mayi"/>
    <s v="Kasai-Oriental"/>
    <s v="Democratic Republic of the Congo"/>
    <x v="16"/>
    <s v="Africa"/>
    <s v="FUR-BO-5763"/>
    <x v="1"/>
    <s v="Bookcases"/>
    <s v="Safco Classic Bookcase, Traditional"/>
    <n v="1752.6"/>
    <n v="4"/>
    <n v="0"/>
    <n v="455.64"/>
    <n v="228.7"/>
    <s v="Low"/>
    <n v="7010.4"/>
    <n v="0"/>
    <n v="6781.7"/>
  </r>
  <r>
    <n v="25245"/>
    <s v="IN-2014-MC1784558-41971"/>
    <d v="2014-11-28T00:00:00"/>
    <d v="2014-11-30T00:00:00"/>
    <s v="Second Class"/>
    <s v="MC-1784558"/>
    <s v="Michael Chen"/>
    <x v="0"/>
    <m/>
    <s v="Gwalior"/>
    <s v="Madhya Pradesh"/>
    <s v="India"/>
    <x v="5"/>
    <s v="Asia Pacific"/>
    <s v="FUR-TA-3420"/>
    <x v="1"/>
    <s v="Tables"/>
    <s v="Bevis Conference Table, Fully Assembled"/>
    <n v="1850.46"/>
    <n v="2"/>
    <n v="0"/>
    <n v="259.02"/>
    <n v="228.37"/>
    <s v="High"/>
    <n v="3700.92"/>
    <n v="0"/>
    <n v="3472.55"/>
  </r>
  <r>
    <n v="21620"/>
    <s v="IN-2012-CS1184527-41139"/>
    <d v="2012-08-18T00:00:00"/>
    <d v="2012-08-22T00:00:00"/>
    <s v="Standard Class"/>
    <s v="CS-1184527"/>
    <s v="Cari Sayre"/>
    <x v="1"/>
    <m/>
    <s v="Luoyang"/>
    <s v="Fujian"/>
    <s v="China"/>
    <x v="8"/>
    <s v="Asia Pacific"/>
    <s v="FUR-CH-5442"/>
    <x v="1"/>
    <s v="Chairs"/>
    <s v="Office Star Executive Leather Armchair, Black"/>
    <n v="2337.15"/>
    <n v="5"/>
    <n v="0"/>
    <n v="1098.45"/>
    <n v="228.16"/>
    <s v="Medium"/>
    <n v="11685.75"/>
    <n v="0"/>
    <n v="11457.59"/>
  </r>
  <r>
    <n v="10380"/>
    <s v="ES-2015-PW19030139-42076"/>
    <d v="2015-03-13T00:00:00"/>
    <d v="2015-03-13T00:00:00"/>
    <s v="Same Day"/>
    <s v="PW-19030139"/>
    <s v="Pauline Webber"/>
    <x v="1"/>
    <m/>
    <s v="Southend-on-Sea"/>
    <s v="England"/>
    <s v="United Kingdom"/>
    <x v="12"/>
    <s v="Europe"/>
    <s v="FUR-BO-5960"/>
    <x v="1"/>
    <s v="Bookcases"/>
    <s v="Sauder Floating Shelf Set, Mobile"/>
    <n v="788.4"/>
    <n v="4"/>
    <n v="0"/>
    <n v="291.60000000000002"/>
    <n v="228.13"/>
    <s v="Medium"/>
    <n v="3153.6"/>
    <n v="0"/>
    <n v="2925.47"/>
  </r>
  <r>
    <n v="12887"/>
    <s v="ES-2014-BS1159045-41733"/>
    <d v="2014-04-04T00:00:00"/>
    <d v="2014-04-07T00:00:00"/>
    <s v="First Class"/>
    <s v="BS-1159045"/>
    <s v="Brendan Sweed"/>
    <x v="1"/>
    <m/>
    <s v="Thionville"/>
    <s v="Alsace-Champagne-Ardenne-Lorraine"/>
    <s v="France"/>
    <x v="2"/>
    <s v="Europe"/>
    <s v="TEC-MA-4195"/>
    <x v="0"/>
    <s v="Machines"/>
    <s v="Epson Card Printer, White"/>
    <n v="715.53"/>
    <n v="5"/>
    <n v="0.15"/>
    <n v="100.98"/>
    <n v="227.85"/>
    <s v="Critical"/>
    <n v="3577.6499999999996"/>
    <n v="5.3664749999999994"/>
    <n v="3344.4335249999999"/>
  </r>
  <r>
    <n v="31812"/>
    <s v="CA-2015-AD10180140-42027"/>
    <d v="2015-01-23T00:00:00"/>
    <d v="2015-01-28T00:00:00"/>
    <s v="Standard Class"/>
    <s v="AD-101801404"/>
    <s v="Alan Dominguez"/>
    <x v="2"/>
    <n v="59405"/>
    <s v="Great Falls"/>
    <s v="Montana"/>
    <s v="United States"/>
    <x v="4"/>
    <s v="USCA"/>
    <s v="TEC-CO-3690"/>
    <x v="0"/>
    <s v="Copiers"/>
    <s v="Canon Image Class D660 Copier"/>
    <n v="2999.95"/>
    <n v="5"/>
    <n v="0"/>
    <n v="1379.98"/>
    <n v="121.36"/>
    <s v="Medium"/>
    <n v="14999.75"/>
    <n v="0"/>
    <n v="14878.39"/>
  </r>
  <r>
    <n v="25862"/>
    <s v="IN-2015-DO1343558-42141"/>
    <d v="2015-05-17T00:00:00"/>
    <d v="2015-05-22T00:00:00"/>
    <s v="Second Class"/>
    <s v="DO-1343558"/>
    <s v="Denny Ordway"/>
    <x v="0"/>
    <m/>
    <s v="Srinagar"/>
    <s v="Jammu and Kashmir"/>
    <s v="India"/>
    <x v="5"/>
    <s v="Asia Pacific"/>
    <s v="FUR-TA-3431"/>
    <x v="1"/>
    <s v="Tables"/>
    <s v="Bevis Round Table, Rectangular"/>
    <n v="3094.56"/>
    <n v="6"/>
    <n v="0"/>
    <n v="1423.44"/>
    <n v="227.67"/>
    <s v="Medium"/>
    <n v="18567.36"/>
    <n v="0"/>
    <n v="18339.690000000002"/>
  </r>
  <r>
    <n v="622"/>
    <s v="MX-2014-SG2089051-41752"/>
    <d v="2014-04-23T00:00:00"/>
    <d v="2014-04-25T00:00:00"/>
    <s v="Second Class"/>
    <s v="SG-2089051"/>
    <s v="Susan Gilcrest"/>
    <x v="1"/>
    <m/>
    <s v="Villa Nueva"/>
    <s v="Guatemala"/>
    <s v="Guatemala"/>
    <x v="13"/>
    <s v="LATAM"/>
    <s v="TEC-CO-3602"/>
    <x v="0"/>
    <s v="Copiers"/>
    <s v="Brother Ink, Laser"/>
    <n v="882.03"/>
    <n v="9"/>
    <n v="2E-3"/>
    <n v="148.35"/>
    <n v="227.62899999999999"/>
    <s v="High"/>
    <n v="7938.2699999999995"/>
    <n v="0.15876539999999997"/>
    <n v="7710.4822345999992"/>
  </r>
  <r>
    <n v="25602"/>
    <s v="ID-2013-JC161057-41531"/>
    <d v="2013-09-14T00:00:00"/>
    <d v="2013-09-16T00:00:00"/>
    <s v="First Class"/>
    <s v="JC-161057"/>
    <s v="Julie Creighton"/>
    <x v="1"/>
    <m/>
    <s v="Gold Coast"/>
    <s v="Queensland"/>
    <s v="Australia"/>
    <x v="1"/>
    <s v="Asia Pacific"/>
    <s v="FUR-TA-5062"/>
    <x v="1"/>
    <s v="Tables"/>
    <s v="Lesro Round Table, Adjustable Height"/>
    <n v="953.82"/>
    <n v="3"/>
    <n v="0.3"/>
    <n v="-81.81"/>
    <n v="227.19"/>
    <s v="High"/>
    <n v="2861.46"/>
    <n v="8.5843799999999995"/>
    <n v="2625.6856200000002"/>
  </r>
  <r>
    <n v="26110"/>
    <s v="IN-2013-TB2119058-41552"/>
    <d v="2013-10-05T00:00:00"/>
    <d v="2013-10-09T00:00:00"/>
    <s v="Standard Class"/>
    <s v="TB-2119058"/>
    <s v="Thomas Brumley"/>
    <x v="2"/>
    <m/>
    <s v="Allahabad"/>
    <s v="Uttar Pradesh"/>
    <s v="India"/>
    <x v="5"/>
    <s v="Asia Pacific"/>
    <s v="TEC-PH-5842"/>
    <x v="0"/>
    <s v="Phones"/>
    <s v="Samsung Smart Phone, with Caller ID"/>
    <n v="2544.6"/>
    <n v="4"/>
    <n v="0"/>
    <n v="865.08"/>
    <n v="226.81"/>
    <s v="Medium"/>
    <n v="10178.4"/>
    <n v="0"/>
    <n v="9951.59"/>
  </r>
  <r>
    <n v="26969"/>
    <s v="ID-2015-KD1627059-42306"/>
    <d v="2015-10-29T00:00:00"/>
    <d v="2015-10-31T00:00:00"/>
    <s v="Second Class"/>
    <s v="KD-1627059"/>
    <s v="Karen Daniels"/>
    <x v="0"/>
    <m/>
    <s v="Bekasi"/>
    <s v="Jawa Barat"/>
    <s v="Indonesia"/>
    <x v="17"/>
    <s v="Asia Pacific"/>
    <s v="TEC-MA-5512"/>
    <x v="0"/>
    <s v="Machines"/>
    <s v="Okidata Printer, White"/>
    <n v="886.14"/>
    <n v="4"/>
    <n v="0.17"/>
    <n v="106.74"/>
    <n v="226.8"/>
    <s v="High"/>
    <n v="3544.56"/>
    <n v="6.0257519999999998"/>
    <n v="3311.7342479999998"/>
  </r>
  <r>
    <n v="30241"/>
    <s v="ID-2012-BM1114059-41235"/>
    <d v="2012-11-22T00:00:00"/>
    <d v="2012-11-24T00:00:00"/>
    <s v="First Class"/>
    <s v="BM-1114059"/>
    <s v="Becky Martin"/>
    <x v="0"/>
    <m/>
    <s v="Jakarta"/>
    <s v="Jakarta"/>
    <s v="Indonesia"/>
    <x v="17"/>
    <s v="Asia Pacific"/>
    <s v="TEC-MA-4210"/>
    <x v="0"/>
    <s v="Machines"/>
    <s v="Epson Receipt Printer, Red"/>
    <n v="473.85"/>
    <n v="5"/>
    <n v="0.17"/>
    <n v="-5.85"/>
    <n v="226.73"/>
    <s v="Critical"/>
    <n v="2369.25"/>
    <n v="4.0277250000000002"/>
    <n v="2138.4922750000001"/>
  </r>
  <r>
    <n v="48705"/>
    <s v="IV-2015-SV1078529-42348"/>
    <d v="2015-12-10T00:00:00"/>
    <d v="2015-12-13T00:00:00"/>
    <s v="Second Class"/>
    <s v="SV-1078529"/>
    <s v="Stewart Visinsky"/>
    <x v="0"/>
    <m/>
    <s v="Daloa"/>
    <s v="Haut-Sassandra"/>
    <s v="Cote d'Ivoire"/>
    <x v="3"/>
    <s v="Africa"/>
    <s v="TEC-CO-3602"/>
    <x v="0"/>
    <s v="Copiers"/>
    <s v="Brother Ink, Laser"/>
    <n v="1767.6"/>
    <n v="12"/>
    <n v="0"/>
    <n v="0"/>
    <n v="226.68"/>
    <s v="Critical"/>
    <n v="21211.199999999997"/>
    <n v="0"/>
    <n v="20984.519999999997"/>
  </r>
  <r>
    <n v="4820"/>
    <s v="MX-2012-AH1003082-41251"/>
    <d v="2012-12-08T00:00:00"/>
    <d v="2012-12-09T00:00:00"/>
    <s v="First Class"/>
    <s v="AH-1003082"/>
    <s v="Aaron Hawkins"/>
    <x v="1"/>
    <m/>
    <s v="Saltillo"/>
    <s v="Coahuila"/>
    <s v="Mexico"/>
    <x v="13"/>
    <s v="LATAM"/>
    <s v="FUR-BO-4861"/>
    <x v="1"/>
    <s v="Bookcases"/>
    <s v="Ikea Library with Doors, Mobile"/>
    <n v="780.61"/>
    <n v="4"/>
    <n v="0.2"/>
    <n v="-0.03"/>
    <n v="226.62899999999999"/>
    <s v="High"/>
    <n v="3122.44"/>
    <n v="6.2448800000000002"/>
    <n v="2889.56612"/>
  </r>
  <r>
    <n v="31421"/>
    <s v="US-2012-AD10180140-41268"/>
    <d v="2012-12-25T00:00:00"/>
    <d v="2012-12-27T00:00:00"/>
    <s v="Second Class"/>
    <s v="AD-101801402"/>
    <s v="Alan Dominguez"/>
    <x v="2"/>
    <n v="77041"/>
    <s v="Houston"/>
    <s v="Texas"/>
    <s v="United States"/>
    <x v="0"/>
    <s v="USCA"/>
    <s v="FUR-CH-4400"/>
    <x v="1"/>
    <s v="Chairs"/>
    <s v="Global Deluxe High-Back Manager's Chair"/>
    <n v="600.55999999999995"/>
    <n v="3"/>
    <n v="0.3"/>
    <n v="-8.58"/>
    <n v="58.54"/>
    <s v="High"/>
    <n v="1801.6799999999998"/>
    <n v="5.4050399999999987"/>
    <n v="1737.7349599999998"/>
  </r>
  <r>
    <n v="17274"/>
    <s v="ES-2014-VP21760120-41990"/>
    <d v="2014-12-17T00:00:00"/>
    <d v="2014-12-17T00:00:00"/>
    <s v="Same Day"/>
    <s v="VP-21760120"/>
    <s v="Victoria Pisteka"/>
    <x v="1"/>
    <m/>
    <s v="Madrid"/>
    <s v="Madrid"/>
    <s v="Spain"/>
    <x v="9"/>
    <s v="Europe"/>
    <s v="OFF-AP-4506"/>
    <x v="2"/>
    <s v="Appliances"/>
    <s v="Hamilton Beach Stove, Red"/>
    <n v="2711.7"/>
    <n v="5"/>
    <n v="0"/>
    <n v="1220.25"/>
    <n v="226.25"/>
    <s v="High"/>
    <n v="13558.5"/>
    <n v="0"/>
    <n v="13332.25"/>
  </r>
  <r>
    <n v="10795"/>
    <s v="ES-2015-EG13900139-42108"/>
    <d v="2015-04-14T00:00:00"/>
    <d v="2015-04-18T00:00:00"/>
    <s v="Standard Class"/>
    <s v="EG-13900139"/>
    <s v="Emily Grady"/>
    <x v="0"/>
    <m/>
    <s v="Woking"/>
    <s v="England"/>
    <s v="United Kingdom"/>
    <x v="12"/>
    <s v="Europe"/>
    <s v="OFF-AP-3571"/>
    <x v="2"/>
    <s v="Appliances"/>
    <s v="Breville Microwave, Red"/>
    <n v="2111.9699999999998"/>
    <n v="7"/>
    <n v="0"/>
    <n v="190.05"/>
    <n v="225.84"/>
    <s v="Medium"/>
    <n v="14783.789999999999"/>
    <n v="0"/>
    <n v="14557.949999999999"/>
  </r>
  <r>
    <n v="22458"/>
    <s v="ID-2015-TC21145102-42358"/>
    <d v="2015-12-20T00:00:00"/>
    <d v="2015-12-24T00:00:00"/>
    <s v="Standard Class"/>
    <s v="TC-21145102"/>
    <s v="Theresa Coyne"/>
    <x v="1"/>
    <m/>
    <s v="Baguio City"/>
    <s v="Cordillera"/>
    <s v="Philippines"/>
    <x v="17"/>
    <s v="Asia Pacific"/>
    <s v="FUR-CH-5457"/>
    <x v="1"/>
    <s v="Chairs"/>
    <s v="Office Star Swivel Stool, Set of Two"/>
    <n v="1189.28"/>
    <n v="9"/>
    <n v="0.25"/>
    <n v="-396.43"/>
    <n v="225.78"/>
    <s v="High"/>
    <n v="10703.52"/>
    <n v="26.758800000000001"/>
    <n v="10450.9812"/>
  </r>
  <r>
    <n v="30070"/>
    <s v="IN-2014-LR1691558-41899"/>
    <d v="2014-09-17T00:00:00"/>
    <d v="2014-09-20T00:00:00"/>
    <s v="First Class"/>
    <s v="LR-1691558"/>
    <s v="Lena Radford"/>
    <x v="0"/>
    <m/>
    <s v="Gorakhpur"/>
    <s v="Haryana"/>
    <s v="India"/>
    <x v="5"/>
    <s v="Asia Pacific"/>
    <s v="TEC-PH-5354"/>
    <x v="0"/>
    <s v="Phones"/>
    <s v="Nokia Smart Phone, Cordless"/>
    <n v="1908.45"/>
    <n v="3"/>
    <n v="0"/>
    <n v="534.33000000000004"/>
    <n v="225.58"/>
    <s v="High"/>
    <n v="5725.35"/>
    <n v="0"/>
    <n v="5499.77"/>
  </r>
  <r>
    <n v="36225"/>
    <s v="CA-2015-AD10180140-42340"/>
    <d v="2015-12-02T00:00:00"/>
    <d v="2015-12-07T00:00:00"/>
    <s v="Standard Class"/>
    <s v="AD-101801406"/>
    <s v="Alan Dominguez"/>
    <x v="2"/>
    <n v="6824"/>
    <s v="Fairfield"/>
    <s v="Connecticut"/>
    <s v="United States"/>
    <x v="14"/>
    <s v="USCA"/>
    <s v="FUR-CH-4397"/>
    <x v="1"/>
    <s v="Chairs"/>
    <s v="Global Comet Stacking Armless Chair"/>
    <n v="897.15"/>
    <n v="3"/>
    <n v="0"/>
    <n v="251.2"/>
    <n v="58.41"/>
    <s v="Medium"/>
    <n v="2691.45"/>
    <n v="0"/>
    <n v="2633.04"/>
  </r>
  <r>
    <n v="36585"/>
    <s v="US-2015-AD10180140-42125"/>
    <d v="2015-05-01T00:00:00"/>
    <d v="2015-05-06T00:00:00"/>
    <s v="Standard Class"/>
    <s v="AD-101801404"/>
    <s v="Alan Dominguez"/>
    <x v="2"/>
    <n v="94122"/>
    <s v="San Francisco"/>
    <s v="California"/>
    <s v="United States"/>
    <x v="4"/>
    <s v="USCA"/>
    <s v="OFF-PA-6471"/>
    <x v="2"/>
    <s v="Paper"/>
    <s v="Xerox 1919"/>
    <n v="163.96"/>
    <n v="4"/>
    <n v="0"/>
    <n v="80.34"/>
    <n v="7.09"/>
    <s v="Medium"/>
    <n v="655.84"/>
    <n v="0"/>
    <n v="648.75"/>
  </r>
  <r>
    <n v="20542"/>
    <s v="ID-2013-TH21550130-41634"/>
    <d v="2013-12-26T00:00:00"/>
    <d v="2013-12-28T00:00:00"/>
    <s v="Second Class"/>
    <s v="TH-21550130"/>
    <s v="Tracy Hopkins"/>
    <x v="2"/>
    <m/>
    <s v="Bangkok"/>
    <s v="Bangkok"/>
    <s v="Thailand"/>
    <x v="17"/>
    <s v="Asia Pacific"/>
    <s v="FUR-TA-3341"/>
    <x v="1"/>
    <s v="Tables"/>
    <s v="Barricks Computer Table, Fully Assembled"/>
    <n v="1854.93"/>
    <n v="9"/>
    <n v="0.56999999999999995"/>
    <n v="-1294.3499999999999"/>
    <n v="225.02"/>
    <s v="High"/>
    <n v="16694.37"/>
    <n v="95.157908999999975"/>
    <n v="16374.192090999997"/>
  </r>
  <r>
    <n v="28259"/>
    <s v="IN-2014-HD1478527-41923"/>
    <d v="2014-10-11T00:00:00"/>
    <d v="2014-10-14T00:00:00"/>
    <s v="First Class"/>
    <s v="HD-1478527"/>
    <s v="Harold Dahlen"/>
    <x v="2"/>
    <m/>
    <s v="Shanghai"/>
    <s v="Shanghai"/>
    <s v="China"/>
    <x v="8"/>
    <s v="Asia Pacific"/>
    <s v="TEC-MA-4199"/>
    <x v="0"/>
    <s v="Machines"/>
    <s v="Epson Inkjet, Wireless"/>
    <n v="924.66"/>
    <n v="3"/>
    <n v="0"/>
    <n v="397.53"/>
    <n v="225"/>
    <s v="Critical"/>
    <n v="2773.98"/>
    <n v="0"/>
    <n v="2548.98"/>
  </r>
  <r>
    <n v="27525"/>
    <s v="ID-2013-TP2113027-41389"/>
    <d v="2013-04-25T00:00:00"/>
    <d v="2013-04-27T00:00:00"/>
    <s v="Second Class"/>
    <s v="TP-2113027"/>
    <s v="Theone Pippenger"/>
    <x v="0"/>
    <m/>
    <s v="Mianyang"/>
    <s v="Sichuan"/>
    <s v="China"/>
    <x v="8"/>
    <s v="Asia Pacific"/>
    <s v="FUR-TA-3349"/>
    <x v="1"/>
    <s v="Tables"/>
    <s v="Barricks Round Table, Fully Assembled"/>
    <n v="1760.43"/>
    <n v="5"/>
    <n v="0.3"/>
    <n v="-326.97000000000003"/>
    <n v="224.8"/>
    <s v="High"/>
    <n v="8802.15"/>
    <n v="26.40645"/>
    <n v="8550.94355"/>
  </r>
  <r>
    <n v="50963"/>
    <s v="RS-2015-TC11145108-42178"/>
    <d v="2015-06-23T00:00:00"/>
    <d v="2015-06-23T00:00:00"/>
    <s v="Same Day"/>
    <s v="TC-11145108"/>
    <s v="Theresa Coyne"/>
    <x v="1"/>
    <m/>
    <s v="Magnitogorsk"/>
    <s v="Chelyabinsk"/>
    <s v="Russia"/>
    <x v="11"/>
    <s v="Europe"/>
    <s v="TEC-PH-5836"/>
    <x v="0"/>
    <s v="Phones"/>
    <s v="Samsung Signal Booster, Full Size"/>
    <n v="827.28"/>
    <n v="6"/>
    <n v="0"/>
    <n v="397.08"/>
    <n v="224.64"/>
    <s v="High"/>
    <n v="4963.68"/>
    <n v="0"/>
    <n v="4739.04"/>
  </r>
  <r>
    <n v="3748"/>
    <s v="MX-2013-JL1523536-41606"/>
    <d v="2013-11-28T00:00:00"/>
    <d v="2013-12-03T00:00:00"/>
    <s v="Standard Class"/>
    <s v="JL-1523536"/>
    <s v="Janet Lee"/>
    <x v="0"/>
    <m/>
    <s v="Santo Domingo"/>
    <s v="Santo Domingo"/>
    <s v="Dominican Republic"/>
    <x v="15"/>
    <s v="LATAM"/>
    <s v="OFF-AP-4745"/>
    <x v="2"/>
    <s v="Appliances"/>
    <s v="Hoover Stove, White"/>
    <n v="1510.96"/>
    <n v="5"/>
    <n v="0.2"/>
    <n v="509.86"/>
    <n v="224.28100000000001"/>
    <s v="High"/>
    <n v="7554.8"/>
    <n v="15.1096"/>
    <n v="7315.4094000000005"/>
  </r>
  <r>
    <n v="23518"/>
    <s v="IN-2015-DM1334558-42182"/>
    <d v="2015-06-27T00:00:00"/>
    <d v="2015-07-02T00:00:00"/>
    <s v="Second Class"/>
    <s v="DM-1334558"/>
    <s v="Denise Monton"/>
    <x v="1"/>
    <m/>
    <s v="Varanasi"/>
    <s v="Uttar Pradesh"/>
    <s v="India"/>
    <x v="5"/>
    <s v="Asia Pacific"/>
    <s v="TEC-CO-3588"/>
    <x v="0"/>
    <s v="Copiers"/>
    <s v="Brother Copy Machine, High-Speed"/>
    <n v="2098.3200000000002"/>
    <n v="8"/>
    <n v="0"/>
    <n v="860.16"/>
    <n v="224.28"/>
    <s v="Medium"/>
    <n v="16786.560000000001"/>
    <n v="0"/>
    <n v="16562.280000000002"/>
  </r>
  <r>
    <n v="9121"/>
    <s v="MX-2015-RK1930018-42181"/>
    <d v="2015-06-26T00:00:00"/>
    <d v="2015-06-28T00:00:00"/>
    <s v="First Class"/>
    <s v="RK-1930018"/>
    <s v="Ralph Kennedy"/>
    <x v="0"/>
    <m/>
    <s v="Serra"/>
    <s v="Espírito Santo"/>
    <s v="Brazil"/>
    <x v="7"/>
    <s v="LATAM"/>
    <s v="FUR-TA-3344"/>
    <x v="1"/>
    <s v="Tables"/>
    <s v="Barricks Conference Table, Fully Assembled"/>
    <n v="1938.24"/>
    <n v="4"/>
    <n v="0.2"/>
    <n v="-96.96"/>
    <n v="223.80500000000001"/>
    <s v="Medium"/>
    <n v="7752.96"/>
    <n v="15.505920000000001"/>
    <n v="7513.6490800000001"/>
  </r>
  <r>
    <n v="13967"/>
    <s v="ES-2013-CC1267064-41534"/>
    <d v="2013-09-17T00:00:00"/>
    <d v="2013-09-19T00:00:00"/>
    <s v="First Class"/>
    <s v="CC-1267064"/>
    <s v="Craig Carreira"/>
    <x v="0"/>
    <m/>
    <s v="Florence"/>
    <s v="Tuscany"/>
    <s v="Italy"/>
    <x v="9"/>
    <s v="Europe"/>
    <s v="TEC-MA-5017"/>
    <x v="0"/>
    <s v="Machines"/>
    <s v="Konica Printer, Wireless"/>
    <n v="803.52"/>
    <n v="5"/>
    <n v="0.4"/>
    <n v="-495.63"/>
    <n v="223.78"/>
    <s v="High"/>
    <n v="4017.6"/>
    <n v="16.070399999999999"/>
    <n v="3777.7495999999996"/>
  </r>
  <r>
    <n v="30001"/>
    <s v="IN-2014-TC2098058-41971"/>
    <d v="2014-11-28T00:00:00"/>
    <d v="2014-12-02T00:00:00"/>
    <s v="Standard Class"/>
    <s v="TC-2098058"/>
    <s v="Tamara Chand"/>
    <x v="1"/>
    <m/>
    <s v="Chennai"/>
    <s v="Tamil Nadu"/>
    <s v="India"/>
    <x v="5"/>
    <s v="Asia Pacific"/>
    <s v="FUR-CH-5773"/>
    <x v="1"/>
    <s v="Chairs"/>
    <s v="SAFCO Executive Leather Armchair, Adjustable"/>
    <n v="1391.76"/>
    <n v="3"/>
    <n v="0"/>
    <n v="97.38"/>
    <n v="223.52"/>
    <s v="High"/>
    <n v="4175.28"/>
    <n v="0"/>
    <n v="3951.7599999999998"/>
  </r>
  <r>
    <n v="34996"/>
    <s v="CA-2015-AD10180140-42322"/>
    <d v="2015-11-14T00:00:00"/>
    <d v="2015-11-19T00:00:00"/>
    <s v="Second Class"/>
    <s v="AD-101801406"/>
    <s v="Alan Dominguez"/>
    <x v="2"/>
    <n v="10701"/>
    <s v="Yonkers"/>
    <s v="New York"/>
    <s v="United States"/>
    <x v="14"/>
    <s v="USCA"/>
    <s v="TEC-AC-4939"/>
    <x v="0"/>
    <s v="Accessories"/>
    <s v="KeyTronic 6101 Series - Keyboard - Black"/>
    <n v="163.96"/>
    <n v="4"/>
    <n v="0"/>
    <n v="70.5"/>
    <n v="4.96"/>
    <s v="Medium"/>
    <n v="655.84"/>
    <n v="0"/>
    <n v="650.88"/>
  </r>
  <r>
    <n v="25943"/>
    <s v="ID-2015-CM123857-42208"/>
    <d v="2015-07-23T00:00:00"/>
    <d v="2015-07-25T00:00:00"/>
    <s v="Second Class"/>
    <s v="CM-123857"/>
    <s v="Christopher Martinez"/>
    <x v="0"/>
    <m/>
    <s v="Adelaide"/>
    <s v="South Australia"/>
    <s v="Australia"/>
    <x v="1"/>
    <s v="Asia Pacific"/>
    <s v="OFF-ST-5700"/>
    <x v="2"/>
    <s v="Storage"/>
    <s v="Rogers Lockers, Blue"/>
    <n v="952.29"/>
    <n v="5"/>
    <n v="0.1"/>
    <n v="-53.01"/>
    <n v="223.43"/>
    <s v="High"/>
    <n v="4761.45"/>
    <n v="4.76145"/>
    <n v="4533.2585499999996"/>
  </r>
  <r>
    <n v="13228"/>
    <s v="ES-2015-BG1103564-42251"/>
    <d v="2015-09-04T00:00:00"/>
    <d v="2015-09-08T00:00:00"/>
    <s v="Standard Class"/>
    <s v="BG-1103564"/>
    <s v="Barry Gonzalez"/>
    <x v="0"/>
    <m/>
    <s v="Pescara"/>
    <s v="Abruzzi"/>
    <s v="Italy"/>
    <x v="9"/>
    <s v="Europe"/>
    <s v="FUR-BO-4861"/>
    <x v="1"/>
    <s v="Bookcases"/>
    <s v="Ikea Library with Doors, Mobile"/>
    <n v="2927.28"/>
    <n v="8"/>
    <n v="0"/>
    <n v="146.16"/>
    <n v="223.41"/>
    <s v="Medium"/>
    <n v="23418.240000000002"/>
    <n v="0"/>
    <n v="23194.83"/>
  </r>
  <r>
    <n v="32623"/>
    <s v="CA-2013-AD10180140-41439"/>
    <d v="2013-06-14T00:00:00"/>
    <d v="2013-06-18T00:00:00"/>
    <s v="Standard Class"/>
    <s v="AD-101801406"/>
    <s v="Alan Dominguez"/>
    <x v="2"/>
    <n v="19120"/>
    <s v="Philadelphia"/>
    <s v="Pennsylvania"/>
    <s v="United States"/>
    <x v="14"/>
    <s v="USCA"/>
    <s v="FUR-FU-4051"/>
    <x v="1"/>
    <s v="Furnishings"/>
    <s v="Eldon Expressions Punched Metal &amp; Wood Desk Accessories, Pewter &amp; Cherry"/>
    <n v="51.07"/>
    <n v="6"/>
    <n v="0.2"/>
    <n v="5.1100000000000003"/>
    <n v="1.94"/>
    <s v="High"/>
    <n v="306.42"/>
    <n v="0.61284000000000005"/>
    <n v="303.86716000000001"/>
  </r>
  <r>
    <n v="25705"/>
    <s v="IN-2015-MG1789097-42022"/>
    <d v="2015-01-18T00:00:00"/>
    <d v="2015-01-22T00:00:00"/>
    <s v="Standard Class"/>
    <s v="MG-1789097"/>
    <s v="Michael Granlund"/>
    <x v="2"/>
    <m/>
    <s v="Lahore"/>
    <s v="Punjab"/>
    <s v="Pakistan"/>
    <x v="5"/>
    <s v="Asia Pacific"/>
    <s v="OFF-AP-3572"/>
    <x v="2"/>
    <s v="Appliances"/>
    <s v="Breville Microwave, Silver"/>
    <n v="2117.2199999999998"/>
    <n v="14"/>
    <n v="0.5"/>
    <n v="-1736.28"/>
    <n v="223.13"/>
    <s v="High"/>
    <n v="29641.079999999998"/>
    <n v="148.2054"/>
    <n v="29269.744599999998"/>
  </r>
  <r>
    <n v="30218"/>
    <s v="ID-2015-MM1726078-42181"/>
    <d v="2015-06-26T00:00:00"/>
    <d v="2015-07-01T00:00:00"/>
    <s v="Standard Class"/>
    <s v="MM-1726078"/>
    <s v="Magdelene Morse"/>
    <x v="0"/>
    <m/>
    <s v="Kuala Lumpur"/>
    <s v="Kuala Lumpur"/>
    <s v="Malaysia"/>
    <x v="17"/>
    <s v="Asia Pacific"/>
    <s v="FUR-CH-5379"/>
    <x v="1"/>
    <s v="Chairs"/>
    <s v="Novimex Executive Leather Armchair, Black"/>
    <n v="2747.7"/>
    <n v="6"/>
    <n v="0"/>
    <n v="82.26"/>
    <n v="222.78"/>
    <s v="Medium"/>
    <n v="16486.199999999997"/>
    <n v="0"/>
    <n v="16263.419999999996"/>
  </r>
  <r>
    <n v="21435"/>
    <s v="IN-2013-TG2164078-41299"/>
    <d v="2013-01-25T00:00:00"/>
    <d v="2013-01-25T00:00:00"/>
    <s v="Same Day"/>
    <s v="TG-2164078"/>
    <s v="Trudy Glocke"/>
    <x v="0"/>
    <m/>
    <s v="Kuantan"/>
    <s v="Pahang"/>
    <s v="Malaysia"/>
    <x v="17"/>
    <s v="Asia Pacific"/>
    <s v="FUR-BO-4845"/>
    <x v="1"/>
    <s v="Bookcases"/>
    <s v="Ikea 3-Shelf Cabinet, Mobile"/>
    <n v="1014.72"/>
    <n v="7"/>
    <n v="0"/>
    <n v="141.96"/>
    <n v="222.52"/>
    <s v="High"/>
    <n v="7103.04"/>
    <n v="0"/>
    <n v="6880.5199999999995"/>
  </r>
  <r>
    <n v="28012"/>
    <s v="IN-2013-CC1237011-41462"/>
    <d v="2013-07-07T00:00:00"/>
    <d v="2013-07-12T00:00:00"/>
    <s v="Second Class"/>
    <s v="CC-1237011"/>
    <s v="Christopher Conant"/>
    <x v="0"/>
    <m/>
    <s v="Chittagong"/>
    <s v="Chittagong"/>
    <s v="Bangladesh"/>
    <x v="5"/>
    <s v="Asia Pacific"/>
    <s v="TEC-PH-5270"/>
    <x v="0"/>
    <s v="Phones"/>
    <s v="Motorola Speaker Phone, Cordless"/>
    <n v="1591.56"/>
    <n v="12"/>
    <n v="0"/>
    <n v="79.56"/>
    <n v="222.4"/>
    <s v="Medium"/>
    <n v="19098.72"/>
    <n v="0"/>
    <n v="18876.32"/>
  </r>
  <r>
    <n v="5917"/>
    <s v="MX-2012-SC2084582-41240"/>
    <d v="2012-11-27T00:00:00"/>
    <d v="2012-11-29T00:00:00"/>
    <s v="First Class"/>
    <s v="SC-2084582"/>
    <s v="Sung Chung"/>
    <x v="0"/>
    <m/>
    <s v="Monclova"/>
    <s v="Coahuila"/>
    <s v="Mexico"/>
    <x v="13"/>
    <s v="LATAM"/>
    <s v="TEC-MA-5571"/>
    <x v="0"/>
    <s v="Machines"/>
    <s v="Panasonic Printer, Durable"/>
    <n v="533.22"/>
    <n v="3"/>
    <n v="0"/>
    <n v="69.3"/>
    <n v="222.04499999999999"/>
    <s v="Critical"/>
    <n v="1599.66"/>
    <n v="0"/>
    <n v="1377.615"/>
  </r>
  <r>
    <n v="8480"/>
    <s v="MX-2015-PS1904518-42335"/>
    <d v="2015-11-27T00:00:00"/>
    <d v="2015-12-01T00:00:00"/>
    <s v="Second Class"/>
    <s v="PS-1904518"/>
    <s v="Penelope Sewall"/>
    <x v="2"/>
    <m/>
    <s v="São Paulo"/>
    <s v="São Paulo"/>
    <s v="Brazil"/>
    <x v="7"/>
    <s v="LATAM"/>
    <s v="TEC-PH-5355"/>
    <x v="0"/>
    <s v="Phones"/>
    <s v="Nokia Smart Phone, Full Size"/>
    <n v="2124.5"/>
    <n v="5"/>
    <n v="0"/>
    <n v="488.6"/>
    <n v="221.92"/>
    <s v="High"/>
    <n v="10622.5"/>
    <n v="0"/>
    <n v="10400.58"/>
  </r>
  <r>
    <n v="26695"/>
    <s v="ID-2013-CB1202559-41615"/>
    <d v="2013-12-07T00:00:00"/>
    <d v="2013-12-09T00:00:00"/>
    <s v="First Class"/>
    <s v="CB-1202559"/>
    <s v="Cassandra Brandow"/>
    <x v="0"/>
    <m/>
    <s v="Jakarta"/>
    <s v="Jakarta"/>
    <s v="Indonesia"/>
    <x v="17"/>
    <s v="Asia Pacific"/>
    <s v="OFF-ST-5700"/>
    <x v="2"/>
    <s v="Storage"/>
    <s v="Rogers Lockers, Blue"/>
    <n v="1053.8699999999999"/>
    <n v="6"/>
    <n v="0.17"/>
    <n v="-152.49"/>
    <n v="221.64"/>
    <s v="High"/>
    <n v="6323.2199999999993"/>
    <n v="10.749473999999999"/>
    <n v="6090.8305259999988"/>
  </r>
  <r>
    <n v="41032"/>
    <s v="CA-2012-AD10180140-41231"/>
    <d v="2012-11-18T00:00:00"/>
    <d v="2012-11-21T00:00:00"/>
    <s v="Second Class"/>
    <s v="AD-101801406"/>
    <s v="Alan Dominguez"/>
    <x v="2"/>
    <n v="19134"/>
    <s v="Philadelphia"/>
    <s v="Pennsylvania"/>
    <s v="United States"/>
    <x v="14"/>
    <s v="USCA"/>
    <s v="OFF-PA-2856"/>
    <x v="2"/>
    <s v="Paper"/>
    <s v="1/4 Fold Party Design Invitations &amp; White Envelopes, 24 8-1/2&quot; X 11&quot; Cards, 25 Env./Pack"/>
    <n v="5.88"/>
    <n v="1"/>
    <n v="0.2"/>
    <n v="1.98"/>
    <n v="1.76"/>
    <s v="Medium"/>
    <n v="5.88"/>
    <n v="1.176E-2"/>
    <n v="4.1082400000000003"/>
  </r>
  <r>
    <n v="12600"/>
    <s v="ES-2013-BT11395139-41625"/>
    <d v="2013-12-17T00:00:00"/>
    <d v="2013-12-21T00:00:00"/>
    <s v="Standard Class"/>
    <s v="BT-11395139"/>
    <s v="Bill Tyler"/>
    <x v="1"/>
    <m/>
    <s v="Worthing"/>
    <s v="England"/>
    <s v="United Kingdom"/>
    <x v="12"/>
    <s v="Europe"/>
    <s v="TEC-MA-5546"/>
    <x v="0"/>
    <s v="Machines"/>
    <s v="Panasonic Inkjet, Durable"/>
    <n v="1248.8399999999999"/>
    <n v="4"/>
    <n v="0"/>
    <n v="249.72"/>
    <n v="221.58"/>
    <s v="High"/>
    <n v="4995.3599999999997"/>
    <n v="0"/>
    <n v="4773.78"/>
  </r>
  <r>
    <n v="4486"/>
    <s v="MX-2014-SJ2050051-41962"/>
    <d v="2014-11-19T00:00:00"/>
    <d v="2014-11-25T00:00:00"/>
    <s v="Standard Class"/>
    <s v="SJ-2050051"/>
    <s v="Shirley Jackson"/>
    <x v="0"/>
    <m/>
    <s v="Mixco"/>
    <s v="Guatemala"/>
    <s v="Guatemala"/>
    <x v="13"/>
    <s v="LATAM"/>
    <s v="FUR-BO-5950"/>
    <x v="1"/>
    <s v="Bookcases"/>
    <s v="Sauder Classic Bookcase, Pine"/>
    <n v="2040.92"/>
    <n v="7"/>
    <n v="0"/>
    <n v="959.14"/>
    <n v="221.048"/>
    <s v="Low"/>
    <n v="14286.44"/>
    <n v="0"/>
    <n v="14065.392"/>
  </r>
  <r>
    <n v="10828"/>
    <s v="IT-2015-MC1784545-42249"/>
    <d v="2015-09-02T00:00:00"/>
    <d v="2015-09-04T00:00:00"/>
    <s v="Second Class"/>
    <s v="MC-1784545"/>
    <s v="Michael Chen"/>
    <x v="0"/>
    <m/>
    <s v="Paris"/>
    <s v="Ile-de-France"/>
    <s v="France"/>
    <x v="2"/>
    <s v="Europe"/>
    <s v="OFF-ST-4078"/>
    <x v="2"/>
    <s v="Storage"/>
    <s v="Eldon Lockers, Blue"/>
    <n v="1068.71"/>
    <n v="6"/>
    <n v="0.1"/>
    <n v="-0.13"/>
    <n v="220.97"/>
    <s v="High"/>
    <n v="6412.26"/>
    <n v="6.4122600000000007"/>
    <n v="6184.8777399999999"/>
  </r>
  <r>
    <n v="62"/>
    <s v="MX-2015-MG1820518-42140"/>
    <d v="2015-05-16T00:00:00"/>
    <d v="2015-05-16T00:00:00"/>
    <s v="Same Day"/>
    <s v="MG-1820518"/>
    <s v="Mitch Gastineau"/>
    <x v="1"/>
    <m/>
    <s v="Lençóis Paulista"/>
    <s v="São Paulo"/>
    <s v="Brazil"/>
    <x v="7"/>
    <s v="LATAM"/>
    <s v="FUR-BO-5760"/>
    <x v="1"/>
    <s v="Bookcases"/>
    <s v="Safco Classic Bookcase, Metal"/>
    <n v="875.22"/>
    <n v="3"/>
    <n v="0"/>
    <n v="139.97999999999999"/>
    <n v="220.767"/>
    <s v="High"/>
    <n v="2625.66"/>
    <n v="0"/>
    <n v="2404.893"/>
  </r>
  <r>
    <n v="24380"/>
    <s v="IN-2014-RA199157-41948"/>
    <d v="2014-11-05T00:00:00"/>
    <d v="2014-11-09T00:00:00"/>
    <s v="Standard Class"/>
    <s v="RA-199157"/>
    <s v="Russell Applegate"/>
    <x v="0"/>
    <m/>
    <s v="Coffs Harbour"/>
    <s v="New South Wales"/>
    <s v="Australia"/>
    <x v="1"/>
    <s v="Asia Pacific"/>
    <s v="TEC-AC-4187"/>
    <x v="0"/>
    <s v="Accessories"/>
    <s v="Enermax Router, Programmable"/>
    <n v="1403.08"/>
    <n v="6"/>
    <n v="0.1"/>
    <n v="296.08"/>
    <n v="220.54"/>
    <s v="High"/>
    <n v="8418.48"/>
    <n v="8.4184799999999989"/>
    <n v="8189.5215199999993"/>
  </r>
  <r>
    <n v="43958"/>
    <s v="PL-2012-TT11265103-41219"/>
    <d v="2012-11-06T00:00:00"/>
    <d v="2012-11-12T00:00:00"/>
    <s v="Standard Class"/>
    <s v="TT-11265103"/>
    <s v="Tim Taslimi"/>
    <x v="1"/>
    <m/>
    <s v="Lublin"/>
    <s v="Lublin"/>
    <s v="Poland"/>
    <x v="11"/>
    <s v="Europe"/>
    <s v="FUR-BO-5951"/>
    <x v="1"/>
    <s v="Bookcases"/>
    <s v="Sauder Classic Bookcase, Traditional"/>
    <n v="1743.96"/>
    <n v="4"/>
    <n v="0"/>
    <n v="714.96"/>
    <n v="220.39"/>
    <s v="Medium"/>
    <n v="6975.84"/>
    <n v="0"/>
    <n v="6755.45"/>
  </r>
  <r>
    <n v="45785"/>
    <s v="IZ-2014-TH1123561-41738"/>
    <d v="2014-04-09T00:00:00"/>
    <d v="2014-04-11T00:00:00"/>
    <s v="Second Class"/>
    <s v="TH-1123561"/>
    <s v="Tiffany House"/>
    <x v="1"/>
    <m/>
    <s v="Baghdad"/>
    <s v="Baghdad"/>
    <s v="Iraq"/>
    <x v="6"/>
    <s v="Asia Pacific"/>
    <s v="TEC-MA-5014"/>
    <x v="0"/>
    <s v="Machines"/>
    <s v="Konica Printer, Durable"/>
    <n v="1071.8399999999999"/>
    <n v="4"/>
    <n v="0"/>
    <n v="310.8"/>
    <n v="220.3"/>
    <s v="High"/>
    <n v="4287.3599999999997"/>
    <n v="0"/>
    <n v="4067.0599999999995"/>
  </r>
  <r>
    <n v="13730"/>
    <s v="IT-2015-DM1301564-42167"/>
    <d v="2015-06-12T00:00:00"/>
    <d v="2015-06-13T00:00:00"/>
    <s v="First Class"/>
    <s v="DM-1301564"/>
    <s v="Darrin Martin"/>
    <x v="0"/>
    <m/>
    <s v="San Severo"/>
    <s v="Apulia"/>
    <s v="Italy"/>
    <x v="9"/>
    <s v="Europe"/>
    <s v="TEC-MA-4199"/>
    <x v="0"/>
    <s v="Machines"/>
    <s v="Epson Inkjet, Wireless"/>
    <n v="925.02"/>
    <n v="5"/>
    <n v="0.4"/>
    <n v="-447.18"/>
    <n v="219.98"/>
    <s v="High"/>
    <n v="4625.1000000000004"/>
    <n v="18.500400000000003"/>
    <n v="4386.6196000000009"/>
  </r>
  <r>
    <n v="2026"/>
    <s v="US-2014-VG217905-41800"/>
    <d v="2014-06-10T00:00:00"/>
    <d v="2014-06-15T00:00:00"/>
    <s v="Standard Class"/>
    <s v="VG-217905"/>
    <s v="Vivek Gonzalez"/>
    <x v="0"/>
    <m/>
    <s v="San Luis"/>
    <s v="San Luis"/>
    <s v="Argentina"/>
    <x v="7"/>
    <s v="LATAM"/>
    <s v="FUR-CH-5442"/>
    <x v="1"/>
    <s v="Chairs"/>
    <s v="Office Star Executive Leather Armchair, Black"/>
    <n v="1682.75"/>
    <n v="9"/>
    <n v="0.4"/>
    <n v="-813.49"/>
    <n v="219.84200000000001"/>
    <s v="High"/>
    <n v="15144.75"/>
    <n v="60.579000000000008"/>
    <n v="14864.329"/>
  </r>
  <r>
    <n v="25053"/>
    <s v="IN-2015-JW1595527-42190"/>
    <d v="2015-07-05T00:00:00"/>
    <d v="2015-07-09T00:00:00"/>
    <s v="Standard Class"/>
    <s v="JW-1595527"/>
    <s v="Joni Wasserman"/>
    <x v="0"/>
    <m/>
    <s v="Guangzhou"/>
    <s v="Guangdong"/>
    <s v="China"/>
    <x v="8"/>
    <s v="Asia Pacific"/>
    <s v="FUR-BO-5968"/>
    <x v="1"/>
    <s v="Bookcases"/>
    <s v="Sauder Library with Doors, Pine"/>
    <n v="1944.9"/>
    <n v="5"/>
    <n v="0"/>
    <n v="291.60000000000002"/>
    <n v="219.83"/>
    <s v="Medium"/>
    <n v="9724.5"/>
    <n v="0"/>
    <n v="9504.67"/>
  </r>
  <r>
    <n v="25116"/>
    <s v="IN-2014-ZC2191058-41760"/>
    <d v="2014-05-01T00:00:00"/>
    <d v="2014-05-05T00:00:00"/>
    <s v="Standard Class"/>
    <s v="ZC-2191058"/>
    <s v="Zuschuss Carroll"/>
    <x v="0"/>
    <m/>
    <s v="Tiruppur"/>
    <s v="Tamil Nadu"/>
    <s v="India"/>
    <x v="5"/>
    <s v="Asia Pacific"/>
    <s v="TEC-CO-3707"/>
    <x v="0"/>
    <s v="Copiers"/>
    <s v="Canon Wireless Fax, Color"/>
    <n v="3040.8"/>
    <n v="8"/>
    <n v="0"/>
    <n v="1155.3599999999999"/>
    <n v="219.74"/>
    <s v="Medium"/>
    <n v="24326.400000000001"/>
    <n v="0"/>
    <n v="24106.66"/>
  </r>
  <r>
    <n v="32583"/>
    <s v="CA-2013-AD10180140-41459"/>
    <d v="2013-07-04T00:00:00"/>
    <d v="2013-07-08T00:00:00"/>
    <s v="Standard Class"/>
    <s v="AD-101801406"/>
    <s v="Alan Dominguez"/>
    <x v="2"/>
    <n v="10035"/>
    <s v="New York City"/>
    <s v="New York"/>
    <s v="United States"/>
    <x v="14"/>
    <s v="USCA"/>
    <s v="OFF-AR-3837"/>
    <x v="2"/>
    <s v="Art"/>
    <s v="Colorific Watercolor Pencils"/>
    <n v="15.48"/>
    <n v="3"/>
    <n v="0"/>
    <n v="4.49"/>
    <n v="1.68"/>
    <s v="Medium"/>
    <n v="46.44"/>
    <n v="0"/>
    <n v="44.76"/>
  </r>
  <r>
    <n v="9525"/>
    <s v="MX-2013-NW1840082-41584"/>
    <d v="2013-11-06T00:00:00"/>
    <d v="2013-11-08T00:00:00"/>
    <s v="First Class"/>
    <s v="NW-1840082"/>
    <s v="Natalie Webber"/>
    <x v="0"/>
    <m/>
    <s v="San Luis Potosí"/>
    <s v="San Luis Potosí"/>
    <s v="Mexico"/>
    <x v="13"/>
    <s v="LATAM"/>
    <s v="TEC-CO-3610"/>
    <x v="0"/>
    <s v="Copiers"/>
    <s v="Brother Wireless Fax, High-Speed"/>
    <n v="1003.35"/>
    <n v="4"/>
    <n v="2E-3"/>
    <n v="178.95"/>
    <n v="219.53299999999999"/>
    <s v="Critical"/>
    <n v="4013.4"/>
    <n v="8.0267999999999992E-2"/>
    <n v="3793.786732"/>
  </r>
  <r>
    <n v="25463"/>
    <s v="IN-2012-VP217307-41166"/>
    <d v="2012-09-14T00:00:00"/>
    <d v="2012-09-17T00:00:00"/>
    <s v="Second Class"/>
    <s v="VP-217307"/>
    <s v="Victor Preis"/>
    <x v="2"/>
    <m/>
    <s v="Brisbane"/>
    <s v="Queensland"/>
    <s v="Australia"/>
    <x v="1"/>
    <s v="Asia Pacific"/>
    <s v="OFF-ST-4057"/>
    <x v="2"/>
    <s v="Storage"/>
    <s v="Eldon File Cart, Single Width"/>
    <n v="808.73"/>
    <n v="7"/>
    <n v="0.1"/>
    <n v="-0.19"/>
    <n v="219.26"/>
    <s v="Critical"/>
    <n v="5661.1100000000006"/>
    <n v="5.6611100000000008"/>
    <n v="5436.1888900000004"/>
  </r>
  <r>
    <n v="18392"/>
    <s v="ES-2014-SS2041045-41999"/>
    <d v="2014-12-26T00:00:00"/>
    <d v="2015-01-01T00:00:00"/>
    <s v="Standard Class"/>
    <s v="SS-2041045"/>
    <s v="Shahid Shariari"/>
    <x v="0"/>
    <m/>
    <s v="Le Chesnay"/>
    <s v="Ile-de-France"/>
    <s v="France"/>
    <x v="2"/>
    <s v="Europe"/>
    <s v="TEC-CO-6000"/>
    <x v="0"/>
    <s v="Copiers"/>
    <s v="Sharp Fax Machine, Laser"/>
    <n v="2764.33"/>
    <n v="11"/>
    <n v="0.15"/>
    <n v="-195.44"/>
    <n v="219.19"/>
    <s v="Medium"/>
    <n v="30407.629999999997"/>
    <n v="45.611444999999996"/>
    <n v="30142.828555"/>
  </r>
  <r>
    <n v="31585"/>
    <s v="CA-2014-AH10195140-41992"/>
    <d v="2014-12-19T00:00:00"/>
    <d v="2014-12-21T00:00:00"/>
    <s v="Second Class"/>
    <s v="AH-101951408"/>
    <s v="Alan Haines"/>
    <x v="1"/>
    <n v="33319"/>
    <s v="Tamarac"/>
    <s v="Florida"/>
    <s v="United States"/>
    <x v="18"/>
    <s v="USCA"/>
    <s v="OFF-SU-5634"/>
    <x v="2"/>
    <s v="Supplies"/>
    <s v="Premier Automatic Letter Opener"/>
    <n v="961.48"/>
    <n v="5"/>
    <n v="0.2"/>
    <n v="-204.31"/>
    <n v="89.23"/>
    <s v="Medium"/>
    <n v="4807.3999999999996"/>
    <n v="9.6148000000000007"/>
    <n v="4708.5551999999998"/>
  </r>
  <r>
    <n v="42555"/>
    <s v="EZ-2015-AG27032-42249"/>
    <d v="2015-09-02T00:00:00"/>
    <d v="2015-09-04T00:00:00"/>
    <s v="First Class"/>
    <s v="AG-27032"/>
    <s v="Alejandro Grove"/>
    <x v="0"/>
    <m/>
    <s v="Prague"/>
    <s v="Prague"/>
    <s v="Czech Republic"/>
    <x v="11"/>
    <s v="Europe"/>
    <s v="FUR-CH-4655"/>
    <x v="1"/>
    <s v="Chairs"/>
    <s v="Hon Executive Leather Armchair, Black"/>
    <n v="457.14"/>
    <n v="1"/>
    <n v="0"/>
    <n v="169.14"/>
    <n v="218.96"/>
    <s v="Critical"/>
    <n v="457.14"/>
    <n v="0"/>
    <n v="238.17999999999998"/>
  </r>
  <r>
    <n v="12333"/>
    <s v="ES-2012-BW1120045-41085"/>
    <d v="2012-06-25T00:00:00"/>
    <d v="2012-06-27T00:00:00"/>
    <s v="First Class"/>
    <s v="BW-1120045"/>
    <s v="Ben Wallace"/>
    <x v="0"/>
    <m/>
    <s v="Dieppe"/>
    <s v="Normandy"/>
    <s v="France"/>
    <x v="2"/>
    <s v="Europe"/>
    <s v="FUR-BO-5787"/>
    <x v="1"/>
    <s v="Bookcases"/>
    <s v="Safco Library with Doors, Pine"/>
    <n v="704.05"/>
    <n v="2"/>
    <n v="0.1"/>
    <n v="312.91000000000003"/>
    <n v="218.81"/>
    <s v="Critical"/>
    <n v="1408.1"/>
    <n v="1.4081000000000001"/>
    <n v="1187.8818999999999"/>
  </r>
  <r>
    <n v="12989"/>
    <s v="IT-2015-FM1421545-42271"/>
    <d v="2015-09-24T00:00:00"/>
    <d v="2015-09-26T00:00:00"/>
    <s v="Second Class"/>
    <s v="FM-1421545"/>
    <s v="Filia McAdams"/>
    <x v="1"/>
    <m/>
    <s v="Gap"/>
    <s v="Provence-Alpes-Côte d'Azur"/>
    <s v="France"/>
    <x v="2"/>
    <s v="Europe"/>
    <s v="OFF-AP-3570"/>
    <x v="2"/>
    <s v="Appliances"/>
    <s v="Breville Microwave, Black"/>
    <n v="1355.13"/>
    <n v="5"/>
    <n v="0.1"/>
    <n v="-60.27"/>
    <n v="218.75"/>
    <s v="High"/>
    <n v="6775.6500000000005"/>
    <n v="6.7756500000000006"/>
    <n v="6550.124350000001"/>
  </r>
  <r>
    <n v="36551"/>
    <s v="CA-2013-AH10195140-41338"/>
    <d v="2013-03-05T00:00:00"/>
    <d v="2013-03-07T00:00:00"/>
    <s v="Second Class"/>
    <s v="AH-101951406"/>
    <s v="Alan Haines"/>
    <x v="1"/>
    <n v="18018"/>
    <s v="Bethlehem"/>
    <s v="Pennsylvania"/>
    <s v="United States"/>
    <x v="14"/>
    <s v="USCA"/>
    <s v="FUR-CH-6016"/>
    <x v="1"/>
    <s v="Chairs"/>
    <s v="Situations Contoured Folding Chairs, 4/Set"/>
    <n v="99.37"/>
    <n v="2"/>
    <n v="0.3"/>
    <n v="-7.1"/>
    <n v="10.79"/>
    <s v="High"/>
    <n v="198.74"/>
    <n v="0.59621999999999997"/>
    <n v="187.35378000000003"/>
  </r>
  <r>
    <n v="25575"/>
    <s v="IN-2014-PF1912027-41916"/>
    <d v="2014-10-04T00:00:00"/>
    <d v="2014-10-08T00:00:00"/>
    <s v="Standard Class"/>
    <s v="PF-1912027"/>
    <s v="Peter Fuller"/>
    <x v="0"/>
    <m/>
    <s v="Shuangcheng"/>
    <s v="Heilongjiang"/>
    <s v="China"/>
    <x v="8"/>
    <s v="Asia Pacific"/>
    <s v="FUR-CH-5441"/>
    <x v="1"/>
    <s v="Chairs"/>
    <s v="Office Star Executive Leather Armchair, Adjustable"/>
    <n v="2819.52"/>
    <n v="6"/>
    <n v="0"/>
    <n v="338.22"/>
    <n v="218.16"/>
    <s v="Medium"/>
    <n v="16917.12"/>
    <n v="0"/>
    <n v="16698.96"/>
  </r>
  <r>
    <n v="23248"/>
    <s v="IN-2013-NL1831027-41586"/>
    <d v="2013-11-08T00:00:00"/>
    <d v="2013-11-15T00:00:00"/>
    <s v="Standard Class"/>
    <s v="NL-1831027"/>
    <s v="Nancy Lomonaco"/>
    <x v="2"/>
    <m/>
    <s v="Shenzhen"/>
    <s v="Guangdong"/>
    <s v="China"/>
    <x v="8"/>
    <s v="Asia Pacific"/>
    <s v="TEC-PH-5267"/>
    <x v="0"/>
    <s v="Phones"/>
    <s v="Motorola Smart Phone, Cordless"/>
    <n v="2571.12"/>
    <n v="4"/>
    <n v="0"/>
    <n v="102.84"/>
    <n v="217.64"/>
    <s v="Low"/>
    <n v="10284.48"/>
    <n v="0"/>
    <n v="10066.84"/>
  </r>
  <r>
    <n v="42735"/>
    <s v="CT-2013-SC1072524-41301"/>
    <d v="2013-01-27T00:00:00"/>
    <d v="2013-01-29T00:00:00"/>
    <s v="Second Class"/>
    <s v="SC-1072524"/>
    <s v="Steven Cartwright"/>
    <x v="0"/>
    <m/>
    <s v="Bangui"/>
    <s v="Bangui"/>
    <s v="Central African Republic"/>
    <x v="16"/>
    <s v="Africa"/>
    <s v="TEC-AC-5224"/>
    <x v="0"/>
    <s v="Accessories"/>
    <s v="Memorex Router, Erganomic"/>
    <n v="976.08"/>
    <n v="4"/>
    <n v="0"/>
    <n v="292.8"/>
    <n v="217.62"/>
    <s v="Critical"/>
    <n v="3904.32"/>
    <n v="0"/>
    <n v="3686.7000000000003"/>
  </r>
  <r>
    <n v="30649"/>
    <s v="IN-2013-CA1226592-41627"/>
    <d v="2013-12-19T00:00:00"/>
    <d v="2013-12-22T00:00:00"/>
    <s v="Second Class"/>
    <s v="CA-1226592"/>
    <s v="Christina Anderson"/>
    <x v="0"/>
    <m/>
    <s v="Hastings"/>
    <s v="Hawke's Bay"/>
    <s v="New Zealand"/>
    <x v="1"/>
    <s v="Asia Pacific"/>
    <s v="TEC-PH-3803"/>
    <x v="0"/>
    <s v="Phones"/>
    <s v="Cisco Signal Booster, with Caller ID"/>
    <n v="607.32000000000005"/>
    <n v="4"/>
    <n v="0"/>
    <n v="115.32"/>
    <n v="217.39"/>
    <s v="Critical"/>
    <n v="2429.2800000000002"/>
    <n v="0"/>
    <n v="2211.8900000000003"/>
  </r>
  <r>
    <n v="42998"/>
    <s v="CA-2012-AH19523-41129"/>
    <d v="2012-08-08T00:00:00"/>
    <d v="2012-08-12T00:00:00"/>
    <s v="Standard Class"/>
    <s v="AH-19523"/>
    <s v="Alan Haines"/>
    <x v="1"/>
    <m/>
    <s v="Waterloo"/>
    <s v="Ontario"/>
    <s v="Canada"/>
    <x v="21"/>
    <s v="USCA"/>
    <s v="OFF-EN-3089"/>
    <x v="2"/>
    <s v="Envelopes"/>
    <s v="Ames Business Envelopes, Security-Tint"/>
    <n v="87.84"/>
    <n v="6"/>
    <n v="0"/>
    <n v="29.7"/>
    <n v="7.97"/>
    <s v="Medium"/>
    <n v="527.04"/>
    <n v="0"/>
    <n v="519.06999999999994"/>
  </r>
  <r>
    <n v="8348"/>
    <s v="US-2015-AG1052582-42355"/>
    <d v="2015-12-17T00:00:00"/>
    <d v="2015-12-21T00:00:00"/>
    <s v="Standard Class"/>
    <s v="AG-1052582"/>
    <s v="Andy Gerbode"/>
    <x v="1"/>
    <m/>
    <s v="Irapuato"/>
    <s v="Guanajuato"/>
    <s v="Mexico"/>
    <x v="13"/>
    <s v="LATAM"/>
    <s v="FUR-CH-4654"/>
    <x v="1"/>
    <s v="Chairs"/>
    <s v="Hon Executive Leather Armchair, Adjustable"/>
    <n v="1697.58"/>
    <n v="7"/>
    <n v="0.2"/>
    <n v="-63.76"/>
    <n v="217.02799999999999"/>
    <s v="High"/>
    <n v="11883.06"/>
    <n v="23.766120000000001"/>
    <n v="11642.265879999999"/>
  </r>
  <r>
    <n v="25630"/>
    <s v="IN-2012-PL1892527-41228"/>
    <d v="2012-11-15T00:00:00"/>
    <d v="2012-11-21T00:00:00"/>
    <s v="Standard Class"/>
    <s v="PL-1892527"/>
    <s v="Paul Lucas"/>
    <x v="2"/>
    <m/>
    <s v="Xinyi"/>
    <s v="Guangdong"/>
    <s v="China"/>
    <x v="8"/>
    <s v="Asia Pacific"/>
    <s v="FUR-BO-3627"/>
    <x v="1"/>
    <s v="Bookcases"/>
    <s v="Bush Classic Bookcase, Traditional"/>
    <n v="2063.4"/>
    <n v="5"/>
    <n v="0"/>
    <n v="123.75"/>
    <n v="216.99"/>
    <s v="Low"/>
    <n v="10317"/>
    <n v="0"/>
    <n v="10100.01"/>
  </r>
  <r>
    <n v="18948"/>
    <s v="ES-2014-AB1001545-41930"/>
    <d v="2014-10-18T00:00:00"/>
    <d v="2014-10-20T00:00:00"/>
    <s v="Second Class"/>
    <s v="AB-1001545"/>
    <s v="Aaron Bergman"/>
    <x v="0"/>
    <m/>
    <s v="Marseille"/>
    <s v="Provence-Alpes-Côte d'Azur"/>
    <s v="France"/>
    <x v="2"/>
    <s v="Europe"/>
    <s v="TEC-CO-4785"/>
    <x v="0"/>
    <s v="Copiers"/>
    <s v="HP Personal Copier, Digital"/>
    <n v="632.04"/>
    <n v="6"/>
    <n v="0.15"/>
    <n v="7.26"/>
    <n v="216.8"/>
    <s v="Critical"/>
    <n v="3792.24"/>
    <n v="5.6883599999999994"/>
    <n v="3569.7516399999995"/>
  </r>
  <r>
    <n v="28056"/>
    <s v="IN-2015-TS2150527-42286"/>
    <d v="2015-10-09T00:00:00"/>
    <d v="2015-10-13T00:00:00"/>
    <s v="Standard Class"/>
    <s v="TS-2150527"/>
    <s v="Tony Sayre"/>
    <x v="0"/>
    <m/>
    <s v="Beijing"/>
    <s v="Beijing"/>
    <s v="China"/>
    <x v="8"/>
    <s v="Asia Pacific"/>
    <s v="FUR-BO-3625"/>
    <x v="1"/>
    <s v="Bookcases"/>
    <s v="Bush Classic Bookcase, Mobile"/>
    <n v="2906.4"/>
    <n v="7"/>
    <n v="0"/>
    <n v="1220.52"/>
    <n v="216.07"/>
    <s v="High"/>
    <n v="20344.8"/>
    <n v="0"/>
    <n v="20128.73"/>
  </r>
  <r>
    <n v="22551"/>
    <s v="IN-2015-MG1814558-42087"/>
    <d v="2015-03-24T00:00:00"/>
    <d v="2015-03-30T00:00:00"/>
    <s v="Standard Class"/>
    <s v="MG-1814558"/>
    <s v="Mike Gockenbach"/>
    <x v="0"/>
    <m/>
    <s v="Bhilwara"/>
    <s v="Rajasthan"/>
    <s v="India"/>
    <x v="5"/>
    <s v="Asia Pacific"/>
    <s v="FUR-TA-5060"/>
    <x v="1"/>
    <s v="Tables"/>
    <s v="Lesro Conference Table, with Bottom Storage"/>
    <n v="2572.7399999999998"/>
    <n v="3"/>
    <n v="0"/>
    <n v="1080.54"/>
    <n v="216.06"/>
    <s v="Medium"/>
    <n v="7718.2199999999993"/>
    <n v="0"/>
    <n v="7502.1599999999989"/>
  </r>
  <r>
    <n v="34645"/>
    <s v="CA-2015-AH10195140-42314"/>
    <d v="2015-11-06T00:00:00"/>
    <d v="2015-11-08T00:00:00"/>
    <s v="First Class"/>
    <s v="AH-101951402"/>
    <s v="Alan Haines"/>
    <x v="1"/>
    <n v="60623"/>
    <s v="Chicago"/>
    <s v="Illinois"/>
    <s v="United States"/>
    <x v="0"/>
    <s v="USCA"/>
    <s v="OFF-BI-3308"/>
    <x v="2"/>
    <s v="Binders"/>
    <s v="Avery Recycled Flexi-View Covers for Binding Systems"/>
    <n v="16.03"/>
    <n v="5"/>
    <n v="0.8"/>
    <n v="-25.65"/>
    <n v="2.16"/>
    <s v="Critical"/>
    <n v="80.150000000000006"/>
    <n v="0.64119999999999999"/>
    <n v="77.348800000000011"/>
  </r>
  <r>
    <n v="18825"/>
    <s v="ES-2013-RD1958514-41639"/>
    <d v="2013-12-31T00:00:00"/>
    <d v="2014-01-03T00:00:00"/>
    <s v="Second Class"/>
    <s v="RD-1958514"/>
    <s v="Rob Dowd"/>
    <x v="0"/>
    <m/>
    <s v="Antwerp"/>
    <s v="Antwerp"/>
    <s v="Belgium"/>
    <x v="2"/>
    <s v="Europe"/>
    <s v="OFF-AP-4961"/>
    <x v="2"/>
    <s v="Appliances"/>
    <s v="KitchenAid Refrigerator, Red"/>
    <n v="1583.82"/>
    <n v="3"/>
    <n v="0"/>
    <n v="126.63"/>
    <n v="215.73"/>
    <s v="Medium"/>
    <n v="4751.46"/>
    <n v="0"/>
    <n v="4535.7300000000005"/>
  </r>
  <r>
    <n v="36699"/>
    <s v="CA-2015-AH10195140-42241"/>
    <d v="2015-08-25T00:00:00"/>
    <d v="2015-08-30T00:00:00"/>
    <s v="Standard Class"/>
    <s v="AH-101951406"/>
    <s v="Alan Haines"/>
    <x v="1"/>
    <n v="10024"/>
    <s v="New York City"/>
    <s v="New York"/>
    <s v="United States"/>
    <x v="14"/>
    <s v="USCA"/>
    <s v="OFF-BI-3983"/>
    <x v="2"/>
    <s v="Binders"/>
    <s v="DXL Angle-View Binders with Locking Rings by Samsill"/>
    <n v="24.67"/>
    <n v="4"/>
    <n v="0.2"/>
    <n v="7.71"/>
    <n v="1.62"/>
    <s v="Medium"/>
    <n v="98.68"/>
    <n v="0.19736000000000004"/>
    <n v="96.862639999999999"/>
  </r>
  <r>
    <n v="30148"/>
    <s v="ID-2015-BD116057-42103"/>
    <d v="2015-04-09T00:00:00"/>
    <d v="2015-04-13T00:00:00"/>
    <s v="Standard Class"/>
    <s v="BD-116057"/>
    <s v="Brian Dahlen"/>
    <x v="0"/>
    <m/>
    <s v="Newcastle"/>
    <s v="New South Wales"/>
    <s v="Australia"/>
    <x v="1"/>
    <s v="Asia Pacific"/>
    <s v="FUR-CH-5380"/>
    <x v="1"/>
    <s v="Chairs"/>
    <s v="Novimex Executive Leather Armchair, Red"/>
    <n v="1656.72"/>
    <n v="4"/>
    <n v="0.1"/>
    <n v="-110.52"/>
    <n v="215.54"/>
    <s v="High"/>
    <n v="6626.88"/>
    <n v="6.6268800000000008"/>
    <n v="6404.7131200000003"/>
  </r>
  <r>
    <n v="23432"/>
    <s v="IN-2015-PB191057-42281"/>
    <d v="2015-10-04T00:00:00"/>
    <d v="2015-10-05T00:00:00"/>
    <s v="First Class"/>
    <s v="PB-191057"/>
    <s v="Peter Bühler"/>
    <x v="0"/>
    <m/>
    <s v="Orange"/>
    <s v="New South Wales"/>
    <s v="Australia"/>
    <x v="1"/>
    <s v="Asia Pacific"/>
    <s v="TEC-CO-4578"/>
    <x v="0"/>
    <s v="Copiers"/>
    <s v="Hewlett Fax Machine, Laser"/>
    <n v="2015.5"/>
    <n v="7"/>
    <n v="0.1"/>
    <n v="850.84"/>
    <n v="215.4"/>
    <s v="Medium"/>
    <n v="14108.5"/>
    <n v="14.108500000000001"/>
    <n v="13878.9915"/>
  </r>
  <r>
    <n v="18041"/>
    <s v="ES-2013-AB10150120-41588"/>
    <d v="2013-11-10T00:00:00"/>
    <d v="2013-11-17T00:00:00"/>
    <s v="Standard Class"/>
    <s v="AB-10150120"/>
    <s v="Aimee Bixby"/>
    <x v="0"/>
    <m/>
    <s v="Barcelona"/>
    <s v="Catalonia"/>
    <s v="Spain"/>
    <x v="9"/>
    <s v="Europe"/>
    <s v="TEC-MA-4199"/>
    <x v="0"/>
    <s v="Machines"/>
    <s v="Epson Inkjet, Wireless"/>
    <n v="2219.1799999999998"/>
    <n v="8"/>
    <n v="0.1"/>
    <n v="24.62"/>
    <n v="215.35"/>
    <s v="Medium"/>
    <n v="17753.439999999999"/>
    <n v="17.753440000000001"/>
    <n v="17520.33656"/>
  </r>
  <r>
    <n v="31072"/>
    <s v="IN-2015-GK1462092-42294"/>
    <d v="2015-10-17T00:00:00"/>
    <d v="2015-10-20T00:00:00"/>
    <s v="Second Class"/>
    <s v="GK-1462092"/>
    <s v="Grace Kelly"/>
    <x v="1"/>
    <m/>
    <s v="Napier"/>
    <s v="Hawke's Bay"/>
    <s v="New Zealand"/>
    <x v="1"/>
    <s v="Asia Pacific"/>
    <s v="TEC-CO-3597"/>
    <x v="0"/>
    <s v="Copiers"/>
    <s v="Brother Fax Machine, High-Speed"/>
    <n v="2533.92"/>
    <n v="8"/>
    <n v="0"/>
    <n v="278.64"/>
    <n v="215.33"/>
    <s v="Medium"/>
    <n v="20271.36"/>
    <n v="0"/>
    <n v="20056.03"/>
  </r>
  <r>
    <n v="4203"/>
    <s v="US-2015-SC2057582-42342"/>
    <d v="2015-12-04T00:00:00"/>
    <d v="2015-12-07T00:00:00"/>
    <s v="Second Class"/>
    <s v="SC-2057582"/>
    <s v="Sonia Cooley"/>
    <x v="0"/>
    <m/>
    <s v="Torreón"/>
    <s v="Coahuila"/>
    <s v="Mexico"/>
    <x v="13"/>
    <s v="LATAM"/>
    <s v="FUR-TA-4712"/>
    <x v="1"/>
    <s v="Tables"/>
    <s v="Hon Wood Table, Rectangular"/>
    <n v="1410.4"/>
    <n v="5"/>
    <n v="0.2"/>
    <n v="-88.2"/>
    <n v="215.12799999999999"/>
    <s v="Critical"/>
    <n v="7052"/>
    <n v="14.104000000000001"/>
    <n v="6822.768"/>
  </r>
  <r>
    <n v="24711"/>
    <s v="IN-2013-CC1247566-41572"/>
    <d v="2013-10-25T00:00:00"/>
    <d v="2013-10-25T00:00:00"/>
    <s v="Same Day"/>
    <s v="CC-1247566"/>
    <s v="Cindy Chapman"/>
    <x v="0"/>
    <m/>
    <s v="Noda"/>
    <s v="Chiba"/>
    <s v="Japan"/>
    <x v="8"/>
    <s v="Asia Pacific"/>
    <s v="FUR-TA-3762"/>
    <x v="1"/>
    <s v="Tables"/>
    <s v="Chromcraft Computer Table, with Bottom Storage"/>
    <n v="1773.72"/>
    <n v="5"/>
    <n v="0.2"/>
    <n v="44.22"/>
    <n v="215"/>
    <s v="High"/>
    <n v="8868.6"/>
    <n v="17.737200000000001"/>
    <n v="8635.8628000000008"/>
  </r>
  <r>
    <n v="50607"/>
    <s v="BN-2012-DO343515-41172"/>
    <d v="2012-09-20T00:00:00"/>
    <d v="2012-09-25T00:00:00"/>
    <s v="Standard Class"/>
    <s v="DO-343515"/>
    <s v="Denny Ordway"/>
    <x v="0"/>
    <m/>
    <s v="Porto-Novo"/>
    <s v="Ouémé"/>
    <s v="Benin"/>
    <x v="3"/>
    <s v="Africa"/>
    <s v="TEC-PH-5351"/>
    <x v="0"/>
    <s v="Phones"/>
    <s v="Nokia Signal Booster, Full Size"/>
    <n v="1377.9"/>
    <n v="10"/>
    <n v="0"/>
    <n v="289.2"/>
    <n v="214.97"/>
    <s v="High"/>
    <n v="13779"/>
    <n v="0"/>
    <n v="13564.03"/>
  </r>
  <r>
    <n v="1815"/>
    <s v="MX-2012-NS1850582-41223"/>
    <d v="2012-11-10T00:00:00"/>
    <d v="2012-11-17T00:00:00"/>
    <s v="Standard Class"/>
    <s v="NS-1850582"/>
    <s v="Neola Schneider"/>
    <x v="0"/>
    <m/>
    <s v="Puebla"/>
    <s v="Puebla"/>
    <s v="Mexico"/>
    <x v="13"/>
    <s v="LATAM"/>
    <s v="TEC-PH-5269"/>
    <x v="0"/>
    <s v="Phones"/>
    <s v="Motorola Smart Phone, with Caller ID"/>
    <n v="2582.16"/>
    <n v="6"/>
    <n v="0"/>
    <n v="516.36"/>
    <n v="214.88300000000001"/>
    <s v="Medium"/>
    <n v="15492.96"/>
    <n v="0"/>
    <n v="15278.076999999999"/>
  </r>
  <r>
    <n v="36275"/>
    <s v="CA-2013-AH10210140-41615"/>
    <d v="2013-12-07T00:00:00"/>
    <d v="2013-12-09T00:00:00"/>
    <s v="First Class"/>
    <s v="AH-102101406"/>
    <s v="Alan Hwang"/>
    <x v="0"/>
    <n v="10024"/>
    <s v="New York City"/>
    <s v="New York"/>
    <s v="United States"/>
    <x v="14"/>
    <s v="USCA"/>
    <s v="TEC-PH-3966"/>
    <x v="0"/>
    <s v="Phones"/>
    <s v="Digium D40 VoIP phone"/>
    <n v="773.94"/>
    <n v="6"/>
    <n v="0"/>
    <n v="224.44"/>
    <n v="121.91"/>
    <s v="Medium"/>
    <n v="4643.6400000000003"/>
    <n v="0"/>
    <n v="4521.7300000000005"/>
  </r>
  <r>
    <n v="16407"/>
    <s v="IT-2013-TS2143045-41346"/>
    <d v="2013-03-13T00:00:00"/>
    <d v="2013-03-15T00:00:00"/>
    <s v="Second Class"/>
    <s v="TS-2143045"/>
    <s v="Tom Stivers"/>
    <x v="1"/>
    <m/>
    <s v="Outreau"/>
    <s v="Nord-Pas-de-Calais-Picardie"/>
    <s v="France"/>
    <x v="2"/>
    <s v="Europe"/>
    <s v="TEC-PH-3784"/>
    <x v="0"/>
    <s v="Phones"/>
    <s v="Cisco Audio Dock, Cordless"/>
    <n v="1257.46"/>
    <n v="8"/>
    <n v="0.15"/>
    <n v="-29.66"/>
    <n v="214.54"/>
    <s v="High"/>
    <n v="10059.68"/>
    <n v="15.08952"/>
    <n v="9830.0504799999999"/>
  </r>
  <r>
    <n v="33778"/>
    <s v="CA-2015-AH10210140-42363"/>
    <d v="2015-12-25T00:00:00"/>
    <d v="2016-01-01T00:00:00"/>
    <s v="Standard Class"/>
    <s v="AH-102101404"/>
    <s v="Alan Hwang"/>
    <x v="0"/>
    <n v="98105"/>
    <s v="Seattle"/>
    <s v="Washington"/>
    <s v="United States"/>
    <x v="4"/>
    <s v="USCA"/>
    <s v="OFF-ST-5422"/>
    <x v="2"/>
    <s v="Storage"/>
    <s v="Office Impressions Heavy Duty Welded Shelving &amp; Multimedia Storage Drawers"/>
    <n v="1003.62"/>
    <n v="6"/>
    <n v="0"/>
    <n v="0"/>
    <n v="121.83"/>
    <s v="Low"/>
    <n v="6021.72"/>
    <n v="0"/>
    <n v="5899.89"/>
  </r>
  <r>
    <n v="767"/>
    <s v="MX-2012-AZ1075093-41271"/>
    <d v="2012-12-28T00:00:00"/>
    <d v="2012-12-30T00:00:00"/>
    <s v="Second Class"/>
    <s v="AZ-1075093"/>
    <s v="Annie Zypern"/>
    <x v="0"/>
    <m/>
    <s v="León"/>
    <s v="León"/>
    <s v="Nicaragua"/>
    <x v="13"/>
    <s v="LATAM"/>
    <s v="FUR-CH-5378"/>
    <x v="1"/>
    <s v="Chairs"/>
    <s v="Novimex Executive Leather Armchair, Adjustable"/>
    <n v="2429.44"/>
    <n v="8"/>
    <n v="0"/>
    <n v="534.4"/>
    <n v="214.422"/>
    <s v="Medium"/>
    <n v="19435.52"/>
    <n v="0"/>
    <n v="19221.098000000002"/>
  </r>
  <r>
    <n v="40387"/>
    <s v="US-2015-AH10210140-42291"/>
    <d v="2015-10-14T00:00:00"/>
    <d v="2015-10-16T00:00:00"/>
    <s v="First Class"/>
    <s v="AH-102101408"/>
    <s v="Alan Hwang"/>
    <x v="0"/>
    <n v="40214"/>
    <s v="Louisville"/>
    <s v="Kentucky"/>
    <s v="United States"/>
    <x v="18"/>
    <s v="USCA"/>
    <s v="OFF-ST-6315"/>
    <x v="2"/>
    <s v="Storage"/>
    <s v="Trav-L-File Heavy-Duty Shuttle II, Black"/>
    <n v="348.56"/>
    <n v="8"/>
    <n v="0"/>
    <n v="104.57"/>
    <n v="116.69"/>
    <s v="High"/>
    <n v="2788.48"/>
    <n v="0"/>
    <n v="2671.79"/>
  </r>
  <r>
    <n v="15424"/>
    <s v="ES-2015-IG1508545-42032"/>
    <d v="2015-01-28T00:00:00"/>
    <d v="2015-02-04T00:00:00"/>
    <s v="Standard Class"/>
    <s v="IG-1508545"/>
    <s v="Ivan Gibson"/>
    <x v="0"/>
    <m/>
    <s v="Bourg-en-Bresse"/>
    <s v="Auvergne-Rhône-Alpes"/>
    <s v="France"/>
    <x v="2"/>
    <s v="Europe"/>
    <s v="FUR-BO-3901"/>
    <x v="1"/>
    <s v="Bookcases"/>
    <s v="Dania Library with Doors, Metal"/>
    <n v="977.02"/>
    <n v="3"/>
    <n v="0.1"/>
    <n v="271.33"/>
    <n v="214.21"/>
    <s v="Low"/>
    <n v="2931.06"/>
    <n v="2.93106"/>
    <n v="2713.91894"/>
  </r>
  <r>
    <n v="15440"/>
    <s v="IT-2014-SP2086045-41956"/>
    <d v="2014-11-13T00:00:00"/>
    <d v="2014-11-18T00:00:00"/>
    <s v="Standard Class"/>
    <s v="SP-2086045"/>
    <s v="Sung Pak"/>
    <x v="1"/>
    <m/>
    <s v="Mulhouse"/>
    <s v="Alsace-Champagne-Ardenne-Lorraine"/>
    <s v="France"/>
    <x v="2"/>
    <s v="Europe"/>
    <s v="FUR-CH-5774"/>
    <x v="1"/>
    <s v="Chairs"/>
    <s v="SAFCO Executive Leather Armchair, Black"/>
    <n v="2891.7"/>
    <n v="7"/>
    <n v="0.1"/>
    <n v="1188.81"/>
    <n v="214.13"/>
    <s v="Medium"/>
    <n v="20241.899999999998"/>
    <n v="20.241899999999998"/>
    <n v="20007.528099999996"/>
  </r>
  <r>
    <n v="40570"/>
    <s v="CA-2015-AH10210140-42250"/>
    <d v="2015-09-03T00:00:00"/>
    <d v="2015-09-07T00:00:00"/>
    <s v="Standard Class"/>
    <s v="AH-102101408"/>
    <s v="Alan Hwang"/>
    <x v="0"/>
    <n v="42420"/>
    <s v="Henderson"/>
    <s v="Kentucky"/>
    <s v="United States"/>
    <x v="18"/>
    <s v="USCA"/>
    <s v="OFF-BI-4338"/>
    <x v="2"/>
    <s v="Binders"/>
    <s v="GBC DocuBind 300 Electric Binding Machine"/>
    <n v="1577.94"/>
    <n v="3"/>
    <n v="0"/>
    <n v="757.41"/>
    <n v="74.59"/>
    <s v="Medium"/>
    <n v="4733.82"/>
    <n v="0"/>
    <n v="4659.2299999999996"/>
  </r>
  <r>
    <n v="28058"/>
    <s v="ID-2013-KM162257-41501"/>
    <d v="2013-08-15T00:00:00"/>
    <d v="2013-08-19T00:00:00"/>
    <s v="Standard Class"/>
    <s v="KM-162257"/>
    <s v="Kalyca Meade"/>
    <x v="1"/>
    <m/>
    <s v="Geelong"/>
    <s v="Victoria"/>
    <s v="Australia"/>
    <x v="1"/>
    <s v="Asia Pacific"/>
    <s v="TEC-CO-3708"/>
    <x v="0"/>
    <s v="Copiers"/>
    <s v="Canon Wireless Fax, Digital"/>
    <n v="2042.82"/>
    <n v="6"/>
    <n v="0.1"/>
    <n v="-136.26"/>
    <n v="213.93"/>
    <s v="High"/>
    <n v="12256.92"/>
    <n v="12.256920000000001"/>
    <n v="12030.73308"/>
  </r>
  <r>
    <n v="5745"/>
    <s v="MX-2015-BS1136518-42199"/>
    <d v="2015-07-14T00:00:00"/>
    <d v="2015-07-16T00:00:00"/>
    <s v="First Class"/>
    <s v="BS-1136518"/>
    <s v="Bill Shonely"/>
    <x v="1"/>
    <m/>
    <s v="Americana"/>
    <s v="São Paulo"/>
    <s v="Brazil"/>
    <x v="7"/>
    <s v="LATAM"/>
    <s v="TEC-CO-4776"/>
    <x v="0"/>
    <s v="Copiers"/>
    <s v="HP Fax Machine, Laser"/>
    <n v="997.8"/>
    <n v="5"/>
    <n v="2E-3"/>
    <n v="327.9"/>
    <n v="213.77500000000001"/>
    <s v="High"/>
    <n v="4989"/>
    <n v="9.9779999999999994E-2"/>
    <n v="4775.1252200000008"/>
  </r>
  <r>
    <n v="22197"/>
    <s v="IN-2013-TC211457-41286"/>
    <d v="2013-01-12T00:00:00"/>
    <d v="2013-01-17T00:00:00"/>
    <s v="Standard Class"/>
    <s v="TC-211457"/>
    <s v="Theresa Coyne"/>
    <x v="1"/>
    <m/>
    <s v="Melbourne"/>
    <s v="Victoria"/>
    <s v="Australia"/>
    <x v="1"/>
    <s v="Asia Pacific"/>
    <s v="TEC-MA-5499"/>
    <x v="0"/>
    <s v="Machines"/>
    <s v="Okidata Card Printer, White"/>
    <n v="1411.34"/>
    <n v="9"/>
    <n v="0.1"/>
    <n v="486.05"/>
    <n v="213.5"/>
    <s v="High"/>
    <n v="12702.06"/>
    <n v="12.702060000000001"/>
    <n v="12475.85794"/>
  </r>
  <r>
    <n v="43214"/>
    <s v="IR-2013-KM672060-41389"/>
    <d v="2013-04-25T00:00:00"/>
    <d v="2013-04-25T00:00:00"/>
    <s v="Same Day"/>
    <s v="KM-672060"/>
    <s v="Kunst Miller"/>
    <x v="0"/>
    <m/>
    <s v="Kashan"/>
    <s v="Esfahan"/>
    <s v="Iran"/>
    <x v="5"/>
    <s v="Asia Pacific"/>
    <s v="FUR-BO-4851"/>
    <x v="1"/>
    <s v="Bookcases"/>
    <s v="Ikea Classic Bookcase, Traditional"/>
    <n v="1647"/>
    <n v="4"/>
    <n v="0"/>
    <n v="625.79999999999995"/>
    <n v="213.37"/>
    <s v="High"/>
    <n v="6588"/>
    <n v="0"/>
    <n v="6374.63"/>
  </r>
  <r>
    <n v="23694"/>
    <s v="ID-2014-AH105857-41926"/>
    <d v="2014-10-14T00:00:00"/>
    <d v="2014-10-17T00:00:00"/>
    <s v="First Class"/>
    <s v="AH-105857"/>
    <s v="Angele Hood"/>
    <x v="0"/>
    <m/>
    <s v="Sunbury"/>
    <s v="Victoria"/>
    <s v="Australia"/>
    <x v="1"/>
    <s v="Asia Pacific"/>
    <s v="FUR-BO-3902"/>
    <x v="1"/>
    <s v="Bookcases"/>
    <s v="Dania Library with Doors, Mobile"/>
    <n v="1313.71"/>
    <n v="4"/>
    <n v="0.1"/>
    <n v="102.07"/>
    <n v="213.19"/>
    <s v="Medium"/>
    <n v="5254.84"/>
    <n v="5.2548400000000006"/>
    <n v="5036.3951600000009"/>
  </r>
  <r>
    <n v="22516"/>
    <s v="IN-2013-GM144407-41401"/>
    <d v="2013-05-07T00:00:00"/>
    <d v="2013-05-10T00:00:00"/>
    <s v="First Class"/>
    <s v="GM-144407"/>
    <s v="Gary McGarr"/>
    <x v="0"/>
    <m/>
    <s v="Gold Coast"/>
    <s v="Queensland"/>
    <s v="Australia"/>
    <x v="1"/>
    <s v="Asia Pacific"/>
    <s v="TEC-CO-4792"/>
    <x v="0"/>
    <s v="Copiers"/>
    <s v="HP Wireless Fax, Laser"/>
    <n v="972.57"/>
    <n v="3"/>
    <n v="0.1"/>
    <n v="194.43"/>
    <n v="213.19"/>
    <s v="High"/>
    <n v="2917.71"/>
    <n v="2.91771"/>
    <n v="2701.6022899999998"/>
  </r>
  <r>
    <n v="23962"/>
    <s v="IN-2012-BF1097527-41128"/>
    <d v="2012-08-07T00:00:00"/>
    <d v="2012-08-07T00:00:00"/>
    <s v="Same Day"/>
    <s v="BF-1097527"/>
    <s v="Barbara Fisher"/>
    <x v="1"/>
    <m/>
    <s v="Guangzhou"/>
    <s v="Guangdong"/>
    <s v="China"/>
    <x v="8"/>
    <s v="Asia Pacific"/>
    <s v="TEC-CO-3689"/>
    <x v="0"/>
    <s v="Copiers"/>
    <s v="Canon Fax Machine, Laser"/>
    <n v="1273.56"/>
    <n v="4"/>
    <n v="0"/>
    <n v="573"/>
    <n v="213.03"/>
    <s v="Medium"/>
    <n v="5094.24"/>
    <n v="0"/>
    <n v="4881.21"/>
  </r>
  <r>
    <n v="19839"/>
    <s v="ES-2012-MM1805548-41259"/>
    <d v="2012-12-16T00:00:00"/>
    <d v="2012-12-20T00:00:00"/>
    <s v="Standard Class"/>
    <s v="MM-1805548"/>
    <s v="Michelle Moray"/>
    <x v="0"/>
    <m/>
    <s v="Herford"/>
    <s v="North Rhine-Westphalia"/>
    <s v="Germany"/>
    <x v="2"/>
    <s v="Europe"/>
    <s v="TEC-PH-5355"/>
    <x v="0"/>
    <s v="Phones"/>
    <s v="Nokia Smart Phone, Full Size"/>
    <n v="1908.18"/>
    <n v="3"/>
    <n v="0"/>
    <n v="820.44"/>
    <n v="212.94"/>
    <s v="Medium"/>
    <n v="5724.54"/>
    <n v="0"/>
    <n v="5511.6"/>
  </r>
  <r>
    <n v="37599"/>
    <s v="CA-2015-AH10210140-42332"/>
    <d v="2015-11-24T00:00:00"/>
    <d v="2015-11-28T00:00:00"/>
    <s v="Standard Class"/>
    <s v="AH-102101402"/>
    <s v="Alan Hwang"/>
    <x v="0"/>
    <n v="75220"/>
    <s v="Dallas"/>
    <s v="Texas"/>
    <s v="United States"/>
    <x v="0"/>
    <s v="USCA"/>
    <s v="TEC-PH-5560"/>
    <x v="0"/>
    <s v="Phones"/>
    <s v="Panasonic KX TS208W Corded phone"/>
    <n v="195.96"/>
    <n v="5"/>
    <n v="0.2"/>
    <n v="19.600000000000001"/>
    <n v="26.17"/>
    <s v="High"/>
    <n v="979.80000000000007"/>
    <n v="1.9596000000000005"/>
    <n v="951.67040000000009"/>
  </r>
  <r>
    <n v="24932"/>
    <s v="ID-2012-RB193607-41227"/>
    <d v="2012-11-14T00:00:00"/>
    <d v="2012-11-18T00:00:00"/>
    <s v="Standard Class"/>
    <s v="RB-193607"/>
    <s v="Raymond Buch"/>
    <x v="0"/>
    <m/>
    <s v="Cairns"/>
    <s v="Queensland"/>
    <s v="Australia"/>
    <x v="1"/>
    <s v="Asia Pacific"/>
    <s v="FUR-BO-4863"/>
    <x v="1"/>
    <s v="Bookcases"/>
    <s v="Ikea Library with Doors, Traditional"/>
    <n v="2398.37"/>
    <n v="11"/>
    <n v="0.4"/>
    <n v="-1479.13"/>
    <n v="212.87"/>
    <s v="High"/>
    <n v="26382.07"/>
    <n v="105.52828000000001"/>
    <n v="26063.671720000002"/>
  </r>
  <r>
    <n v="45596"/>
    <s v="UP-2013-NC8415137-41583"/>
    <d v="2013-11-05T00:00:00"/>
    <d v="2013-11-08T00:00:00"/>
    <s v="First Class"/>
    <s v="NC-8415137"/>
    <s v="Nathan Cano"/>
    <x v="0"/>
    <m/>
    <s v="L'viv"/>
    <s v="L'viv"/>
    <s v="Ukraine"/>
    <x v="11"/>
    <s v="Europe"/>
    <s v="TEC-MA-4193"/>
    <x v="0"/>
    <s v="Machines"/>
    <s v="Epson Card Printer, Durable"/>
    <n v="680.28"/>
    <n v="4"/>
    <n v="0"/>
    <n v="231.24"/>
    <n v="212.86"/>
    <s v="Critical"/>
    <n v="2721.12"/>
    <n v="0"/>
    <n v="2508.2599999999998"/>
  </r>
  <r>
    <n v="15270"/>
    <s v="ES-2013-GR1456096-41280"/>
    <d v="2013-01-06T00:00:00"/>
    <d v="2013-01-09T00:00:00"/>
    <s v="First Class"/>
    <s v="GR-1456096"/>
    <s v="Georgia Rosenberg"/>
    <x v="1"/>
    <m/>
    <s v="Oslo"/>
    <s v="Oslo"/>
    <s v="Norway"/>
    <x v="12"/>
    <s v="Europe"/>
    <s v="TEC-CO-4575"/>
    <x v="0"/>
    <s v="Copiers"/>
    <s v="Hewlett Fax Machine, Color"/>
    <n v="964.08"/>
    <n v="3"/>
    <n v="0"/>
    <n v="337.41"/>
    <n v="212.76"/>
    <s v="Medium"/>
    <n v="2892.2400000000002"/>
    <n v="0"/>
    <n v="2679.4800000000005"/>
  </r>
  <r>
    <n v="35712"/>
    <s v="CA-2012-AH10210140-41241"/>
    <d v="2012-11-28T00:00:00"/>
    <d v="2012-12-05T00:00:00"/>
    <s v="Standard Class"/>
    <s v="AH-102101404"/>
    <s v="Alan Hwang"/>
    <x v="0"/>
    <n v="94122"/>
    <s v="San Francisco"/>
    <s v="California"/>
    <s v="United States"/>
    <x v="4"/>
    <s v="USCA"/>
    <s v="TEC-PH-6413"/>
    <x v="0"/>
    <s v="Phones"/>
    <s v="Wilson SignalBoost 841262 DB PRO Amplifier Kit"/>
    <n v="575.91999999999996"/>
    <n v="2"/>
    <n v="0.2"/>
    <n v="71.989999999999995"/>
    <n v="17.88"/>
    <s v="Medium"/>
    <n v="1151.8399999999999"/>
    <n v="2.3036799999999999"/>
    <n v="1131.6563199999998"/>
  </r>
  <r>
    <n v="27922"/>
    <s v="IN-2012-SN207107-41174"/>
    <d v="2012-09-22T00:00:00"/>
    <d v="2012-09-26T00:00:00"/>
    <s v="Standard Class"/>
    <s v="SN-207107"/>
    <s v="Steve Nguyen"/>
    <x v="2"/>
    <m/>
    <s v="Geelong"/>
    <s v="Victoria"/>
    <s v="Australia"/>
    <x v="1"/>
    <s v="Asia Pacific"/>
    <s v="TEC-CO-4591"/>
    <x v="0"/>
    <s v="Copiers"/>
    <s v="Hewlett Wireless Fax, Digital"/>
    <n v="1709.24"/>
    <n v="5"/>
    <n v="0.1"/>
    <n v="588.74"/>
    <n v="212.72"/>
    <s v="High"/>
    <n v="8546.2000000000007"/>
    <n v="8.5462000000000007"/>
    <n v="8324.9338000000007"/>
  </r>
  <r>
    <n v="49747"/>
    <s v="IZ-2013-DL333061-41514"/>
    <d v="2013-08-28T00:00:00"/>
    <d v="2013-08-30T00:00:00"/>
    <s v="First Class"/>
    <s v="DL-333061"/>
    <s v="Denise Leinenbach"/>
    <x v="0"/>
    <m/>
    <s v="Arbil"/>
    <s v="Arbil"/>
    <s v="Iraq"/>
    <x v="6"/>
    <s v="Asia Pacific"/>
    <s v="FUR-TA-3771"/>
    <x v="1"/>
    <s v="Tables"/>
    <s v="Chromcraft Round Table, Rectangular"/>
    <n v="929.34"/>
    <n v="2"/>
    <n v="0"/>
    <n v="65.040000000000006"/>
    <n v="212.15"/>
    <s v="Medium"/>
    <n v="1858.68"/>
    <n v="0"/>
    <n v="1646.53"/>
  </r>
  <r>
    <n v="36180"/>
    <s v="CA-2015-AH10210140-42072"/>
    <d v="2015-03-09T00:00:00"/>
    <d v="2015-03-16T00:00:00"/>
    <s v="Standard Class"/>
    <s v="AH-102101404"/>
    <s v="Alan Hwang"/>
    <x v="0"/>
    <n v="92804"/>
    <s v="Anaheim"/>
    <s v="California"/>
    <s v="United States"/>
    <x v="4"/>
    <s v="USCA"/>
    <s v="OFF-BI-4485"/>
    <x v="2"/>
    <s v="Binders"/>
    <s v="Green Canvas Binder for 8-1/2&quot; x 14&quot; Sheets"/>
    <n v="171.2"/>
    <n v="5"/>
    <n v="0.2"/>
    <n v="64.2"/>
    <n v="12.9"/>
    <s v="Medium"/>
    <n v="856"/>
    <n v="1.7120000000000002"/>
    <n v="841.38800000000003"/>
  </r>
  <r>
    <n v="31562"/>
    <s v="CA-2013-AH10210140-41588"/>
    <d v="2013-11-10T00:00:00"/>
    <d v="2013-11-15T00:00:00"/>
    <s v="Standard Class"/>
    <s v="AH-102101404"/>
    <s v="Alan Hwang"/>
    <x v="0"/>
    <n v="94513"/>
    <s v="Brentwood"/>
    <s v="California"/>
    <s v="United States"/>
    <x v="4"/>
    <s v="USCA"/>
    <s v="TEC-AC-5237"/>
    <x v="0"/>
    <s v="Accessories"/>
    <s v="Microsoft Sculpt Comfort Mouse"/>
    <n v="79.900000000000006"/>
    <n v="2"/>
    <n v="0"/>
    <n v="35.159999999999997"/>
    <n v="5.46"/>
    <s v="Medium"/>
    <n v="159.80000000000001"/>
    <n v="0"/>
    <n v="154.34"/>
  </r>
  <r>
    <n v="26745"/>
    <s v="IN-2015-CJ118757-42172"/>
    <d v="2015-06-17T00:00:00"/>
    <d v="2015-06-21T00:00:00"/>
    <s v="Standard Class"/>
    <s v="CJ-118757"/>
    <s v="Carl Jackson"/>
    <x v="1"/>
    <m/>
    <s v="Brisbane"/>
    <s v="Queensland"/>
    <s v="Australia"/>
    <x v="1"/>
    <s v="Asia Pacific"/>
    <s v="TEC-CO-4592"/>
    <x v="0"/>
    <s v="Copiers"/>
    <s v="Hewlett Wireless Fax, High-Speed"/>
    <n v="2383.86"/>
    <n v="7"/>
    <n v="0.1"/>
    <n v="794.58"/>
    <n v="211.7"/>
    <s v="High"/>
    <n v="16687.02"/>
    <n v="16.687020000000004"/>
    <n v="16458.632979999998"/>
  </r>
  <r>
    <n v="16452"/>
    <s v="ES-2013-AY10555139-41430"/>
    <d v="2013-06-05T00:00:00"/>
    <d v="2013-06-11T00:00:00"/>
    <s v="Standard Class"/>
    <s v="AY-10555139"/>
    <s v="Andy Yotov"/>
    <x v="1"/>
    <m/>
    <s v="Bradford"/>
    <s v="England"/>
    <s v="United Kingdom"/>
    <x v="12"/>
    <s v="Europe"/>
    <s v="TEC-CO-3708"/>
    <x v="0"/>
    <s v="Copiers"/>
    <s v="Canon Wireless Fax, Digital"/>
    <n v="1891.5"/>
    <n v="5"/>
    <n v="0"/>
    <n v="832.2"/>
    <n v="211.56"/>
    <s v="Medium"/>
    <n v="9457.5"/>
    <n v="0"/>
    <n v="9245.94"/>
  </r>
  <r>
    <n v="7361"/>
    <s v="MX-2014-CP1234036-41762"/>
    <d v="2014-05-03T00:00:00"/>
    <d v="2014-05-04T00:00:00"/>
    <s v="First Class"/>
    <s v="CP-1234036"/>
    <s v="Christine Phan"/>
    <x v="1"/>
    <m/>
    <s v="San Pedro de Macorís"/>
    <s v="San Pedro de Macorís"/>
    <s v="Dominican Republic"/>
    <x v="15"/>
    <s v="LATAM"/>
    <s v="OFF-AP-4965"/>
    <x v="2"/>
    <s v="Appliances"/>
    <s v="KitchenAid Stove, Red"/>
    <n v="912.24"/>
    <n v="3"/>
    <n v="0.2"/>
    <n v="68.400000000000006"/>
    <n v="211.554"/>
    <s v="High"/>
    <n v="2736.7200000000003"/>
    <n v="5.4734400000000001"/>
    <n v="2519.69256"/>
  </r>
  <r>
    <n v="6274"/>
    <s v="MX-2014-MP1747093-41914"/>
    <d v="2014-10-02T00:00:00"/>
    <d v="2014-10-05T00:00:00"/>
    <s v="First Class"/>
    <s v="MP-1747093"/>
    <s v="Mark Packer"/>
    <x v="2"/>
    <m/>
    <s v="Estelí"/>
    <s v="Estelí"/>
    <s v="Nicaragua"/>
    <x v="13"/>
    <s v="LATAM"/>
    <s v="TEC-CO-6012"/>
    <x v="0"/>
    <s v="Copiers"/>
    <s v="Sharp Wireless Fax, Laser"/>
    <n v="947.22"/>
    <n v="4"/>
    <n v="2E-3"/>
    <n v="377.7"/>
    <n v="211.55199999999999"/>
    <s v="High"/>
    <n v="3788.88"/>
    <n v="7.5777600000000001E-2"/>
    <n v="3577.2522223999999"/>
  </r>
  <r>
    <n v="19775"/>
    <s v="ES-2012-PJ19015139-41257"/>
    <d v="2012-12-14T00:00:00"/>
    <d v="2012-12-18T00:00:00"/>
    <s v="Standard Class"/>
    <s v="PJ-19015139"/>
    <s v="Pauline Johnson"/>
    <x v="0"/>
    <m/>
    <s v="London"/>
    <s v="England"/>
    <s v="United Kingdom"/>
    <x v="12"/>
    <s v="Europe"/>
    <s v="FUR-BO-5761"/>
    <x v="1"/>
    <s v="Bookcases"/>
    <s v="Safco Classic Bookcase, Mobile"/>
    <n v="1983.02"/>
    <n v="5"/>
    <n v="0.1"/>
    <n v="616.82000000000005"/>
    <n v="211.36"/>
    <s v="High"/>
    <n v="9915.1"/>
    <n v="9.9151000000000007"/>
    <n v="9693.8248999999996"/>
  </r>
  <r>
    <n v="4000"/>
    <s v="MX-2013-NC1841593-41572"/>
    <d v="2013-10-25T00:00:00"/>
    <d v="2013-10-29T00:00:00"/>
    <s v="Standard Class"/>
    <s v="NC-1841593"/>
    <s v="Nathan Cano"/>
    <x v="0"/>
    <m/>
    <s v="Matagalpa"/>
    <s v="Matagalpa"/>
    <s v="Nicaragua"/>
    <x v="13"/>
    <s v="LATAM"/>
    <s v="TEC-PH-5268"/>
    <x v="0"/>
    <s v="Phones"/>
    <s v="Motorola Smart Phone, Full Size"/>
    <n v="2146.6"/>
    <n v="5"/>
    <n v="0"/>
    <n v="429.3"/>
    <n v="211.30699999999999"/>
    <s v="Medium"/>
    <n v="10733"/>
    <n v="0"/>
    <n v="10521.692999999999"/>
  </r>
  <r>
    <n v="10501"/>
    <s v="ES-2014-BV11245120-41688"/>
    <d v="2014-02-18T00:00:00"/>
    <d v="2014-02-25T00:00:00"/>
    <s v="Standard Class"/>
    <s v="BV-11245120"/>
    <s v="Benjamin Venier"/>
    <x v="1"/>
    <m/>
    <s v="San Sebastian"/>
    <s v="Basque Country"/>
    <s v="Spain"/>
    <x v="9"/>
    <s v="Europe"/>
    <s v="TEC-CO-3595"/>
    <x v="0"/>
    <s v="Copiers"/>
    <s v="Brother Fax Machine, Color"/>
    <n v="2879.82"/>
    <n v="9"/>
    <n v="0"/>
    <n v="1295.73"/>
    <n v="211.3"/>
    <s v="Medium"/>
    <n v="25918.38"/>
    <n v="0"/>
    <n v="25707.08"/>
  </r>
  <r>
    <n v="10780"/>
    <s v="ES-2015-LW1682545-42258"/>
    <d v="2015-09-11T00:00:00"/>
    <d v="2015-09-12T00:00:00"/>
    <s v="First Class"/>
    <s v="LW-1682545"/>
    <s v="Laurel Workman"/>
    <x v="1"/>
    <m/>
    <s v="Schiltigheim"/>
    <s v="Alsace-Champagne-Ardenne-Lorraine"/>
    <s v="France"/>
    <x v="2"/>
    <s v="Europe"/>
    <s v="FUR-TA-3350"/>
    <x v="1"/>
    <s v="Tables"/>
    <s v="Barricks Round Table, Rectangular"/>
    <n v="1622.01"/>
    <n v="5"/>
    <n v="0.35"/>
    <n v="-623.94000000000005"/>
    <n v="211.17"/>
    <s v="High"/>
    <n v="8110.05"/>
    <n v="28.385175"/>
    <n v="7870.4948249999998"/>
  </r>
  <r>
    <n v="17707"/>
    <s v="ES-2014-BO1142545-41927"/>
    <d v="2014-10-15T00:00:00"/>
    <d v="2014-10-19T00:00:00"/>
    <s v="Standard Class"/>
    <s v="BO-1142545"/>
    <s v="Bobby Odegard"/>
    <x v="0"/>
    <m/>
    <s v="Paris"/>
    <s v="Ile-de-France"/>
    <s v="France"/>
    <x v="2"/>
    <s v="Europe"/>
    <s v="OFF-AP-3865"/>
    <x v="2"/>
    <s v="Appliances"/>
    <s v="Cuisinart Microwave, Red"/>
    <n v="1503.68"/>
    <n v="6"/>
    <n v="0.1"/>
    <n v="284"/>
    <n v="211.16"/>
    <s v="High"/>
    <n v="9022.08"/>
    <n v="9.0220800000000008"/>
    <n v="8801.8979199999994"/>
  </r>
  <r>
    <n v="21476"/>
    <s v="ID-2014-EB1384059-41928"/>
    <d v="2014-10-16T00:00:00"/>
    <d v="2014-10-18T00:00:00"/>
    <s v="First Class"/>
    <s v="EB-1384059"/>
    <s v="Ellis Ballard"/>
    <x v="1"/>
    <m/>
    <s v="Depok"/>
    <s v="Jawa Barat"/>
    <s v="Indonesia"/>
    <x v="17"/>
    <s v="Asia Pacific"/>
    <s v="OFF-AP-3873"/>
    <x v="2"/>
    <s v="Appliances"/>
    <s v="Cuisinart Stove, Red"/>
    <n v="893.56"/>
    <n v="2"/>
    <n v="0.17"/>
    <n v="247.6"/>
    <n v="211.08"/>
    <s v="Critical"/>
    <n v="1787.12"/>
    <n v="3.0381040000000001"/>
    <n v="1573.001896"/>
  </r>
  <r>
    <n v="4020"/>
    <s v="MX-2015-SG2047031-42074"/>
    <d v="2015-03-11T00:00:00"/>
    <d v="2015-03-14T00:00:00"/>
    <s v="First Class"/>
    <s v="SG-2047031"/>
    <s v="Sheri Gordon"/>
    <x v="0"/>
    <m/>
    <s v="Consolación del Sur"/>
    <s v="Pinar del Río"/>
    <s v="Cuba"/>
    <x v="15"/>
    <s v="LATAM"/>
    <s v="FUR-TA-5060"/>
    <x v="1"/>
    <s v="Tables"/>
    <s v="Lesro Conference Table, with Bottom Storage"/>
    <n v="1143.44"/>
    <n v="2"/>
    <n v="0"/>
    <n v="320.16000000000003"/>
    <n v="210.79499999999999"/>
    <s v="Critical"/>
    <n v="2286.88"/>
    <n v="0"/>
    <n v="2076.085"/>
  </r>
  <r>
    <n v="45898"/>
    <s v="MO-2015-PO919586-42264"/>
    <d v="2015-09-17T00:00:00"/>
    <d v="2015-09-21T00:00:00"/>
    <s v="Standard Class"/>
    <s v="PO-919586"/>
    <s v="Phillina Ober"/>
    <x v="2"/>
    <m/>
    <s v="Tangier"/>
    <s v="Tanger-Tétouan"/>
    <s v="Morocco"/>
    <x v="19"/>
    <s v="Africa"/>
    <s v="TEC-CO-3707"/>
    <x v="0"/>
    <s v="Copiers"/>
    <s v="Canon Wireless Fax, Color"/>
    <n v="2280.6"/>
    <n v="6"/>
    <n v="0"/>
    <n v="136.80000000000001"/>
    <n v="210.65"/>
    <s v="Medium"/>
    <n v="13683.599999999999"/>
    <n v="0"/>
    <n v="13472.949999999999"/>
  </r>
  <r>
    <n v="8137"/>
    <s v="MX-2012-CS1184516-41216"/>
    <d v="2012-11-03T00:00:00"/>
    <d v="2012-11-05T00:00:00"/>
    <s v="Second Class"/>
    <s v="CS-1184516"/>
    <s v="Cari Sayre"/>
    <x v="1"/>
    <m/>
    <s v="Oruro"/>
    <s v="Oruro"/>
    <s v="Bolivia"/>
    <x v="7"/>
    <s v="LATAM"/>
    <s v="OFF-AP-4735"/>
    <x v="2"/>
    <s v="Appliances"/>
    <s v="Hoover Refrigerator, Black"/>
    <n v="1401.84"/>
    <n v="4"/>
    <n v="0"/>
    <n v="126.16"/>
    <n v="210.637"/>
    <s v="High"/>
    <n v="5607.36"/>
    <n v="0"/>
    <n v="5396.723"/>
  </r>
  <r>
    <n v="12242"/>
    <s v="ES-2015-KB1658548-42276"/>
    <d v="2015-09-29T00:00:00"/>
    <d v="2015-10-06T00:00:00"/>
    <s v="Standard Class"/>
    <s v="KB-1658548"/>
    <s v="Ken Black"/>
    <x v="1"/>
    <m/>
    <s v="Munich"/>
    <s v="Bavaria"/>
    <s v="Germany"/>
    <x v="2"/>
    <s v="Europe"/>
    <s v="TEC-MA-4207"/>
    <x v="0"/>
    <s v="Machines"/>
    <s v="Epson Printer, White"/>
    <n v="2088.2399999999998"/>
    <n v="8"/>
    <n v="0"/>
    <n v="83.52"/>
    <n v="210.59"/>
    <s v="Low"/>
    <n v="16705.919999999998"/>
    <n v="0"/>
    <n v="16495.329999999998"/>
  </r>
  <r>
    <n v="28853"/>
    <s v="IN-2015-EM1414058-42194"/>
    <d v="2015-07-09T00:00:00"/>
    <d v="2015-07-13T00:00:00"/>
    <s v="Standard Class"/>
    <s v="EM-1414058"/>
    <s v="Eugene Moren"/>
    <x v="2"/>
    <m/>
    <s v="Malegaon"/>
    <s v="Maharashtra"/>
    <s v="India"/>
    <x v="5"/>
    <s v="Asia Pacific"/>
    <s v="FUR-BO-3897"/>
    <x v="1"/>
    <s v="Bookcases"/>
    <s v="Dania Floating Shelf Set, Metal"/>
    <n v="2194.5300000000002"/>
    <n v="13"/>
    <n v="0"/>
    <n v="438.75"/>
    <n v="210.22"/>
    <s v="High"/>
    <n v="28528.890000000003"/>
    <n v="0"/>
    <n v="28318.670000000002"/>
  </r>
  <r>
    <n v="13781"/>
    <s v="ES-2013-KN1639048-41352"/>
    <d v="2013-03-19T00:00:00"/>
    <d v="2013-03-19T00:00:00"/>
    <s v="Same Day"/>
    <s v="KN-1639048"/>
    <s v="Katherine Nockton"/>
    <x v="1"/>
    <m/>
    <s v="Euskirchen"/>
    <s v="North Rhine-Westphalia"/>
    <s v="Germany"/>
    <x v="2"/>
    <s v="Europe"/>
    <s v="OFF-ST-5701"/>
    <x v="2"/>
    <s v="Storage"/>
    <s v="Rogers Lockers, Industrial"/>
    <n v="1527.12"/>
    <n v="8"/>
    <n v="0.1"/>
    <n v="474.96"/>
    <n v="209.96"/>
    <s v="High"/>
    <n v="12216.96"/>
    <n v="12.216959999999998"/>
    <n v="11994.78304"/>
  </r>
  <r>
    <n v="29842"/>
    <s v="IN-2014-SL2015566-41803"/>
    <d v="2014-06-13T00:00:00"/>
    <d v="2014-06-15T00:00:00"/>
    <s v="Second Class"/>
    <s v="SL-2015566"/>
    <s v="Sara Luxemburg"/>
    <x v="2"/>
    <m/>
    <s v="Sakai"/>
    <s v="Gunma"/>
    <s v="Japan"/>
    <x v="8"/>
    <s v="Asia Pacific"/>
    <s v="OFF-AP-3864"/>
    <x v="2"/>
    <s v="Appliances"/>
    <s v="Cuisinart Microwave, Black"/>
    <n v="972.62"/>
    <n v="7"/>
    <n v="0.5"/>
    <n v="-486.47"/>
    <n v="209.86"/>
    <s v="Critical"/>
    <n v="6808.34"/>
    <n v="34.041699999999999"/>
    <n v="6564.4383000000007"/>
  </r>
  <r>
    <n v="24526"/>
    <s v="IN-2014-CM1211578-41783"/>
    <d v="2014-05-24T00:00:00"/>
    <d v="2014-05-28T00:00:00"/>
    <s v="Standard Class"/>
    <s v="CM-1211578"/>
    <s v="Chad McGuire"/>
    <x v="0"/>
    <m/>
    <s v="Kota Kinabalu"/>
    <s v="Sabah"/>
    <s v="Malaysia"/>
    <x v="17"/>
    <s v="Asia Pacific"/>
    <s v="FUR-CH-5380"/>
    <x v="1"/>
    <s v="Chairs"/>
    <s v="Novimex Executive Leather Armchair, Red"/>
    <n v="2761.2"/>
    <n v="6"/>
    <n v="0"/>
    <n v="110.34"/>
    <n v="209.38"/>
    <s v="Medium"/>
    <n v="16567.199999999997"/>
    <n v="0"/>
    <n v="16357.819999999998"/>
  </r>
  <r>
    <n v="50372"/>
    <s v="RS-2012-GZ4545108-41088"/>
    <d v="2012-06-28T00:00:00"/>
    <d v="2012-07-03T00:00:00"/>
    <s v="Standard Class"/>
    <s v="GZ-4545108"/>
    <s v="George Zrebassa"/>
    <x v="1"/>
    <m/>
    <s v="Blagoveshchensk"/>
    <s v="Amur"/>
    <s v="Russia"/>
    <x v="11"/>
    <s v="Europe"/>
    <s v="FUR-BO-3626"/>
    <x v="1"/>
    <s v="Bookcases"/>
    <s v="Bush Classic Bookcase, Pine"/>
    <n v="3312.24"/>
    <n v="8"/>
    <n v="0"/>
    <n v="1622.88"/>
    <n v="209.36"/>
    <s v="Medium"/>
    <n v="26497.919999999998"/>
    <n v="0"/>
    <n v="26288.559999999998"/>
  </r>
  <r>
    <n v="1804"/>
    <s v="MX-2012-DK1298582-41256"/>
    <d v="2012-12-13T00:00:00"/>
    <d v="2012-12-13T00:00:00"/>
    <s v="Same Day"/>
    <s v="DK-1298582"/>
    <s v="Darren Koutras"/>
    <x v="0"/>
    <m/>
    <s v="Tijuana"/>
    <s v="Baja California"/>
    <s v="Mexico"/>
    <x v="13"/>
    <s v="LATAM"/>
    <s v="FUR-BO-5966"/>
    <x v="1"/>
    <s v="Bookcases"/>
    <s v="Sauder Library with Doors, Metal"/>
    <n v="825.79"/>
    <n v="4"/>
    <n v="0.2"/>
    <n v="41.23"/>
    <n v="209.316"/>
    <s v="Critical"/>
    <n v="3303.16"/>
    <n v="6.6063200000000002"/>
    <n v="3087.2376800000002"/>
  </r>
  <r>
    <n v="28537"/>
    <s v="IN-2014-DK1298558-41863"/>
    <d v="2014-08-12T00:00:00"/>
    <d v="2014-08-17T00:00:00"/>
    <s v="Standard Class"/>
    <s v="DK-1298558"/>
    <s v="Darren Koutras"/>
    <x v="0"/>
    <m/>
    <s v="Delhi"/>
    <s v="Delhi"/>
    <s v="India"/>
    <x v="5"/>
    <s v="Asia Pacific"/>
    <s v="TEC-PH-5355"/>
    <x v="0"/>
    <s v="Phones"/>
    <s v="Nokia Smart Phone, Full Size"/>
    <n v="3180.3"/>
    <n v="5"/>
    <n v="0"/>
    <n v="381.6"/>
    <n v="209.29"/>
    <s v="Medium"/>
    <n v="15901.5"/>
    <n v="0"/>
    <n v="15692.21"/>
  </r>
  <r>
    <n v="28032"/>
    <s v="IN-2013-PN1877527-41527"/>
    <d v="2013-09-10T00:00:00"/>
    <d v="2013-09-12T00:00:00"/>
    <s v="Second Class"/>
    <s v="PN-1877527"/>
    <s v="Parhena Norris"/>
    <x v="2"/>
    <m/>
    <s v="Tianjin"/>
    <s v="Tianjin"/>
    <s v="China"/>
    <x v="8"/>
    <s v="Asia Pacific"/>
    <s v="FUR-CH-5441"/>
    <x v="1"/>
    <s v="Chairs"/>
    <s v="Office Star Executive Leather Armchair, Adjustable"/>
    <n v="1860"/>
    <n v="4"/>
    <n v="0"/>
    <n v="316.2"/>
    <n v="209.07"/>
    <s v="High"/>
    <n v="7440"/>
    <n v="0"/>
    <n v="7230.93"/>
  </r>
  <r>
    <n v="22455"/>
    <s v="IN-2014-MS1798058-41801"/>
    <d v="2014-06-11T00:00:00"/>
    <d v="2014-06-17T00:00:00"/>
    <s v="Standard Class"/>
    <s v="MS-1798058"/>
    <s v="Michael Stewart"/>
    <x v="1"/>
    <m/>
    <s v="Hyderabad"/>
    <s v="Telangana"/>
    <s v="India"/>
    <x v="5"/>
    <s v="Asia Pacific"/>
    <s v="TEC-PH-5269"/>
    <x v="0"/>
    <s v="Phones"/>
    <s v="Motorola Smart Phone, with Caller ID"/>
    <n v="2582.16"/>
    <n v="4"/>
    <n v="0"/>
    <n v="361.44"/>
    <n v="208.88"/>
    <s v="Medium"/>
    <n v="10328.64"/>
    <n v="0"/>
    <n v="10119.76"/>
  </r>
  <r>
    <n v="26229"/>
    <s v="IN-2014-EH1412578-41936"/>
    <d v="2014-10-24T00:00:00"/>
    <d v="2014-10-24T00:00:00"/>
    <s v="Same Day"/>
    <s v="EH-1412578"/>
    <s v="Eugene Hildebrand"/>
    <x v="2"/>
    <m/>
    <s v="Kota Kinabalu"/>
    <s v="Sabah"/>
    <s v="Malaysia"/>
    <x v="17"/>
    <s v="Asia Pacific"/>
    <s v="TEC-PH-5246"/>
    <x v="0"/>
    <s v="Phones"/>
    <s v="Motorola Audio Dock, Cordless"/>
    <n v="881.1"/>
    <n v="5"/>
    <n v="0"/>
    <n v="184.95"/>
    <n v="208.56"/>
    <s v="High"/>
    <n v="4405.5"/>
    <n v="0"/>
    <n v="4196.9399999999996"/>
  </r>
  <r>
    <n v="14941"/>
    <s v="ES-2014-AG1090045-41801"/>
    <d v="2014-06-11T00:00:00"/>
    <d v="2014-06-15T00:00:00"/>
    <s v="Standard Class"/>
    <s v="AG-1090045"/>
    <s v="Arthur Gainer"/>
    <x v="0"/>
    <m/>
    <s v="Villeneuve-Saint-Georges"/>
    <s v="Ile-de-France"/>
    <s v="France"/>
    <x v="2"/>
    <s v="Europe"/>
    <s v="TEC-PH-5354"/>
    <x v="0"/>
    <s v="Phones"/>
    <s v="Nokia Smart Phone, Cordless"/>
    <n v="1622.18"/>
    <n v="3"/>
    <n v="0.15"/>
    <n v="324.38"/>
    <n v="208.39"/>
    <s v="High"/>
    <n v="4866.54"/>
    <n v="7.2998099999999999"/>
    <n v="4650.8501899999992"/>
  </r>
  <r>
    <n v="29434"/>
    <s v="IN-2015-BS1159066-42139"/>
    <d v="2015-05-15T00:00:00"/>
    <d v="2015-05-17T00:00:00"/>
    <s v="Second Class"/>
    <s v="BS-1159066"/>
    <s v="Brendan Sweed"/>
    <x v="1"/>
    <m/>
    <s v="Takasaki"/>
    <s v="Gunma"/>
    <s v="Japan"/>
    <x v="8"/>
    <s v="Asia Pacific"/>
    <s v="TEC-PH-3129"/>
    <x v="0"/>
    <s v="Phones"/>
    <s v="Apple Audio Dock, VoIP"/>
    <n v="1001.88"/>
    <n v="6"/>
    <n v="0"/>
    <n v="230.4"/>
    <n v="208.13"/>
    <s v="Critical"/>
    <n v="6011.28"/>
    <n v="0"/>
    <n v="5803.15"/>
  </r>
  <r>
    <n v="34752"/>
    <s v="CA-2014-AH10210140-41690"/>
    <d v="2014-02-20T00:00:00"/>
    <d v="2014-02-27T00:00:00"/>
    <s v="Standard Class"/>
    <s v="AH-102101408"/>
    <s v="Alan Hwang"/>
    <x v="0"/>
    <n v="37211"/>
    <s v="Nashville"/>
    <s v="Tennessee"/>
    <s v="United States"/>
    <x v="18"/>
    <s v="USCA"/>
    <s v="OFF-PA-6092"/>
    <x v="2"/>
    <s v="Paper"/>
    <s v="Speediset Carbonless Redi-Letter 7&quot; x 8 1/2&quot;"/>
    <n v="16.5"/>
    <n v="2"/>
    <n v="0.2"/>
    <n v="5.57"/>
    <n v="1.72"/>
    <s v="Medium"/>
    <n v="33"/>
    <n v="6.6000000000000003E-2"/>
    <n v="31.213999999999999"/>
  </r>
  <r>
    <n v="17222"/>
    <s v="ES-2012-BP11185139-41252"/>
    <d v="2012-12-09T00:00:00"/>
    <d v="2012-12-12T00:00:00"/>
    <s v="First Class"/>
    <s v="BP-11185139"/>
    <s v="Ben Peterman"/>
    <x v="1"/>
    <m/>
    <s v="London"/>
    <s v="England"/>
    <s v="United Kingdom"/>
    <x v="12"/>
    <s v="Europe"/>
    <s v="OFF-AP-4730"/>
    <x v="2"/>
    <s v="Appliances"/>
    <s v="Hoover Microwave, Black"/>
    <n v="554.53"/>
    <n v="2"/>
    <n v="0.1"/>
    <n v="-0.05"/>
    <n v="207.93"/>
    <s v="Critical"/>
    <n v="1109.06"/>
    <n v="1.1090600000000002"/>
    <n v="900.02093999999988"/>
  </r>
  <r>
    <n v="694"/>
    <s v="MX-2014-BH1171039-41930"/>
    <d v="2014-10-18T00:00:00"/>
    <d v="2014-10-22T00:00:00"/>
    <s v="Standard Class"/>
    <s v="BH-1171039"/>
    <s v="Brosina Hoffman"/>
    <x v="0"/>
    <m/>
    <s v="San Salvador"/>
    <s v="San Salvador"/>
    <s v="El Salvador"/>
    <x v="13"/>
    <s v="LATAM"/>
    <s v="TEC-PH-5841"/>
    <x v="0"/>
    <s v="Phones"/>
    <s v="Samsung Smart Phone, VoIP"/>
    <n v="2120.8000000000002"/>
    <n v="5"/>
    <n v="0"/>
    <n v="275.7"/>
    <n v="207.892"/>
    <s v="High"/>
    <n v="10604"/>
    <n v="0"/>
    <n v="10396.108"/>
  </r>
  <r>
    <n v="50567"/>
    <s v="IR-2014-AS28560-41972"/>
    <d v="2014-11-29T00:00:00"/>
    <d v="2014-12-04T00:00:00"/>
    <s v="Standard Class"/>
    <s v="AS-28560"/>
    <s v="Alejandro Savely"/>
    <x v="1"/>
    <m/>
    <s v="Khorramabad"/>
    <s v="Lorestan"/>
    <s v="Iran"/>
    <x v="5"/>
    <s v="Asia Pacific"/>
    <s v="TEC-PH-3801"/>
    <x v="0"/>
    <s v="Phones"/>
    <s v="Cisco Signal Booster, Full Size"/>
    <n v="1531.2"/>
    <n v="10"/>
    <n v="0"/>
    <n v="45.9"/>
    <n v="207.81"/>
    <s v="High"/>
    <n v="15312"/>
    <n v="0"/>
    <n v="15104.19"/>
  </r>
  <r>
    <n v="20954"/>
    <s v="IN-2013-SC2080058-41310"/>
    <d v="2013-02-05T00:00:00"/>
    <d v="2013-02-10T00:00:00"/>
    <s v="Standard Class"/>
    <s v="SC-2080058"/>
    <s v="Stuart Calhoun"/>
    <x v="0"/>
    <m/>
    <s v="Bhilai"/>
    <s v="Chhattisgarh"/>
    <s v="India"/>
    <x v="5"/>
    <s v="Asia Pacific"/>
    <s v="FUR-BO-3891"/>
    <x v="1"/>
    <s v="Bookcases"/>
    <s v="Dania Classic Bookcase, Pine"/>
    <n v="1236.33"/>
    <n v="3"/>
    <n v="0"/>
    <n v="519.21"/>
    <n v="207.44"/>
    <s v="High"/>
    <n v="3708.99"/>
    <n v="0"/>
    <n v="3501.5499999999997"/>
  </r>
  <r>
    <n v="25407"/>
    <s v="ID-2014-SV208157-41679"/>
    <d v="2014-02-09T00:00:00"/>
    <d v="2014-02-15T00:00:00"/>
    <s v="Standard Class"/>
    <s v="SV-208157"/>
    <s v="Stuart Van"/>
    <x v="1"/>
    <m/>
    <s v="Gold Coast"/>
    <s v="Queensland"/>
    <s v="Australia"/>
    <x v="1"/>
    <s v="Asia Pacific"/>
    <s v="FUR-TA-3770"/>
    <x v="1"/>
    <s v="Tables"/>
    <s v="Chromcraft Round Table, Fully Assembled"/>
    <n v="2951.99"/>
    <n v="9"/>
    <n v="0.3"/>
    <n v="-632.79999999999995"/>
    <n v="206.92"/>
    <s v="Medium"/>
    <n v="26567.909999999996"/>
    <n v="79.703729999999993"/>
    <n v="26281.286269999997"/>
  </r>
  <r>
    <n v="14954"/>
    <s v="IT-2012-MP1817545-41040"/>
    <d v="2012-05-11T00:00:00"/>
    <d v="2012-05-13T00:00:00"/>
    <s v="First Class"/>
    <s v="MP-1817545"/>
    <s v="Mike Pelletier"/>
    <x v="2"/>
    <m/>
    <s v="Bordeaux"/>
    <s v="Aquitaine-Limousin-Poitou-Charentes"/>
    <s v="France"/>
    <x v="2"/>
    <s v="Europe"/>
    <s v="FUR-TA-3780"/>
    <x v="1"/>
    <s v="Tables"/>
    <s v="Chromcraft Wood Table, with Bottom Storage"/>
    <n v="627.28"/>
    <n v="2"/>
    <n v="0.35"/>
    <n v="-135.13999999999999"/>
    <n v="206.61"/>
    <s v="Critical"/>
    <n v="1254.56"/>
    <n v="4.3909599999999998"/>
    <n v="1043.5590400000001"/>
  </r>
  <r>
    <n v="33273"/>
    <s v="CA-2012-AS10225140-41199"/>
    <d v="2012-10-17T00:00:00"/>
    <d v="2012-10-19T00:00:00"/>
    <s v="Second Class"/>
    <s v="AS-102251408"/>
    <s v="Alan Schoenberger"/>
    <x v="1"/>
    <n v="36116"/>
    <s v="Montgomery"/>
    <s v="Alabama"/>
    <s v="United States"/>
    <x v="18"/>
    <s v="USCA"/>
    <s v="TEC-PH-3183"/>
    <x v="0"/>
    <s v="Phones"/>
    <s v="Avaya IP Phone 1140E VoIP phone"/>
    <n v="1394.95"/>
    <n v="5"/>
    <n v="0"/>
    <n v="362.69"/>
    <n v="140.1"/>
    <s v="Medium"/>
    <n v="6974.75"/>
    <n v="0"/>
    <n v="6834.65"/>
  </r>
  <r>
    <n v="45019"/>
    <s v="AL-2014-TT114602-41863"/>
    <d v="2014-08-12T00:00:00"/>
    <d v="2014-08-14T00:00:00"/>
    <s v="First Class"/>
    <s v="TT-114602"/>
    <s v="Tonja Turnell"/>
    <x v="2"/>
    <m/>
    <s v="Durres"/>
    <s v="Durrës"/>
    <s v="Albania"/>
    <x v="9"/>
    <s v="Europe"/>
    <s v="TEC-PH-3818"/>
    <x v="0"/>
    <s v="Phones"/>
    <s v="Cisco Speaker Phone, with Caller ID"/>
    <n v="553.91999999999996"/>
    <n v="4"/>
    <n v="0"/>
    <n v="22.08"/>
    <n v="206.56"/>
    <s v="Critical"/>
    <n v="2215.6799999999998"/>
    <n v="0"/>
    <n v="2009.12"/>
  </r>
  <r>
    <n v="15900"/>
    <s v="ES-2015-PS1876048-42179"/>
    <d v="2015-06-24T00:00:00"/>
    <d v="2015-06-30T00:00:00"/>
    <s v="Standard Class"/>
    <s v="PS-1876048"/>
    <s v="Pamela Stobb"/>
    <x v="0"/>
    <m/>
    <s v="Frankfurt"/>
    <s v="Hesse"/>
    <s v="Germany"/>
    <x v="2"/>
    <s v="Europe"/>
    <s v="TEC-PH-5269"/>
    <x v="0"/>
    <s v="Phones"/>
    <s v="Motorola Smart Phone, with Caller ID"/>
    <n v="3873.24"/>
    <n v="6"/>
    <n v="0"/>
    <n v="890.82"/>
    <n v="206.54"/>
    <s v="Medium"/>
    <n v="23239.439999999999"/>
    <n v="0"/>
    <n v="23032.899999999998"/>
  </r>
  <r>
    <n v="23824"/>
    <s v="IN-2015-RR1952527-42035"/>
    <d v="2015-01-31T00:00:00"/>
    <d v="2015-02-01T00:00:00"/>
    <s v="First Class"/>
    <s v="RR-1952527"/>
    <s v="Rick Reed"/>
    <x v="1"/>
    <m/>
    <s v="Shanghai"/>
    <s v="Shanghai"/>
    <s v="China"/>
    <x v="8"/>
    <s v="Asia Pacific"/>
    <s v="TEC-CO-3587"/>
    <x v="0"/>
    <s v="Copiers"/>
    <s v="Brother Copy Machine, Color"/>
    <n v="791.19"/>
    <n v="3"/>
    <n v="0"/>
    <n v="126.54"/>
    <n v="206.41"/>
    <s v="Critical"/>
    <n v="2373.5700000000002"/>
    <n v="0"/>
    <n v="2167.1600000000003"/>
  </r>
  <r>
    <n v="29423"/>
    <s v="IN-2015-AC1042027-42150"/>
    <d v="2015-05-26T00:00:00"/>
    <d v="2015-05-30T00:00:00"/>
    <s v="Standard Class"/>
    <s v="AC-1042027"/>
    <s v="Alyssa Crouse"/>
    <x v="1"/>
    <m/>
    <s v="Kunming"/>
    <s v="Yunnan"/>
    <s v="China"/>
    <x v="8"/>
    <s v="Asia Pacific"/>
    <s v="FUR-BO-4851"/>
    <x v="1"/>
    <s v="Bookcases"/>
    <s v="Ikea Classic Bookcase, Traditional"/>
    <n v="2470.5"/>
    <n v="6"/>
    <n v="0"/>
    <n v="518.76"/>
    <n v="206.39"/>
    <s v="Medium"/>
    <n v="14823"/>
    <n v="0"/>
    <n v="14616.61"/>
  </r>
  <r>
    <n v="5732"/>
    <s v="MX-2012-TP2113082-41207"/>
    <d v="2012-10-25T00:00:00"/>
    <d v="2012-10-27T00:00:00"/>
    <s v="First Class"/>
    <s v="TP-2113082"/>
    <s v="Theone Pippenger"/>
    <x v="0"/>
    <m/>
    <s v="Puebla"/>
    <s v="Puebla"/>
    <s v="Mexico"/>
    <x v="13"/>
    <s v="LATAM"/>
    <s v="TEC-PH-3148"/>
    <x v="0"/>
    <s v="Phones"/>
    <s v="Apple Smart Phone, Full Size"/>
    <n v="2120.6999999999998"/>
    <n v="5"/>
    <n v="0"/>
    <n v="63.6"/>
    <n v="206.327"/>
    <s v="High"/>
    <n v="10603.5"/>
    <n v="0"/>
    <n v="10397.173000000001"/>
  </r>
  <r>
    <n v="31009"/>
    <s v="IN-2015-CG1204092-42032"/>
    <d v="2015-01-28T00:00:00"/>
    <d v="2015-01-30T00:00:00"/>
    <s v="Second Class"/>
    <s v="CG-1204092"/>
    <s v="Catherine Glotzbach"/>
    <x v="2"/>
    <m/>
    <s v="Wellington"/>
    <s v="Wellington"/>
    <s v="New Zealand"/>
    <x v="1"/>
    <s v="Asia Pacific"/>
    <s v="FUR-BO-3629"/>
    <x v="1"/>
    <s v="Bookcases"/>
    <s v="Bush Corner Shelving, Mobile"/>
    <n v="759.06"/>
    <n v="6"/>
    <n v="0"/>
    <n v="15.12"/>
    <n v="206.28"/>
    <s v="Critical"/>
    <n v="4554.3599999999997"/>
    <n v="0"/>
    <n v="4348.08"/>
  </r>
  <r>
    <n v="29026"/>
    <s v="ID-2014-BG1103527-41781"/>
    <d v="2014-05-22T00:00:00"/>
    <d v="2014-05-24T00:00:00"/>
    <s v="First Class"/>
    <s v="BG-1103527"/>
    <s v="Barry Gonzalez"/>
    <x v="0"/>
    <m/>
    <s v="Anqing"/>
    <s v="Anhui"/>
    <s v="China"/>
    <x v="8"/>
    <s v="Asia Pacific"/>
    <s v="OFF-AP-4737"/>
    <x v="2"/>
    <s v="Appliances"/>
    <s v="Hoover Refrigerator, Silver"/>
    <n v="1581.03"/>
    <n v="3"/>
    <n v="0"/>
    <n v="790.47"/>
    <n v="206.05"/>
    <s v="Critical"/>
    <n v="4743.09"/>
    <n v="0"/>
    <n v="4537.04"/>
  </r>
  <r>
    <n v="29578"/>
    <s v="ID-2012-CR12580144-41132"/>
    <d v="2012-08-11T00:00:00"/>
    <d v="2012-08-14T00:00:00"/>
    <s v="Second Class"/>
    <s v="CR-12580144"/>
    <s v="Clay Rozendal"/>
    <x v="2"/>
    <m/>
    <s v="Ho Chi Minh City"/>
    <s v="Ho Chí Minh City"/>
    <s v="Vietnam"/>
    <x v="17"/>
    <s v="Asia Pacific"/>
    <s v="TEC-CO-4570"/>
    <x v="0"/>
    <s v="Copiers"/>
    <s v="Hewlett Copy Machine, Laser"/>
    <n v="1161.2"/>
    <n v="7"/>
    <n v="0.37"/>
    <n v="-147.52000000000001"/>
    <n v="205.96"/>
    <s v="High"/>
    <n v="8128.4000000000005"/>
    <n v="30.075080000000003"/>
    <n v="7892.3649200000009"/>
  </r>
  <r>
    <n v="48962"/>
    <s v="TZ-2012-TR11325129-41031"/>
    <d v="2012-05-02T00:00:00"/>
    <d v="2012-05-04T00:00:00"/>
    <s v="First Class"/>
    <s v="TR-11325129"/>
    <s v="Toby Ritter"/>
    <x v="0"/>
    <m/>
    <s v="Dar es Salaam"/>
    <s v="Dar Es Salaam"/>
    <s v="Tanzania"/>
    <x v="10"/>
    <s v="Africa"/>
    <s v="TEC-CO-4575"/>
    <x v="0"/>
    <s v="Copiers"/>
    <s v="Hewlett Fax Machine, Color"/>
    <n v="642.72"/>
    <n v="2"/>
    <n v="0"/>
    <n v="224.94"/>
    <n v="205.74"/>
    <s v="Critical"/>
    <n v="1285.44"/>
    <n v="0"/>
    <n v="1079.7"/>
  </r>
  <r>
    <n v="7711"/>
    <s v="MX-2014-SC2044082-41877"/>
    <d v="2014-08-26T00:00:00"/>
    <d v="2014-08-27T00:00:00"/>
    <s v="First Class"/>
    <s v="SC-2044082"/>
    <s v="Shaun Chance"/>
    <x v="1"/>
    <m/>
    <s v="Victoria"/>
    <s v="Tamaulipas"/>
    <s v="Mexico"/>
    <x v="13"/>
    <s v="LATAM"/>
    <s v="TEC-PH-3807"/>
    <x v="0"/>
    <s v="Phones"/>
    <s v="Cisco Smart Phone, with Caller ID"/>
    <n v="1308.48"/>
    <n v="3"/>
    <n v="0"/>
    <n v="13.08"/>
    <n v="205.721"/>
    <s v="High"/>
    <n v="3925.44"/>
    <n v="0"/>
    <n v="3719.7190000000001"/>
  </r>
  <r>
    <n v="20937"/>
    <s v="IN-2013-CA1277558-41548"/>
    <d v="2013-10-01T00:00:00"/>
    <d v="2013-10-07T00:00:00"/>
    <s v="Standard Class"/>
    <s v="CA-1277558"/>
    <s v="Cynthia Arntzen"/>
    <x v="0"/>
    <m/>
    <s v="Delhi"/>
    <s v="Delhi"/>
    <s v="India"/>
    <x v="5"/>
    <s v="Asia Pacific"/>
    <s v="FUR-TA-3762"/>
    <x v="1"/>
    <s v="Tables"/>
    <s v="Chromcraft Computer Table, with Bottom Storage"/>
    <n v="3547.44"/>
    <n v="8"/>
    <n v="0"/>
    <n v="780.24"/>
    <n v="205.63"/>
    <s v="Medium"/>
    <n v="28379.52"/>
    <n v="0"/>
    <n v="28173.89"/>
  </r>
  <r>
    <n v="28974"/>
    <s v="IN-2014-BT1168027-41815"/>
    <d v="2014-06-25T00:00:00"/>
    <d v="2014-06-26T00:00:00"/>
    <s v="First Class"/>
    <s v="BT-1168027"/>
    <s v="Brian Thompson"/>
    <x v="0"/>
    <m/>
    <s v="Anshan"/>
    <s v="Liaoning"/>
    <s v="China"/>
    <x v="8"/>
    <s v="Asia Pacific"/>
    <s v="FUR-BO-3904"/>
    <x v="1"/>
    <s v="Bookcases"/>
    <s v="Dania Library with Doors, Traditional"/>
    <n v="724.8"/>
    <n v="2"/>
    <n v="0"/>
    <n v="333.36"/>
    <n v="205.55"/>
    <s v="High"/>
    <n v="1449.6"/>
    <n v="0"/>
    <n v="1244.05"/>
  </r>
  <r>
    <n v="33951"/>
    <s v="CA-2015-AS10225140-42265"/>
    <d v="2015-09-18T00:00:00"/>
    <d v="2015-09-22T00:00:00"/>
    <s v="Second Class"/>
    <s v="AS-102251404"/>
    <s v="Alan Schoenberger"/>
    <x v="1"/>
    <n v="84604"/>
    <s v="Provo"/>
    <s v="Utah"/>
    <s v="United States"/>
    <x v="4"/>
    <s v="USCA"/>
    <s v="FUR-BO-4391"/>
    <x v="1"/>
    <s v="Bookcases"/>
    <s v="Global Adaptabilites Bookcase, Cherry/Storm Gray Finish"/>
    <n v="1292.94"/>
    <n v="3"/>
    <n v="0"/>
    <n v="77.58"/>
    <n v="77.12"/>
    <s v="Medium"/>
    <n v="3878.82"/>
    <n v="0"/>
    <n v="3801.7000000000003"/>
  </r>
  <r>
    <n v="3117"/>
    <s v="MX-2015-CC1237026-42115"/>
    <d v="2015-04-21T00:00:00"/>
    <d v="2015-04-24T00:00:00"/>
    <s v="First Class"/>
    <s v="CC-1237026"/>
    <s v="Christopher Conant"/>
    <x v="0"/>
    <m/>
    <s v="Copiapó"/>
    <s v="Atacama"/>
    <s v="Chile"/>
    <x v="7"/>
    <s v="LATAM"/>
    <s v="FUR-CH-5394"/>
    <x v="1"/>
    <s v="Chairs"/>
    <s v="Novimex Rocking Chair, Adjustable"/>
    <n v="803.52"/>
    <n v="9"/>
    <n v="0"/>
    <n v="80.28"/>
    <n v="205.33600000000001"/>
    <s v="High"/>
    <n v="7231.68"/>
    <n v="0"/>
    <n v="7026.3440000000001"/>
  </r>
  <r>
    <n v="5005"/>
    <s v="MX-2015-DC1328582-42091"/>
    <d v="2015-03-28T00:00:00"/>
    <d v="2015-03-30T00:00:00"/>
    <s v="First Class"/>
    <s v="DC-1328582"/>
    <s v="Debra Catini"/>
    <x v="0"/>
    <m/>
    <s v="Ensenada"/>
    <s v="Baja California"/>
    <s v="Mexico"/>
    <x v="13"/>
    <s v="LATAM"/>
    <s v="FUR-TA-5067"/>
    <x v="1"/>
    <s v="Tables"/>
    <s v="Lesro Training Table, Adjustable Height"/>
    <n v="1011.7"/>
    <n v="7"/>
    <n v="0.2"/>
    <n v="126.34"/>
    <n v="205.21799999999999"/>
    <s v="High"/>
    <n v="7081.9000000000005"/>
    <n v="14.163800000000002"/>
    <n v="6862.5182000000004"/>
  </r>
  <r>
    <n v="2682"/>
    <s v="MX-2015-JE1574531-42255"/>
    <d v="2015-09-08T00:00:00"/>
    <d v="2015-09-12T00:00:00"/>
    <s v="Second Class"/>
    <s v="JE-1574531"/>
    <s v="Joel Eaton"/>
    <x v="0"/>
    <m/>
    <s v="Camagüey"/>
    <s v="Camagüey"/>
    <s v="Cuba"/>
    <x v="15"/>
    <s v="LATAM"/>
    <s v="FUR-TA-3357"/>
    <x v="1"/>
    <s v="Tables"/>
    <s v="Barricks Wood Table, Fully Assembled"/>
    <n v="2419.1999999999998"/>
    <n v="7"/>
    <n v="0"/>
    <n v="411.18"/>
    <n v="205.167"/>
    <s v="High"/>
    <n v="16934.399999999998"/>
    <n v="0"/>
    <n v="16729.232999999997"/>
  </r>
  <r>
    <n v="8146"/>
    <s v="MX-2014-DB1321036-41961"/>
    <d v="2014-11-18T00:00:00"/>
    <d v="2014-11-20T00:00:00"/>
    <s v="First Class"/>
    <s v="DB-1321036"/>
    <s v="Dean Braden"/>
    <x v="0"/>
    <m/>
    <s v="La Romana"/>
    <s v="La Romana"/>
    <s v="Dominican Republic"/>
    <x v="15"/>
    <s v="LATAM"/>
    <s v="OFF-AP-3570"/>
    <x v="2"/>
    <s v="Appliances"/>
    <s v="Breville Microwave, Black"/>
    <n v="803.04"/>
    <n v="5"/>
    <n v="0.2"/>
    <n v="180.64"/>
    <n v="205.148"/>
    <s v="High"/>
    <n v="4015.2"/>
    <n v="8.0304000000000002"/>
    <n v="3802.0215999999996"/>
  </r>
  <r>
    <n v="424"/>
    <s v="MX-2015-LS1720080-42294"/>
    <d v="2015-10-17T00:00:00"/>
    <d v="2015-10-20T00:00:00"/>
    <s v="First Class"/>
    <s v="LS-1720080"/>
    <s v="Luke Schmidt"/>
    <x v="1"/>
    <m/>
    <s v="Fort-de-France"/>
    <s v="Martinique"/>
    <s v="Martinique"/>
    <x v="15"/>
    <s v="LATAM"/>
    <s v="FUR-TA-3762"/>
    <x v="1"/>
    <s v="Tables"/>
    <s v="Chromcraft Computer Table, with Bottom Storage"/>
    <n v="1773.72"/>
    <n v="6"/>
    <n v="0"/>
    <n v="212.76"/>
    <n v="205.114"/>
    <s v="High"/>
    <n v="10642.32"/>
    <n v="0"/>
    <n v="10437.206"/>
  </r>
  <r>
    <n v="14021"/>
    <s v="ES-2013-BE11335139-41340"/>
    <d v="2013-03-07T00:00:00"/>
    <d v="2013-03-12T00:00:00"/>
    <s v="Second Class"/>
    <s v="BE-11335139"/>
    <s v="Bill Eplett"/>
    <x v="2"/>
    <m/>
    <s v="Kingswood"/>
    <s v="England"/>
    <s v="United Kingdom"/>
    <x v="12"/>
    <s v="Europe"/>
    <s v="TEC-CO-3710"/>
    <x v="0"/>
    <s v="Copiers"/>
    <s v="Canon Wireless Fax, Laser"/>
    <n v="1893.3"/>
    <n v="5"/>
    <n v="0"/>
    <n v="927.6"/>
    <n v="205.01"/>
    <s v="Medium"/>
    <n v="9466.5"/>
    <n v="0"/>
    <n v="9261.49"/>
  </r>
  <r>
    <n v="27983"/>
    <s v="IN-2013-MH180257-41443"/>
    <d v="2013-06-18T00:00:00"/>
    <d v="2013-06-20T00:00:00"/>
    <s v="Second Class"/>
    <s v="MH-180257"/>
    <s v="Michelle Huthwaite"/>
    <x v="0"/>
    <m/>
    <s v="Adelaide"/>
    <s v="South Australia"/>
    <s v="Australia"/>
    <x v="1"/>
    <s v="Asia Pacific"/>
    <s v="OFF-ST-6282"/>
    <x v="2"/>
    <s v="Storage"/>
    <s v="Tenex Trays, Industrial"/>
    <n v="689.09"/>
    <n v="14"/>
    <n v="0.1"/>
    <n v="-53.89"/>
    <n v="204.72"/>
    <s v="Critical"/>
    <n v="9647.26"/>
    <n v="9.6472600000000011"/>
    <n v="9432.8927400000011"/>
  </r>
  <r>
    <n v="13479"/>
    <s v="IT-2014-JB1592548-41789"/>
    <d v="2014-05-30T00:00:00"/>
    <d v="2014-06-04T00:00:00"/>
    <s v="Standard Class"/>
    <s v="JB-1592548"/>
    <s v="Joni Blumstein"/>
    <x v="0"/>
    <m/>
    <s v="Trier"/>
    <s v="Rhineland-Palatinate"/>
    <s v="Germany"/>
    <x v="2"/>
    <s v="Europe"/>
    <s v="TEC-PH-5268"/>
    <x v="0"/>
    <s v="Phones"/>
    <s v="Motorola Smart Phone, Full Size"/>
    <n v="2570.7600000000002"/>
    <n v="4"/>
    <n v="0"/>
    <n v="976.8"/>
    <n v="204.64"/>
    <s v="Medium"/>
    <n v="10283.040000000001"/>
    <n v="0"/>
    <n v="10078.400000000001"/>
  </r>
  <r>
    <n v="16812"/>
    <s v="ES-2014-TW21025139-41807"/>
    <d v="2014-06-17T00:00:00"/>
    <d v="2014-06-20T00:00:00"/>
    <s v="Second Class"/>
    <s v="TW-21025139"/>
    <s v="Tamara Willingham"/>
    <x v="2"/>
    <m/>
    <s v="Leeds"/>
    <s v="England"/>
    <s v="United Kingdom"/>
    <x v="12"/>
    <s v="Europe"/>
    <s v="TEC-CO-4776"/>
    <x v="0"/>
    <s v="Copiers"/>
    <s v="HP Fax Machine, Laser"/>
    <n v="1199.76"/>
    <n v="4"/>
    <n v="0"/>
    <n v="479.88"/>
    <n v="204.43"/>
    <s v="Medium"/>
    <n v="4799.04"/>
    <n v="0"/>
    <n v="4594.6099999999997"/>
  </r>
  <r>
    <n v="21554"/>
    <s v="IN-2015-GW1460527-42089"/>
    <d v="2015-03-26T00:00:00"/>
    <d v="2015-03-29T00:00:00"/>
    <s v="Second Class"/>
    <s v="GW-1460527"/>
    <s v="Giulietta Weimer"/>
    <x v="0"/>
    <m/>
    <s v="Luoyang"/>
    <s v="Guangdong"/>
    <s v="China"/>
    <x v="8"/>
    <s v="Asia Pacific"/>
    <s v="TEC-CO-6009"/>
    <x v="0"/>
    <s v="Copiers"/>
    <s v="Sharp Wireless Fax, Color"/>
    <n v="3216.24"/>
    <n v="9"/>
    <n v="0"/>
    <n v="96.39"/>
    <n v="204.36"/>
    <s v="High"/>
    <n v="28946.159999999996"/>
    <n v="0"/>
    <n v="28741.799999999996"/>
  </r>
  <r>
    <n v="1702"/>
    <s v="US-2012-SC2072518-41166"/>
    <d v="2012-09-14T00:00:00"/>
    <d v="2012-09-16T00:00:00"/>
    <s v="First Class"/>
    <s v="SC-2072518"/>
    <s v="Steven Cartwright"/>
    <x v="0"/>
    <m/>
    <s v="Petrópolis"/>
    <s v="Rio de Janeiro"/>
    <s v="Brazil"/>
    <x v="7"/>
    <s v="LATAM"/>
    <s v="FUR-TA-3341"/>
    <x v="1"/>
    <s v="Tables"/>
    <s v="Barricks Computer Table, Fully Assembled"/>
    <n v="1274.24"/>
    <n v="5"/>
    <n v="0.2"/>
    <n v="-127.46"/>
    <n v="204.31299999999999"/>
    <s v="High"/>
    <n v="6371.2"/>
    <n v="12.7424"/>
    <n v="6154.1445999999996"/>
  </r>
  <r>
    <n v="19853"/>
    <s v="ES-2013-LR1691544-41537"/>
    <d v="2013-09-20T00:00:00"/>
    <d v="2013-09-25T00:00:00"/>
    <s v="Second Class"/>
    <s v="LR-1691544"/>
    <s v="Lena Radford"/>
    <x v="0"/>
    <m/>
    <s v="Vantaa"/>
    <s v="Uusimaa"/>
    <s v="Finland"/>
    <x v="12"/>
    <s v="Europe"/>
    <s v="OFF-AP-3875"/>
    <x v="2"/>
    <s v="Appliances"/>
    <s v="Cuisinart Stove, White"/>
    <n v="2145.7199999999998"/>
    <n v="4"/>
    <n v="0"/>
    <n v="364.68"/>
    <n v="204.29"/>
    <s v="Medium"/>
    <n v="8582.8799999999992"/>
    <n v="0"/>
    <n v="8378.5899999999983"/>
  </r>
  <r>
    <n v="14079"/>
    <s v="ES-2012-FO1430545-41141"/>
    <d v="2012-08-20T00:00:00"/>
    <d v="2012-08-20T00:00:00"/>
    <s v="Same Day"/>
    <s v="FO-1430545"/>
    <s v="Frank Olsen"/>
    <x v="0"/>
    <m/>
    <s v="Noisy-le-Grand"/>
    <s v="Ile-de-France"/>
    <s v="France"/>
    <x v="2"/>
    <s v="Europe"/>
    <s v="OFF-ST-6047"/>
    <x v="2"/>
    <s v="Storage"/>
    <s v="Smead Lockers, Industrial"/>
    <n v="895.05"/>
    <n v="5"/>
    <n v="0.1"/>
    <n v="178.95"/>
    <n v="203.67"/>
    <s v="High"/>
    <n v="4475.25"/>
    <n v="4.47525"/>
    <n v="4267.1047499999995"/>
  </r>
  <r>
    <n v="47959"/>
    <s v="SY-2013-SV10815126-41541"/>
    <d v="2013-09-24T00:00:00"/>
    <d v="2013-09-28T00:00:00"/>
    <s v="Standard Class"/>
    <s v="SV-10815126"/>
    <s v="Stuart Van"/>
    <x v="1"/>
    <m/>
    <s v="Homs"/>
    <s v="Hims"/>
    <s v="Syria"/>
    <x v="6"/>
    <s v="Asia Pacific"/>
    <s v="TEC-PH-3807"/>
    <x v="0"/>
    <s v="Phones"/>
    <s v="Cisco Smart Phone, with Caller ID"/>
    <n v="1570.18"/>
    <n v="4"/>
    <n v="0.4"/>
    <n v="104.62"/>
    <n v="203.61"/>
    <s v="High"/>
    <n v="6280.72"/>
    <n v="25.122880000000006"/>
    <n v="6051.9871200000007"/>
  </r>
  <r>
    <n v="24278"/>
    <s v="IN-2015-JF1541527-42095"/>
    <d v="2015-04-01T00:00:00"/>
    <d v="2015-04-05T00:00:00"/>
    <s v="Standard Class"/>
    <s v="JF-1541527"/>
    <s v="Jennifer Ferguson"/>
    <x v="0"/>
    <m/>
    <s v="Liaoyang"/>
    <s v="Liaoning"/>
    <s v="China"/>
    <x v="8"/>
    <s v="Asia Pacific"/>
    <s v="FUR-TA-3442"/>
    <x v="1"/>
    <s v="Tables"/>
    <s v="Bevis Wood Table, with Bottom Storage"/>
    <n v="2614.69"/>
    <n v="7"/>
    <n v="0.3"/>
    <n v="-821.96"/>
    <n v="203.26"/>
    <s v="Medium"/>
    <n v="18302.830000000002"/>
    <n v="54.90849"/>
    <n v="18044.661510000002"/>
  </r>
  <r>
    <n v="36249"/>
    <s v="CA-2015-AS10225140-42347"/>
    <d v="2015-12-09T00:00:00"/>
    <d v="2015-12-13T00:00:00"/>
    <s v="Second Class"/>
    <s v="AS-102251404"/>
    <s v="Alan Schoenberger"/>
    <x v="1"/>
    <n v="94109"/>
    <s v="San Francisco"/>
    <s v="California"/>
    <s v="United States"/>
    <x v="4"/>
    <s v="USCA"/>
    <s v="OFF-AP-3371"/>
    <x v="2"/>
    <s v="Appliances"/>
    <s v="Belkin 8-Outlet Premiere SurgeMaster II Surge Protectors"/>
    <n v="69.48"/>
    <n v="1"/>
    <n v="0"/>
    <n v="20.84"/>
    <n v="12.04"/>
    <s v="High"/>
    <n v="69.48"/>
    <n v="0"/>
    <n v="57.440000000000005"/>
  </r>
  <r>
    <n v="1408"/>
    <s v="MX-2014-SS2014018-41658"/>
    <d v="2014-01-19T00:00:00"/>
    <d v="2014-01-26T00:00:00"/>
    <s v="Standard Class"/>
    <s v="SS-2014018"/>
    <s v="Saphhira Shifley"/>
    <x v="1"/>
    <m/>
    <s v="Araguaína"/>
    <s v="Tocantins"/>
    <s v="Brazil"/>
    <x v="7"/>
    <s v="LATAM"/>
    <s v="FUR-BO-3627"/>
    <x v="1"/>
    <s v="Bookcases"/>
    <s v="Bush Classic Bookcase, Traditional"/>
    <n v="2751.2"/>
    <n v="10"/>
    <n v="0"/>
    <n v="110"/>
    <n v="203.13200000000001"/>
    <s v="Medium"/>
    <n v="27512"/>
    <n v="0"/>
    <n v="27308.867999999999"/>
  </r>
  <r>
    <n v="20944"/>
    <s v="ID-2015-RP19855130-42348"/>
    <d v="2015-12-10T00:00:00"/>
    <d v="2015-12-14T00:00:00"/>
    <s v="Standard Class"/>
    <s v="RP-19855130"/>
    <s v="Roy Phan"/>
    <x v="1"/>
    <m/>
    <s v="Bangkok"/>
    <s v="Bangkok"/>
    <s v="Thailand"/>
    <x v="17"/>
    <s v="Asia Pacific"/>
    <s v="TEC-PH-5355"/>
    <x v="0"/>
    <s v="Phones"/>
    <s v="Nokia Smart Phone, Full Size"/>
    <n v="1587"/>
    <n v="3"/>
    <n v="0.17"/>
    <n v="-76.56"/>
    <n v="203.08"/>
    <s v="Medium"/>
    <n v="4761"/>
    <n v="8.0937000000000001"/>
    <n v="4549.8262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0540E-747F-4465-BFCA-3096BA02D025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13342-A449-487D-839D-EC8A04F65C8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BBDF3-9DA6-4BD7-934C-9F75CCBDFA94}" name="PivotTable6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J3:K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hipping Days" fld="1" subtotal="average" baseField="0" baseItem="0" numFmtId="2"/>
  </dataFields>
  <formats count="3">
    <format dxfId="2">
      <pivotArea collapsedLevelsAreSubtotals="1" fieldPosition="0">
        <references count="1">
          <reference field="0" count="1">
            <x v="0"/>
          </reference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hipping Days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.xlsx!Superstore_Sales">
        <x15:activeTabTopLevelEntity name="[Superstore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76F1E-F4A4-4A37-B2F2-5DC3AF8EB7F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26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3">
        <item x="21"/>
        <item x="15"/>
        <item x="16"/>
        <item x="13"/>
        <item x="0"/>
        <item x="10"/>
        <item x="8"/>
        <item x="11"/>
        <item x="14"/>
        <item x="19"/>
        <item x="12"/>
        <item x="1"/>
        <item x="7"/>
        <item x="17"/>
        <item x="20"/>
        <item x="5"/>
        <item x="9"/>
        <item x="18"/>
        <item x="3"/>
        <item x="6"/>
        <item x="2"/>
        <item x="4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Total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B6A28D-E3D7-4D0B-884D-0EFBEC177CB0}" autoFormatId="16" applyNumberFormats="0" applyBorderFormats="0" applyFontFormats="0" applyPatternFormats="0" applyAlignmentFormats="0" applyWidthHeightFormats="0">
  <queryTableRefresh nextId="29" unboundColumnsRight="3">
    <queryTableFields count="2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28" dataBound="0" tableColumnId="30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Postal Code" tableColumnId="9"/>
      <queryTableField id="10" name="City" tableColumnId="10"/>
      <queryTableField id="11" name="State" tableColumnId="11"/>
      <queryTableField id="12" name="Country" tableColumnId="12"/>
      <queryTableField id="13" name="Region" tableColumnId="13"/>
      <queryTableField id="14" name="Market" tableColumnId="14"/>
      <queryTableField id="15" name="Product ID" tableColumnId="15"/>
      <queryTableField id="16" name="Category" tableColumnId="16"/>
      <queryTableField id="17" name="Sub-Category" tableColumnId="17"/>
      <queryTableField id="18" name="Product Name" tableColumnId="18"/>
      <queryTableField id="19" name="Sales" tableColumnId="19"/>
      <queryTableField id="20" name="Quantity" tableColumnId="20"/>
      <queryTableField id="21" name="Discount" tableColumnId="21"/>
      <queryTableField id="22" name="Profit" tableColumnId="22"/>
      <queryTableField id="23" name="Shipping Cost" tableColumnId="23"/>
      <queryTableField id="24" name="Order Priority" tableColumnId="24"/>
      <queryTableField id="25" dataBound="0" tableColumnId="25"/>
      <queryTableField id="26" dataBound="0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F7CAD8-2A1C-44EC-B11E-3C820895C880}" name="Superstore_Sales" displayName="Superstore_Sales" ref="A1:AB868" tableType="queryTable" totalsRowShown="0">
  <autoFilter ref="A1:AB868" xr:uid="{C3F7CAD8-2A1C-44EC-B11E-3C820895C880}"/>
  <tableColumns count="28">
    <tableColumn id="1" xr3:uid="{BCFCD9DA-61B6-4B19-BF1B-93AA6363904E}" uniqueName="1" name="Row ID" queryTableFieldId="1"/>
    <tableColumn id="2" xr3:uid="{EF992236-E6AA-4CD4-BE5E-B693C66CE743}" uniqueName="2" name="Order ID" queryTableFieldId="2" dataDxfId="23"/>
    <tableColumn id="3" xr3:uid="{4E660774-DD08-4814-9A4E-1A97C0642A51}" uniqueName="3" name="Order Date" queryTableFieldId="3" dataDxfId="22"/>
    <tableColumn id="4" xr3:uid="{3DE86BD4-6B19-465C-AC66-780D7A16B552}" uniqueName="4" name="Ship Date" queryTableFieldId="4" dataDxfId="21"/>
    <tableColumn id="30" xr3:uid="{C317E82B-2C62-4800-9BAA-B549F355C40E}" uniqueName="30" name="Shipping Days" queryTableFieldId="28" dataDxfId="20">
      <calculatedColumnFormula>Superstore_Sales[[#This Row],[Ship Date]]-Superstore_Sales[[#This Row],[Order Date]]</calculatedColumnFormula>
    </tableColumn>
    <tableColumn id="5" xr3:uid="{FD314A96-B446-4662-9A59-8116D7378B21}" uniqueName="5" name="Ship Mode" queryTableFieldId="5" dataDxfId="19"/>
    <tableColumn id="6" xr3:uid="{A788C425-864D-453D-A66D-1C835FE18516}" uniqueName="6" name="Customer ID" queryTableFieldId="6" dataDxfId="18"/>
    <tableColumn id="7" xr3:uid="{C1FDFCB4-0101-4CB2-AFDD-B256724374FC}" uniqueName="7" name="Customer Name" queryTableFieldId="7" dataDxfId="17"/>
    <tableColumn id="8" xr3:uid="{B7EAED70-7C33-4814-8F59-FB150EBD695B}" uniqueName="8" name="Segment" queryTableFieldId="8" dataDxfId="16"/>
    <tableColumn id="9" xr3:uid="{7DA8F4BC-E2A7-4A2D-8C27-9277768F3FC1}" uniqueName="9" name="Postal Code" queryTableFieldId="9"/>
    <tableColumn id="10" xr3:uid="{E95476CA-D466-4804-9D24-FE97BD4BF1A7}" uniqueName="10" name="City" queryTableFieldId="10" dataDxfId="15"/>
    <tableColumn id="11" xr3:uid="{35DB60E5-BBC7-4D50-8530-D54C51DC4CC7}" uniqueName="11" name="State" queryTableFieldId="11" dataDxfId="14"/>
    <tableColumn id="12" xr3:uid="{33C5C56A-2412-4E28-9F6D-A2A12C74A360}" uniqueName="12" name="Country" queryTableFieldId="12" dataDxfId="13"/>
    <tableColumn id="13" xr3:uid="{C77D177B-B041-4357-A8F4-C1CD7F0DB08B}" uniqueName="13" name="Region" queryTableFieldId="13" dataDxfId="12"/>
    <tableColumn id="14" xr3:uid="{2889870D-71FB-409C-9F69-2E8592881616}" uniqueName="14" name="Market" queryTableFieldId="14" dataDxfId="11"/>
    <tableColumn id="15" xr3:uid="{2AC6B3C3-E700-4251-8B82-DF38E2BEDD0A}" uniqueName="15" name="Product ID" queryTableFieldId="15" dataDxfId="10"/>
    <tableColumn id="16" xr3:uid="{ABB8288C-F0E2-418E-BF7C-7469F1C784BE}" uniqueName="16" name="Category" queryTableFieldId="16" dataDxfId="9"/>
    <tableColumn id="17" xr3:uid="{54656F14-05D5-449C-86EE-B2881522E62C}" uniqueName="17" name="Sub-Category" queryTableFieldId="17" dataDxfId="8"/>
    <tableColumn id="18" xr3:uid="{E2AA960D-08A3-4AD4-9996-9D20F64189BD}" uniqueName="18" name="Product Name" queryTableFieldId="18" dataDxfId="7"/>
    <tableColumn id="19" xr3:uid="{87B5A346-31A6-4398-9DE8-313CAD62757F}" uniqueName="19" name="Sales" queryTableFieldId="19"/>
    <tableColumn id="20" xr3:uid="{08EAFFE1-D227-4F1E-BF68-4A76D394DD5D}" uniqueName="20" name="Quantity" queryTableFieldId="20"/>
    <tableColumn id="21" xr3:uid="{F4BFE0F6-B167-48EE-AE08-192D5E66BBE7}" uniqueName="21" name="Discount" queryTableFieldId="21"/>
    <tableColumn id="22" xr3:uid="{183A6F53-86E6-49CA-9C8A-BD6F5C367BDA}" uniqueName="22" name="Profit" queryTableFieldId="22"/>
    <tableColumn id="23" xr3:uid="{56221D4A-5057-45A3-8778-DB34B5076CCD}" uniqueName="23" name="Shipping Cost" queryTableFieldId="23"/>
    <tableColumn id="24" xr3:uid="{6BC29C14-B8C6-4BFF-811D-8700631F5420}" uniqueName="24" name="Order Priority" queryTableFieldId="24" dataDxfId="6"/>
    <tableColumn id="25" xr3:uid="{702116F8-D8EA-4CC4-A1EF-F9E2ED638686}" uniqueName="25" name="TotalSales" queryTableFieldId="25" dataDxfId="5">
      <calculatedColumnFormula>Superstore_Sales[[#This Row],[Sales]]*Superstore_Sales[[#This Row],[Quantity]]</calculatedColumnFormula>
    </tableColumn>
    <tableColumn id="26" xr3:uid="{8CA3A8F1-260C-46A2-90A8-12F0E857EC2D}" uniqueName="26" name="Dis_amt" queryTableFieldId="26" dataDxfId="4">
      <calculatedColumnFormula>Superstore_Sales[[#This Row],[TotalSales]]*Superstore_Sales[[#This Row],[Discount]]/100</calculatedColumnFormula>
    </tableColumn>
    <tableColumn id="27" xr3:uid="{87F088A0-0D49-4D6E-A1CD-448D7BE18DD8}" uniqueName="27" name="Total" queryTableFieldId="27" dataDxfId="3">
      <calculatedColumnFormula>Superstore_Sales[[#This Row],[TotalSales]]-Superstore_Sales[[#This Row],[Dis_amt]]-Superstore_Sales[[#This Row],[Shipping Cost]]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9BE6-B82C-4BE1-99AB-74453FA02BE9}">
  <dimension ref="A1:AB868"/>
  <sheetViews>
    <sheetView topLeftCell="B1" workbookViewId="0">
      <pane ySplit="1" topLeftCell="A4" activePane="bottomLeft" state="frozen"/>
      <selection pane="bottomLeft" activeCell="G4" sqref="G4"/>
    </sheetView>
  </sheetViews>
  <sheetFormatPr defaultRowHeight="14.5" x14ac:dyDescent="0.35"/>
  <cols>
    <col min="1" max="1" width="8.81640625" bestFit="1" customWidth="1"/>
    <col min="2" max="2" width="24.81640625" bestFit="1" customWidth="1"/>
    <col min="3" max="3" width="12" bestFit="1" customWidth="1"/>
    <col min="4" max="4" width="11.1796875" bestFit="1" customWidth="1"/>
    <col min="5" max="5" width="15" bestFit="1" customWidth="1"/>
    <col min="6" max="6" width="13.08984375" bestFit="1" customWidth="1"/>
    <col min="7" max="7" width="13.453125" bestFit="1" customWidth="1"/>
    <col min="8" max="8" width="18.90625" bestFit="1" customWidth="1"/>
    <col min="9" max="9" width="10.90625" bestFit="1" customWidth="1"/>
    <col min="10" max="10" width="13" bestFit="1" customWidth="1"/>
    <col min="11" max="11" width="21.453125" bestFit="1" customWidth="1"/>
    <col min="12" max="12" width="31.7265625" bestFit="1" customWidth="1"/>
    <col min="13" max="13" width="28.54296875" bestFit="1" customWidth="1"/>
    <col min="14" max="14" width="15.54296875" bestFit="1" customWidth="1"/>
    <col min="15" max="15" width="10.1796875" bestFit="1" customWidth="1"/>
    <col min="16" max="16" width="12" bestFit="1" customWidth="1"/>
    <col min="17" max="17" width="13" bestFit="1" customWidth="1"/>
    <col min="18" max="18" width="14.36328125" bestFit="1" customWidth="1"/>
    <col min="19" max="19" width="78.36328125" bestFit="1" customWidth="1"/>
    <col min="20" max="20" width="7.81640625" bestFit="1" customWidth="1"/>
    <col min="21" max="21" width="10.26953125" bestFit="1" customWidth="1"/>
    <col min="22" max="22" width="10.6328125" bestFit="1" customWidth="1"/>
    <col min="23" max="23" width="8.453125" bestFit="1" customWidth="1"/>
    <col min="24" max="24" width="14.7265625" bestFit="1" customWidth="1"/>
    <col min="25" max="25" width="14.08984375" bestFit="1" customWidth="1"/>
    <col min="26" max="26" width="11.7265625" bestFit="1" customWidth="1"/>
    <col min="28" max="28" width="11.816406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4066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4057</v>
      </c>
      <c r="AA1" t="s">
        <v>4058</v>
      </c>
      <c r="AB1" t="s">
        <v>4059</v>
      </c>
    </row>
    <row r="2" spans="1:28" x14ac:dyDescent="0.35">
      <c r="A2">
        <v>40098</v>
      </c>
      <c r="B2" t="s">
        <v>24</v>
      </c>
      <c r="C2" s="1">
        <v>41954</v>
      </c>
      <c r="D2" s="1">
        <v>41956</v>
      </c>
      <c r="E2">
        <f>Superstore_Sales[[#This Row],[Ship Date]]-Superstore_Sales[[#This Row],[Order Date]]</f>
        <v>2</v>
      </c>
      <c r="F2" t="s">
        <v>25</v>
      </c>
      <c r="G2" t="s">
        <v>26</v>
      </c>
      <c r="H2" t="s">
        <v>27</v>
      </c>
      <c r="I2" t="s">
        <v>28</v>
      </c>
      <c r="J2">
        <v>73120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>
        <v>221.98</v>
      </c>
      <c r="U2">
        <v>2</v>
      </c>
      <c r="V2">
        <v>0</v>
      </c>
      <c r="W2">
        <v>62.15</v>
      </c>
      <c r="X2">
        <v>40.770000000000003</v>
      </c>
      <c r="Y2" t="s">
        <v>38</v>
      </c>
      <c r="Z2">
        <f>Superstore_Sales[[#This Row],[Sales]]*Superstore_Sales[[#This Row],[Quantity]]</f>
        <v>443.96</v>
      </c>
      <c r="AA2">
        <f>Superstore_Sales[[#This Row],[TotalSales]]*Superstore_Sales[[#This Row],[Discount]]/100</f>
        <v>0</v>
      </c>
      <c r="AB2">
        <f>Superstore_Sales[[#This Row],[TotalSales]]-Superstore_Sales[[#This Row],[Dis_amt]]-Superstore_Sales[[#This Row],[Shipping Cost]]</f>
        <v>403.19</v>
      </c>
    </row>
    <row r="3" spans="1:28" x14ac:dyDescent="0.35">
      <c r="A3">
        <v>26341</v>
      </c>
      <c r="B3" t="s">
        <v>39</v>
      </c>
      <c r="C3" s="1">
        <v>41675</v>
      </c>
      <c r="D3" s="1">
        <v>41677</v>
      </c>
      <c r="E3">
        <f>Superstore_Sales[[#This Row],[Ship Date]]-Superstore_Sales[[#This Row],[Order Date]]</f>
        <v>2</v>
      </c>
      <c r="F3" t="s">
        <v>40</v>
      </c>
      <c r="G3" t="s">
        <v>41</v>
      </c>
      <c r="H3" t="s">
        <v>42</v>
      </c>
      <c r="I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>
        <v>3709.4</v>
      </c>
      <c r="U3">
        <v>9</v>
      </c>
      <c r="V3">
        <v>0.1</v>
      </c>
      <c r="W3">
        <v>-288.77</v>
      </c>
      <c r="X3">
        <v>923.63</v>
      </c>
      <c r="Y3" t="s">
        <v>53</v>
      </c>
      <c r="Z3">
        <f>Superstore_Sales[[#This Row],[Sales]]*Superstore_Sales[[#This Row],[Quantity]]</f>
        <v>33384.6</v>
      </c>
      <c r="AA3" s="3">
        <f>Superstore_Sales[[#This Row],[TotalSales]]*Superstore_Sales[[#This Row],[Discount]]/100</f>
        <v>33.384599999999999</v>
      </c>
      <c r="AB3">
        <f>Superstore_Sales[[#This Row],[TotalSales]]-Superstore_Sales[[#This Row],[Dis_amt]]-Superstore_Sales[[#This Row],[Shipping Cost]]</f>
        <v>32427.5854</v>
      </c>
    </row>
    <row r="4" spans="1:28" x14ac:dyDescent="0.35">
      <c r="A4">
        <v>25330</v>
      </c>
      <c r="B4" t="s">
        <v>54</v>
      </c>
      <c r="C4" s="1">
        <v>41929</v>
      </c>
      <c r="D4" s="1">
        <v>41930</v>
      </c>
      <c r="E4">
        <f>Superstore_Sales[[#This Row],[Ship Date]]-Superstore_Sales[[#This Row],[Order Date]]</f>
        <v>1</v>
      </c>
      <c r="F4" t="s">
        <v>25</v>
      </c>
      <c r="G4" t="s">
        <v>55</v>
      </c>
      <c r="H4" t="s">
        <v>56</v>
      </c>
      <c r="I4" t="s">
        <v>28</v>
      </c>
      <c r="K4" t="s">
        <v>57</v>
      </c>
      <c r="L4" t="s">
        <v>58</v>
      </c>
      <c r="M4" t="s">
        <v>46</v>
      </c>
      <c r="N4" t="s">
        <v>47</v>
      </c>
      <c r="O4" t="s">
        <v>48</v>
      </c>
      <c r="P4" t="s">
        <v>59</v>
      </c>
      <c r="Q4" t="s">
        <v>35</v>
      </c>
      <c r="R4" t="s">
        <v>36</v>
      </c>
      <c r="S4" t="s">
        <v>60</v>
      </c>
      <c r="T4">
        <v>5175.17</v>
      </c>
      <c r="U4">
        <v>9</v>
      </c>
      <c r="V4">
        <v>0.1</v>
      </c>
      <c r="W4">
        <v>919.97</v>
      </c>
      <c r="X4">
        <v>915.49</v>
      </c>
      <c r="Y4" t="s">
        <v>61</v>
      </c>
      <c r="Z4">
        <f>Superstore_Sales[[#This Row],[Sales]]*Superstore_Sales[[#This Row],[Quantity]]</f>
        <v>46576.53</v>
      </c>
      <c r="AA4" s="3">
        <f>Superstore_Sales[[#This Row],[TotalSales]]*Superstore_Sales[[#This Row],[Discount]]/100</f>
        <v>46.576530000000005</v>
      </c>
      <c r="AB4">
        <f>Superstore_Sales[[#This Row],[TotalSales]]-Superstore_Sales[[#This Row],[Dis_amt]]-Superstore_Sales[[#This Row],[Shipping Cost]]</f>
        <v>45614.463470000002</v>
      </c>
    </row>
    <row r="5" spans="1:28" x14ac:dyDescent="0.35">
      <c r="A5">
        <v>13524</v>
      </c>
      <c r="B5" t="s">
        <v>62</v>
      </c>
      <c r="C5" s="1">
        <v>41667</v>
      </c>
      <c r="D5" s="1">
        <v>41669</v>
      </c>
      <c r="E5">
        <f>Superstore_Sales[[#This Row],[Ship Date]]-Superstore_Sales[[#This Row],[Order Date]]</f>
        <v>2</v>
      </c>
      <c r="F5" t="s">
        <v>25</v>
      </c>
      <c r="G5" t="s">
        <v>63</v>
      </c>
      <c r="H5" t="s">
        <v>64</v>
      </c>
      <c r="I5" t="s">
        <v>65</v>
      </c>
      <c r="K5" t="s">
        <v>66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35</v>
      </c>
      <c r="R5" t="s">
        <v>36</v>
      </c>
      <c r="S5" t="s">
        <v>71</v>
      </c>
      <c r="T5">
        <v>2892.51</v>
      </c>
      <c r="U5">
        <v>5</v>
      </c>
      <c r="V5">
        <v>0.1</v>
      </c>
      <c r="W5">
        <v>-96.54</v>
      </c>
      <c r="X5">
        <v>910.16</v>
      </c>
      <c r="Y5" t="s">
        <v>61</v>
      </c>
      <c r="Z5">
        <f>Superstore_Sales[[#This Row],[Sales]]*Superstore_Sales[[#This Row],[Quantity]]</f>
        <v>14462.550000000001</v>
      </c>
      <c r="AA5" s="3">
        <f>Superstore_Sales[[#This Row],[TotalSales]]*Superstore_Sales[[#This Row],[Discount]]/100</f>
        <v>14.46255</v>
      </c>
      <c r="AB5">
        <f>Superstore_Sales[[#This Row],[TotalSales]]-Superstore_Sales[[#This Row],[Dis_amt]]-Superstore_Sales[[#This Row],[Shipping Cost]]</f>
        <v>13537.927450000001</v>
      </c>
    </row>
    <row r="6" spans="1:28" x14ac:dyDescent="0.35">
      <c r="A6">
        <v>47221</v>
      </c>
      <c r="B6" t="s">
        <v>72</v>
      </c>
      <c r="C6" s="1">
        <v>41948</v>
      </c>
      <c r="D6" s="1">
        <v>41949</v>
      </c>
      <c r="E6">
        <f>Superstore_Sales[[#This Row],[Ship Date]]-Superstore_Sales[[#This Row],[Order Date]]</f>
        <v>1</v>
      </c>
      <c r="F6" t="s">
        <v>73</v>
      </c>
      <c r="G6" t="s">
        <v>74</v>
      </c>
      <c r="H6" t="s">
        <v>75</v>
      </c>
      <c r="I6" t="s">
        <v>28</v>
      </c>
      <c r="K6" t="s">
        <v>76</v>
      </c>
      <c r="L6" t="s">
        <v>76</v>
      </c>
      <c r="M6" t="s">
        <v>77</v>
      </c>
      <c r="N6" t="s">
        <v>78</v>
      </c>
      <c r="O6" t="s">
        <v>79</v>
      </c>
      <c r="P6" t="s">
        <v>80</v>
      </c>
      <c r="Q6" t="s">
        <v>35</v>
      </c>
      <c r="R6" t="s">
        <v>81</v>
      </c>
      <c r="S6" t="s">
        <v>82</v>
      </c>
      <c r="T6">
        <v>2832.96</v>
      </c>
      <c r="U6">
        <v>8</v>
      </c>
      <c r="V6">
        <v>0</v>
      </c>
      <c r="W6">
        <v>311.52</v>
      </c>
      <c r="X6">
        <v>903.04</v>
      </c>
      <c r="Y6" t="s">
        <v>53</v>
      </c>
      <c r="Z6">
        <f>Superstore_Sales[[#This Row],[Sales]]*Superstore_Sales[[#This Row],[Quantity]]</f>
        <v>22663.68</v>
      </c>
      <c r="AA6" s="3">
        <f>Superstore_Sales[[#This Row],[TotalSales]]*Superstore_Sales[[#This Row],[Discount]]/100</f>
        <v>0</v>
      </c>
      <c r="AB6">
        <f>Superstore_Sales[[#This Row],[TotalSales]]-Superstore_Sales[[#This Row],[Dis_amt]]-Superstore_Sales[[#This Row],[Shipping Cost]]</f>
        <v>21760.639999999999</v>
      </c>
    </row>
    <row r="7" spans="1:28" x14ac:dyDescent="0.35">
      <c r="A7">
        <v>22732</v>
      </c>
      <c r="B7" t="s">
        <v>83</v>
      </c>
      <c r="C7" s="1">
        <v>41818</v>
      </c>
      <c r="D7" s="1">
        <v>41821</v>
      </c>
      <c r="E7">
        <f>Superstore_Sales[[#This Row],[Ship Date]]-Superstore_Sales[[#This Row],[Order Date]]</f>
        <v>3</v>
      </c>
      <c r="F7" t="s">
        <v>40</v>
      </c>
      <c r="G7" t="s">
        <v>84</v>
      </c>
      <c r="H7" t="s">
        <v>85</v>
      </c>
      <c r="I7" t="s">
        <v>43</v>
      </c>
      <c r="K7" t="s">
        <v>86</v>
      </c>
      <c r="L7" t="s">
        <v>45</v>
      </c>
      <c r="M7" t="s">
        <v>46</v>
      </c>
      <c r="N7" t="s">
        <v>47</v>
      </c>
      <c r="O7" t="s">
        <v>48</v>
      </c>
      <c r="P7" t="s">
        <v>87</v>
      </c>
      <c r="Q7" t="s">
        <v>35</v>
      </c>
      <c r="R7" t="s">
        <v>36</v>
      </c>
      <c r="S7" t="s">
        <v>88</v>
      </c>
      <c r="T7">
        <v>2862.68</v>
      </c>
      <c r="U7">
        <v>5</v>
      </c>
      <c r="V7">
        <v>0.1</v>
      </c>
      <c r="W7">
        <v>763.28</v>
      </c>
      <c r="X7">
        <v>897.35</v>
      </c>
      <c r="Y7" t="s">
        <v>53</v>
      </c>
      <c r="Z7">
        <f>Superstore_Sales[[#This Row],[Sales]]*Superstore_Sales[[#This Row],[Quantity]]</f>
        <v>14313.4</v>
      </c>
      <c r="AA7" s="3">
        <f>Superstore_Sales[[#This Row],[TotalSales]]*Superstore_Sales[[#This Row],[Discount]]/100</f>
        <v>14.313400000000001</v>
      </c>
      <c r="AB7">
        <f>Superstore_Sales[[#This Row],[TotalSales]]-Superstore_Sales[[#This Row],[Dis_amt]]-Superstore_Sales[[#This Row],[Shipping Cost]]</f>
        <v>13401.736599999998</v>
      </c>
    </row>
    <row r="8" spans="1:28" x14ac:dyDescent="0.35">
      <c r="A8">
        <v>30570</v>
      </c>
      <c r="B8" t="s">
        <v>89</v>
      </c>
      <c r="C8" s="1">
        <v>41219</v>
      </c>
      <c r="D8" s="1">
        <v>41221</v>
      </c>
      <c r="E8">
        <f>Superstore_Sales[[#This Row],[Ship Date]]-Superstore_Sales[[#This Row],[Order Date]]</f>
        <v>2</v>
      </c>
      <c r="F8" t="s">
        <v>25</v>
      </c>
      <c r="G8" t="s">
        <v>90</v>
      </c>
      <c r="H8" t="s">
        <v>91</v>
      </c>
      <c r="I8" t="s">
        <v>28</v>
      </c>
      <c r="K8" t="s">
        <v>92</v>
      </c>
      <c r="L8" t="s">
        <v>93</v>
      </c>
      <c r="M8" t="s">
        <v>94</v>
      </c>
      <c r="N8" t="s">
        <v>47</v>
      </c>
      <c r="O8" t="s">
        <v>48</v>
      </c>
      <c r="P8" t="s">
        <v>95</v>
      </c>
      <c r="Q8" t="s">
        <v>50</v>
      </c>
      <c r="R8" t="s">
        <v>51</v>
      </c>
      <c r="S8" t="s">
        <v>96</v>
      </c>
      <c r="T8">
        <v>1822.08</v>
      </c>
      <c r="U8">
        <v>4</v>
      </c>
      <c r="V8">
        <v>0</v>
      </c>
      <c r="W8">
        <v>564.84</v>
      </c>
      <c r="X8">
        <v>894.77</v>
      </c>
      <c r="Y8" t="s">
        <v>53</v>
      </c>
      <c r="Z8">
        <f>Superstore_Sales[[#This Row],[Sales]]*Superstore_Sales[[#This Row],[Quantity]]</f>
        <v>7288.32</v>
      </c>
      <c r="AA8" s="3">
        <f>Superstore_Sales[[#This Row],[TotalSales]]*Superstore_Sales[[#This Row],[Discount]]/100</f>
        <v>0</v>
      </c>
      <c r="AB8">
        <f>Superstore_Sales[[#This Row],[TotalSales]]-Superstore_Sales[[#This Row],[Dis_amt]]-Superstore_Sales[[#This Row],[Shipping Cost]]</f>
        <v>6393.5499999999993</v>
      </c>
    </row>
    <row r="9" spans="1:28" x14ac:dyDescent="0.35">
      <c r="A9">
        <v>31192</v>
      </c>
      <c r="B9" t="s">
        <v>97</v>
      </c>
      <c r="C9" s="1">
        <v>41378</v>
      </c>
      <c r="D9" s="1">
        <v>41382</v>
      </c>
      <c r="E9">
        <f>Superstore_Sales[[#This Row],[Ship Date]]-Superstore_Sales[[#This Row],[Order Date]]</f>
        <v>4</v>
      </c>
      <c r="F9" t="s">
        <v>98</v>
      </c>
      <c r="G9" t="s">
        <v>99</v>
      </c>
      <c r="H9" t="s">
        <v>100</v>
      </c>
      <c r="I9" t="s">
        <v>28</v>
      </c>
      <c r="K9" t="s">
        <v>101</v>
      </c>
      <c r="L9" t="s">
        <v>102</v>
      </c>
      <c r="M9" t="s">
        <v>94</v>
      </c>
      <c r="N9" t="s">
        <v>47</v>
      </c>
      <c r="O9" t="s">
        <v>48</v>
      </c>
      <c r="P9" t="s">
        <v>103</v>
      </c>
      <c r="Q9" t="s">
        <v>50</v>
      </c>
      <c r="R9" t="s">
        <v>104</v>
      </c>
      <c r="S9" t="s">
        <v>105</v>
      </c>
      <c r="T9">
        <v>5244.84</v>
      </c>
      <c r="U9">
        <v>6</v>
      </c>
      <c r="V9">
        <v>0</v>
      </c>
      <c r="W9">
        <v>996.48</v>
      </c>
      <c r="X9">
        <v>878.38</v>
      </c>
      <c r="Y9" t="s">
        <v>38</v>
      </c>
      <c r="Z9">
        <f>Superstore_Sales[[#This Row],[Sales]]*Superstore_Sales[[#This Row],[Quantity]]</f>
        <v>31469.040000000001</v>
      </c>
      <c r="AA9" s="3">
        <f>Superstore_Sales[[#This Row],[TotalSales]]*Superstore_Sales[[#This Row],[Discount]]/100</f>
        <v>0</v>
      </c>
      <c r="AB9">
        <f>Superstore_Sales[[#This Row],[TotalSales]]-Superstore_Sales[[#This Row],[Dis_amt]]-Superstore_Sales[[#This Row],[Shipping Cost]]</f>
        <v>30590.66</v>
      </c>
    </row>
    <row r="10" spans="1:28" x14ac:dyDescent="0.35">
      <c r="A10">
        <v>36258</v>
      </c>
      <c r="B10" t="s">
        <v>106</v>
      </c>
      <c r="C10" s="1">
        <v>40974</v>
      </c>
      <c r="D10" s="1">
        <v>40975</v>
      </c>
      <c r="E10">
        <f>Superstore_Sales[[#This Row],[Ship Date]]-Superstore_Sales[[#This Row],[Order Date]]</f>
        <v>1</v>
      </c>
      <c r="F10" t="s">
        <v>25</v>
      </c>
      <c r="G10" t="s">
        <v>107</v>
      </c>
      <c r="H10" t="s">
        <v>27</v>
      </c>
      <c r="I10" t="s">
        <v>28</v>
      </c>
      <c r="J10">
        <v>98103</v>
      </c>
      <c r="K10" t="s">
        <v>108</v>
      </c>
      <c r="L10" t="s">
        <v>109</v>
      </c>
      <c r="M10" t="s">
        <v>31</v>
      </c>
      <c r="N10" t="s">
        <v>110</v>
      </c>
      <c r="O10" t="s">
        <v>33</v>
      </c>
      <c r="P10" t="s">
        <v>111</v>
      </c>
      <c r="Q10" t="s">
        <v>50</v>
      </c>
      <c r="R10" t="s">
        <v>51</v>
      </c>
      <c r="S10" t="s">
        <v>112</v>
      </c>
      <c r="T10">
        <v>48.71</v>
      </c>
      <c r="U10">
        <v>1</v>
      </c>
      <c r="V10">
        <v>0.2</v>
      </c>
      <c r="W10">
        <v>5.48</v>
      </c>
      <c r="X10">
        <v>11.13</v>
      </c>
      <c r="Y10" t="s">
        <v>38</v>
      </c>
      <c r="Z10">
        <f>Superstore_Sales[[#This Row],[Sales]]*Superstore_Sales[[#This Row],[Quantity]]</f>
        <v>48.71</v>
      </c>
      <c r="AA10" s="3">
        <f>Superstore_Sales[[#This Row],[TotalSales]]*Superstore_Sales[[#This Row],[Discount]]/100</f>
        <v>9.7420000000000007E-2</v>
      </c>
      <c r="AB10" s="2">
        <f>Superstore_Sales[[#This Row],[TotalSales]]-Superstore_Sales[[#This Row],[Dis_amt]]-Superstore_Sales[[#This Row],[Shipping Cost]]</f>
        <v>37.482579999999999</v>
      </c>
    </row>
    <row r="11" spans="1:28" x14ac:dyDescent="0.35">
      <c r="A11">
        <v>28879</v>
      </c>
      <c r="B11" t="s">
        <v>113</v>
      </c>
      <c r="C11" s="1">
        <v>41383</v>
      </c>
      <c r="D11" s="1">
        <v>41386</v>
      </c>
      <c r="E11">
        <f>Superstore_Sales[[#This Row],[Ship Date]]-Superstore_Sales[[#This Row],[Order Date]]</f>
        <v>3</v>
      </c>
      <c r="F11" t="s">
        <v>25</v>
      </c>
      <c r="G11" t="s">
        <v>114</v>
      </c>
      <c r="H11" t="s">
        <v>115</v>
      </c>
      <c r="I11" t="s">
        <v>43</v>
      </c>
      <c r="K11" t="s">
        <v>116</v>
      </c>
      <c r="L11" t="s">
        <v>116</v>
      </c>
      <c r="M11" t="s">
        <v>117</v>
      </c>
      <c r="N11" t="s">
        <v>118</v>
      </c>
      <c r="O11" t="s">
        <v>48</v>
      </c>
      <c r="P11" t="s">
        <v>119</v>
      </c>
      <c r="Q11" t="s">
        <v>50</v>
      </c>
      <c r="R11" t="s">
        <v>104</v>
      </c>
      <c r="S11" t="s">
        <v>120</v>
      </c>
      <c r="T11">
        <v>4626.1499999999996</v>
      </c>
      <c r="U11">
        <v>5</v>
      </c>
      <c r="V11">
        <v>0</v>
      </c>
      <c r="W11">
        <v>647.54999999999995</v>
      </c>
      <c r="X11">
        <v>835.57</v>
      </c>
      <c r="Y11" t="s">
        <v>38</v>
      </c>
      <c r="Z11">
        <f>Superstore_Sales[[#This Row],[Sales]]*Superstore_Sales[[#This Row],[Quantity]]</f>
        <v>23130.75</v>
      </c>
      <c r="AA11" s="3">
        <f>Superstore_Sales[[#This Row],[TotalSales]]*Superstore_Sales[[#This Row],[Discount]]/100</f>
        <v>0</v>
      </c>
      <c r="AB11" s="2">
        <f>Superstore_Sales[[#This Row],[TotalSales]]-Superstore_Sales[[#This Row],[Dis_amt]]-Superstore_Sales[[#This Row],[Shipping Cost]]</f>
        <v>22295.18</v>
      </c>
    </row>
    <row r="12" spans="1:28" x14ac:dyDescent="0.35">
      <c r="A12">
        <v>45794</v>
      </c>
      <c r="B12" t="s">
        <v>121</v>
      </c>
      <c r="C12" s="1">
        <v>41269</v>
      </c>
      <c r="D12" s="1">
        <v>41271</v>
      </c>
      <c r="E12">
        <f>Superstore_Sales[[#This Row],[Ship Date]]-Superstore_Sales[[#This Row],[Order Date]]</f>
        <v>2</v>
      </c>
      <c r="F12" t="s">
        <v>40</v>
      </c>
      <c r="G12" t="s">
        <v>122</v>
      </c>
      <c r="H12" t="s">
        <v>123</v>
      </c>
      <c r="I12" t="s">
        <v>28</v>
      </c>
      <c r="K12" t="s">
        <v>124</v>
      </c>
      <c r="L12" t="s">
        <v>124</v>
      </c>
      <c r="M12" t="s">
        <v>125</v>
      </c>
      <c r="N12" t="s">
        <v>126</v>
      </c>
      <c r="O12" t="s">
        <v>48</v>
      </c>
      <c r="P12" t="s">
        <v>127</v>
      </c>
      <c r="Q12" t="s">
        <v>35</v>
      </c>
      <c r="R12" t="s">
        <v>36</v>
      </c>
      <c r="S12" t="s">
        <v>128</v>
      </c>
      <c r="T12">
        <v>2616.96</v>
      </c>
      <c r="U12">
        <v>4</v>
      </c>
      <c r="V12">
        <v>0</v>
      </c>
      <c r="W12">
        <v>1151.4000000000001</v>
      </c>
      <c r="X12">
        <v>832.41</v>
      </c>
      <c r="Y12" t="s">
        <v>53</v>
      </c>
      <c r="Z12">
        <f>Superstore_Sales[[#This Row],[Sales]]*Superstore_Sales[[#This Row],[Quantity]]</f>
        <v>10467.84</v>
      </c>
      <c r="AA12" s="3">
        <f>Superstore_Sales[[#This Row],[TotalSales]]*Superstore_Sales[[#This Row],[Discount]]/100</f>
        <v>0</v>
      </c>
      <c r="AB12" s="2">
        <f>Superstore_Sales[[#This Row],[TotalSales]]-Superstore_Sales[[#This Row],[Dis_amt]]-Superstore_Sales[[#This Row],[Shipping Cost]]</f>
        <v>9635.43</v>
      </c>
    </row>
    <row r="13" spans="1:28" x14ac:dyDescent="0.35">
      <c r="A13">
        <v>4132</v>
      </c>
      <c r="B13" t="s">
        <v>129</v>
      </c>
      <c r="C13" s="1">
        <v>41591</v>
      </c>
      <c r="D13" s="1">
        <v>41591</v>
      </c>
      <c r="E13">
        <f>Superstore_Sales[[#This Row],[Ship Date]]-Superstore_Sales[[#This Row],[Order Date]]</f>
        <v>0</v>
      </c>
      <c r="F13" t="s">
        <v>73</v>
      </c>
      <c r="G13" t="s">
        <v>130</v>
      </c>
      <c r="H13" t="s">
        <v>131</v>
      </c>
      <c r="I13" t="s">
        <v>65</v>
      </c>
      <c r="K13" t="s">
        <v>132</v>
      </c>
      <c r="L13" t="s">
        <v>133</v>
      </c>
      <c r="M13" t="s">
        <v>134</v>
      </c>
      <c r="N13" t="s">
        <v>135</v>
      </c>
      <c r="O13" t="s">
        <v>136</v>
      </c>
      <c r="P13" t="s">
        <v>137</v>
      </c>
      <c r="Q13" t="s">
        <v>50</v>
      </c>
      <c r="R13" t="s">
        <v>51</v>
      </c>
      <c r="S13" t="s">
        <v>138</v>
      </c>
      <c r="T13">
        <v>2221.8000000000002</v>
      </c>
      <c r="U13">
        <v>7</v>
      </c>
      <c r="V13">
        <v>0</v>
      </c>
      <c r="W13">
        <v>622.02</v>
      </c>
      <c r="X13">
        <v>810.25</v>
      </c>
      <c r="Y13" t="s">
        <v>53</v>
      </c>
      <c r="Z13">
        <f>Superstore_Sales[[#This Row],[Sales]]*Superstore_Sales[[#This Row],[Quantity]]</f>
        <v>15552.600000000002</v>
      </c>
      <c r="AA13" s="3">
        <f>Superstore_Sales[[#This Row],[TotalSales]]*Superstore_Sales[[#This Row],[Discount]]/100</f>
        <v>0</v>
      </c>
      <c r="AB13" s="2">
        <f>Superstore_Sales[[#This Row],[TotalSales]]-Superstore_Sales[[#This Row],[Dis_amt]]-Superstore_Sales[[#This Row],[Shipping Cost]]</f>
        <v>14742.350000000002</v>
      </c>
    </row>
    <row r="14" spans="1:28" x14ac:dyDescent="0.35">
      <c r="A14">
        <v>27704</v>
      </c>
      <c r="B14" t="s">
        <v>139</v>
      </c>
      <c r="C14" s="1">
        <v>41796</v>
      </c>
      <c r="D14" s="1">
        <v>41798</v>
      </c>
      <c r="E14">
        <f>Superstore_Sales[[#This Row],[Ship Date]]-Superstore_Sales[[#This Row],[Order Date]]</f>
        <v>2</v>
      </c>
      <c r="F14" t="s">
        <v>40</v>
      </c>
      <c r="G14" t="s">
        <v>140</v>
      </c>
      <c r="H14" t="s">
        <v>141</v>
      </c>
      <c r="I14" t="s">
        <v>28</v>
      </c>
      <c r="K14" t="s">
        <v>142</v>
      </c>
      <c r="L14" t="s">
        <v>143</v>
      </c>
      <c r="M14" t="s">
        <v>144</v>
      </c>
      <c r="N14" t="s">
        <v>145</v>
      </c>
      <c r="O14" t="s">
        <v>48</v>
      </c>
      <c r="P14" t="s">
        <v>146</v>
      </c>
      <c r="Q14" t="s">
        <v>147</v>
      </c>
      <c r="R14" t="s">
        <v>148</v>
      </c>
      <c r="S14" t="s">
        <v>149</v>
      </c>
      <c r="T14">
        <v>3701.52</v>
      </c>
      <c r="U14">
        <v>12</v>
      </c>
      <c r="V14">
        <v>0</v>
      </c>
      <c r="W14">
        <v>1036.08</v>
      </c>
      <c r="X14">
        <v>804.54</v>
      </c>
      <c r="Y14" t="s">
        <v>53</v>
      </c>
      <c r="Z14">
        <f>Superstore_Sales[[#This Row],[Sales]]*Superstore_Sales[[#This Row],[Quantity]]</f>
        <v>44418.239999999998</v>
      </c>
      <c r="AA14" s="3">
        <f>Superstore_Sales[[#This Row],[TotalSales]]*Superstore_Sales[[#This Row],[Discount]]/100</f>
        <v>0</v>
      </c>
      <c r="AB14" s="2">
        <f>Superstore_Sales[[#This Row],[TotalSales]]-Superstore_Sales[[#This Row],[Dis_amt]]-Superstore_Sales[[#This Row],[Shipping Cost]]</f>
        <v>43613.7</v>
      </c>
    </row>
    <row r="15" spans="1:28" x14ac:dyDescent="0.35">
      <c r="A15">
        <v>13779</v>
      </c>
      <c r="B15" t="s">
        <v>150</v>
      </c>
      <c r="C15" s="1">
        <v>42216</v>
      </c>
      <c r="D15" s="1">
        <v>42219</v>
      </c>
      <c r="E15">
        <f>Superstore_Sales[[#This Row],[Ship Date]]-Superstore_Sales[[#This Row],[Order Date]]</f>
        <v>3</v>
      </c>
      <c r="F15" t="s">
        <v>40</v>
      </c>
      <c r="G15" t="s">
        <v>151</v>
      </c>
      <c r="H15" t="s">
        <v>152</v>
      </c>
      <c r="I15" t="s">
        <v>43</v>
      </c>
      <c r="K15" t="s">
        <v>153</v>
      </c>
      <c r="L15" t="s">
        <v>154</v>
      </c>
      <c r="M15" t="s">
        <v>155</v>
      </c>
      <c r="N15" t="s">
        <v>68</v>
      </c>
      <c r="O15" t="s">
        <v>69</v>
      </c>
      <c r="P15" t="s">
        <v>156</v>
      </c>
      <c r="Q15" t="s">
        <v>147</v>
      </c>
      <c r="R15" t="s">
        <v>148</v>
      </c>
      <c r="S15" t="s">
        <v>157</v>
      </c>
      <c r="T15">
        <v>1869.59</v>
      </c>
      <c r="U15">
        <v>4</v>
      </c>
      <c r="V15">
        <v>0.1</v>
      </c>
      <c r="W15">
        <v>186.95</v>
      </c>
      <c r="X15">
        <v>801.66</v>
      </c>
      <c r="Y15" t="s">
        <v>53</v>
      </c>
      <c r="Z15">
        <f>Superstore_Sales[[#This Row],[Sales]]*Superstore_Sales[[#This Row],[Quantity]]</f>
        <v>7478.36</v>
      </c>
      <c r="AA15" s="3">
        <f>Superstore_Sales[[#This Row],[TotalSales]]*Superstore_Sales[[#This Row],[Discount]]/100</f>
        <v>7.4783600000000003</v>
      </c>
      <c r="AB15" s="2">
        <f>Superstore_Sales[[#This Row],[TotalSales]]-Superstore_Sales[[#This Row],[Dis_amt]]-Superstore_Sales[[#This Row],[Shipping Cost]]</f>
        <v>6669.2216399999998</v>
      </c>
    </row>
    <row r="16" spans="1:28" x14ac:dyDescent="0.35">
      <c r="A16">
        <v>39519</v>
      </c>
      <c r="B16" t="s">
        <v>158</v>
      </c>
      <c r="C16" s="1">
        <v>40958</v>
      </c>
      <c r="D16" s="1">
        <v>40964</v>
      </c>
      <c r="E16">
        <f>Superstore_Sales[[#This Row],[Ship Date]]-Superstore_Sales[[#This Row],[Order Date]]</f>
        <v>6</v>
      </c>
      <c r="F16" t="s">
        <v>98</v>
      </c>
      <c r="G16" t="s">
        <v>26</v>
      </c>
      <c r="H16" t="s">
        <v>27</v>
      </c>
      <c r="I16" t="s">
        <v>28</v>
      </c>
      <c r="J16">
        <v>76017</v>
      </c>
      <c r="K16" t="s">
        <v>159</v>
      </c>
      <c r="L16" t="s">
        <v>160</v>
      </c>
      <c r="M16" t="s">
        <v>31</v>
      </c>
      <c r="N16" t="s">
        <v>32</v>
      </c>
      <c r="O16" t="s">
        <v>33</v>
      </c>
      <c r="P16" t="s">
        <v>161</v>
      </c>
      <c r="Q16" t="s">
        <v>147</v>
      </c>
      <c r="R16" t="s">
        <v>162</v>
      </c>
      <c r="S16" t="s">
        <v>163</v>
      </c>
      <c r="T16">
        <v>12.62</v>
      </c>
      <c r="U16">
        <v>2</v>
      </c>
      <c r="V16">
        <v>0.2</v>
      </c>
      <c r="W16">
        <v>-2.52</v>
      </c>
      <c r="X16">
        <v>1.97</v>
      </c>
      <c r="Y16" t="s">
        <v>164</v>
      </c>
      <c r="Z16">
        <f>Superstore_Sales[[#This Row],[Sales]]*Superstore_Sales[[#This Row],[Quantity]]</f>
        <v>25.24</v>
      </c>
      <c r="AA16" s="3">
        <f>Superstore_Sales[[#This Row],[TotalSales]]*Superstore_Sales[[#This Row],[Discount]]/100</f>
        <v>5.0479999999999997E-2</v>
      </c>
      <c r="AB16" s="2">
        <f>Superstore_Sales[[#This Row],[TotalSales]]-Superstore_Sales[[#This Row],[Dis_amt]]-Superstore_Sales[[#This Row],[Shipping Cost]]</f>
        <v>23.219519999999999</v>
      </c>
    </row>
    <row r="17" spans="1:28" x14ac:dyDescent="0.35">
      <c r="A17">
        <v>12069</v>
      </c>
      <c r="B17" t="s">
        <v>165</v>
      </c>
      <c r="C17" s="1">
        <v>42255</v>
      </c>
      <c r="D17" s="1">
        <v>42261</v>
      </c>
      <c r="E17">
        <f>Superstore_Sales[[#This Row],[Ship Date]]-Superstore_Sales[[#This Row],[Order Date]]</f>
        <v>6</v>
      </c>
      <c r="F17" t="s">
        <v>98</v>
      </c>
      <c r="G17" t="s">
        <v>166</v>
      </c>
      <c r="H17" t="s">
        <v>167</v>
      </c>
      <c r="I17" t="s">
        <v>43</v>
      </c>
      <c r="K17" t="s">
        <v>168</v>
      </c>
      <c r="L17" t="s">
        <v>169</v>
      </c>
      <c r="M17" t="s">
        <v>170</v>
      </c>
      <c r="N17" t="s">
        <v>171</v>
      </c>
      <c r="O17" t="s">
        <v>69</v>
      </c>
      <c r="P17" t="s">
        <v>172</v>
      </c>
      <c r="Q17" t="s">
        <v>147</v>
      </c>
      <c r="R17" t="s">
        <v>148</v>
      </c>
      <c r="S17" t="s">
        <v>173</v>
      </c>
      <c r="T17">
        <v>7958.58</v>
      </c>
      <c r="U17">
        <v>14</v>
      </c>
      <c r="V17">
        <v>0</v>
      </c>
      <c r="W17">
        <v>3979.08</v>
      </c>
      <c r="X17">
        <v>778.32</v>
      </c>
      <c r="Y17" t="s">
        <v>164</v>
      </c>
      <c r="Z17">
        <f>Superstore_Sales[[#This Row],[Sales]]*Superstore_Sales[[#This Row],[Quantity]]</f>
        <v>111420.12</v>
      </c>
      <c r="AA17" s="3">
        <f>Superstore_Sales[[#This Row],[TotalSales]]*Superstore_Sales[[#This Row],[Discount]]/100</f>
        <v>0</v>
      </c>
      <c r="AB17" s="2">
        <f>Superstore_Sales[[#This Row],[TotalSales]]-Superstore_Sales[[#This Row],[Dis_amt]]-Superstore_Sales[[#This Row],[Shipping Cost]]</f>
        <v>110641.79999999999</v>
      </c>
    </row>
    <row r="18" spans="1:28" x14ac:dyDescent="0.35">
      <c r="A18">
        <v>22096</v>
      </c>
      <c r="B18" t="s">
        <v>174</v>
      </c>
      <c r="C18" s="1">
        <v>42035</v>
      </c>
      <c r="D18" s="1">
        <v>42036</v>
      </c>
      <c r="E18">
        <f>Superstore_Sales[[#This Row],[Ship Date]]-Superstore_Sales[[#This Row],[Order Date]]</f>
        <v>1</v>
      </c>
      <c r="F18" t="s">
        <v>25</v>
      </c>
      <c r="G18" t="s">
        <v>175</v>
      </c>
      <c r="H18" t="s">
        <v>176</v>
      </c>
      <c r="I18" t="s">
        <v>43</v>
      </c>
      <c r="K18" t="s">
        <v>177</v>
      </c>
      <c r="L18" t="s">
        <v>58</v>
      </c>
      <c r="M18" t="s">
        <v>46</v>
      </c>
      <c r="N18" t="s">
        <v>47</v>
      </c>
      <c r="O18" t="s">
        <v>48</v>
      </c>
      <c r="P18" t="s">
        <v>178</v>
      </c>
      <c r="Q18" t="s">
        <v>35</v>
      </c>
      <c r="R18" t="s">
        <v>81</v>
      </c>
      <c r="S18" t="s">
        <v>179</v>
      </c>
      <c r="T18">
        <v>2565.59</v>
      </c>
      <c r="U18">
        <v>9</v>
      </c>
      <c r="V18">
        <v>0.1</v>
      </c>
      <c r="W18">
        <v>28.4</v>
      </c>
      <c r="X18">
        <v>766.93</v>
      </c>
      <c r="Y18" t="s">
        <v>53</v>
      </c>
      <c r="Z18">
        <f>Superstore_Sales[[#This Row],[Sales]]*Superstore_Sales[[#This Row],[Quantity]]</f>
        <v>23090.31</v>
      </c>
      <c r="AA18" s="3">
        <f>Superstore_Sales[[#This Row],[TotalSales]]*Superstore_Sales[[#This Row],[Discount]]/100</f>
        <v>23.090310000000002</v>
      </c>
      <c r="AB18" s="2">
        <f>Superstore_Sales[[#This Row],[TotalSales]]-Superstore_Sales[[#This Row],[Dis_amt]]-Superstore_Sales[[#This Row],[Shipping Cost]]</f>
        <v>22300.289690000001</v>
      </c>
    </row>
    <row r="19" spans="1:28" x14ac:dyDescent="0.35">
      <c r="A19">
        <v>49463</v>
      </c>
      <c r="B19" t="s">
        <v>180</v>
      </c>
      <c r="C19" s="1">
        <v>42343</v>
      </c>
      <c r="D19" s="1">
        <v>42345</v>
      </c>
      <c r="E19">
        <f>Superstore_Sales[[#This Row],[Ship Date]]-Superstore_Sales[[#This Row],[Order Date]]</f>
        <v>2</v>
      </c>
      <c r="F19" t="s">
        <v>40</v>
      </c>
      <c r="G19" t="s">
        <v>181</v>
      </c>
      <c r="H19" t="s">
        <v>182</v>
      </c>
      <c r="I19" t="s">
        <v>28</v>
      </c>
      <c r="K19" t="s">
        <v>183</v>
      </c>
      <c r="L19" t="s">
        <v>184</v>
      </c>
      <c r="M19" t="s">
        <v>185</v>
      </c>
      <c r="N19" t="s">
        <v>186</v>
      </c>
      <c r="O19" t="s">
        <v>79</v>
      </c>
      <c r="P19" t="s">
        <v>187</v>
      </c>
      <c r="Q19" t="s">
        <v>147</v>
      </c>
      <c r="R19" t="s">
        <v>148</v>
      </c>
      <c r="S19" t="s">
        <v>188</v>
      </c>
      <c r="T19">
        <v>3409.74</v>
      </c>
      <c r="U19">
        <v>6</v>
      </c>
      <c r="V19">
        <v>0</v>
      </c>
      <c r="W19">
        <v>818.28</v>
      </c>
      <c r="X19">
        <v>763.38</v>
      </c>
      <c r="Y19" t="s">
        <v>38</v>
      </c>
      <c r="Z19">
        <f>Superstore_Sales[[#This Row],[Sales]]*Superstore_Sales[[#This Row],[Quantity]]</f>
        <v>20458.439999999999</v>
      </c>
      <c r="AA19" s="3">
        <f>Superstore_Sales[[#This Row],[TotalSales]]*Superstore_Sales[[#This Row],[Discount]]/100</f>
        <v>0</v>
      </c>
      <c r="AB19" s="2">
        <f>Superstore_Sales[[#This Row],[TotalSales]]-Superstore_Sales[[#This Row],[Dis_amt]]-Superstore_Sales[[#This Row],[Shipping Cost]]</f>
        <v>19695.059999999998</v>
      </c>
    </row>
    <row r="20" spans="1:28" x14ac:dyDescent="0.35">
      <c r="A20">
        <v>46630</v>
      </c>
      <c r="B20" t="s">
        <v>189</v>
      </c>
      <c r="C20" s="1">
        <v>41494</v>
      </c>
      <c r="D20" s="1">
        <v>41496</v>
      </c>
      <c r="E20">
        <f>Superstore_Sales[[#This Row],[Ship Date]]-Superstore_Sales[[#This Row],[Order Date]]</f>
        <v>2</v>
      </c>
      <c r="F20" t="s">
        <v>25</v>
      </c>
      <c r="G20" t="s">
        <v>190</v>
      </c>
      <c r="H20" t="s">
        <v>191</v>
      </c>
      <c r="I20" t="s">
        <v>43</v>
      </c>
      <c r="K20" t="s">
        <v>192</v>
      </c>
      <c r="L20" t="s">
        <v>193</v>
      </c>
      <c r="M20" t="s">
        <v>194</v>
      </c>
      <c r="N20" t="s">
        <v>195</v>
      </c>
      <c r="O20" t="s">
        <v>69</v>
      </c>
      <c r="P20" t="s">
        <v>196</v>
      </c>
      <c r="Q20" t="s">
        <v>50</v>
      </c>
      <c r="R20" t="s">
        <v>104</v>
      </c>
      <c r="S20" t="s">
        <v>197</v>
      </c>
      <c r="T20">
        <v>1977.72</v>
      </c>
      <c r="U20">
        <v>4</v>
      </c>
      <c r="V20">
        <v>0</v>
      </c>
      <c r="W20">
        <v>276.83999999999997</v>
      </c>
      <c r="X20">
        <v>759.47</v>
      </c>
      <c r="Y20" t="s">
        <v>53</v>
      </c>
      <c r="Z20">
        <f>Superstore_Sales[[#This Row],[Sales]]*Superstore_Sales[[#This Row],[Quantity]]</f>
        <v>7910.88</v>
      </c>
      <c r="AA20" s="3">
        <f>Superstore_Sales[[#This Row],[TotalSales]]*Superstore_Sales[[#This Row],[Discount]]/100</f>
        <v>0</v>
      </c>
      <c r="AB20" s="2">
        <f>Superstore_Sales[[#This Row],[TotalSales]]-Superstore_Sales[[#This Row],[Dis_amt]]-Superstore_Sales[[#This Row],[Shipping Cost]]</f>
        <v>7151.41</v>
      </c>
    </row>
    <row r="21" spans="1:28" x14ac:dyDescent="0.35">
      <c r="A21">
        <v>21586</v>
      </c>
      <c r="B21" t="s">
        <v>198</v>
      </c>
      <c r="C21" s="1">
        <v>41030</v>
      </c>
      <c r="D21" s="1">
        <v>41031</v>
      </c>
      <c r="E21">
        <f>Superstore_Sales[[#This Row],[Ship Date]]-Superstore_Sales[[#This Row],[Order Date]]</f>
        <v>1</v>
      </c>
      <c r="F21" t="s">
        <v>25</v>
      </c>
      <c r="G21" t="s">
        <v>199</v>
      </c>
      <c r="H21" t="s">
        <v>200</v>
      </c>
      <c r="I21" t="s">
        <v>43</v>
      </c>
      <c r="K21" t="s">
        <v>201</v>
      </c>
      <c r="L21" t="s">
        <v>202</v>
      </c>
      <c r="M21" t="s">
        <v>144</v>
      </c>
      <c r="N21" t="s">
        <v>145</v>
      </c>
      <c r="O21" t="s">
        <v>48</v>
      </c>
      <c r="P21" t="s">
        <v>203</v>
      </c>
      <c r="Q21" t="s">
        <v>50</v>
      </c>
      <c r="R21" t="s">
        <v>51</v>
      </c>
      <c r="S21" t="s">
        <v>204</v>
      </c>
      <c r="T21">
        <v>2754</v>
      </c>
      <c r="U21">
        <v>6</v>
      </c>
      <c r="V21">
        <v>0</v>
      </c>
      <c r="W21">
        <v>358.02</v>
      </c>
      <c r="X21">
        <v>752.47</v>
      </c>
      <c r="Y21" t="s">
        <v>53</v>
      </c>
      <c r="Z21">
        <f>Superstore_Sales[[#This Row],[Sales]]*Superstore_Sales[[#This Row],[Quantity]]</f>
        <v>16524</v>
      </c>
      <c r="AA21" s="3">
        <f>Superstore_Sales[[#This Row],[TotalSales]]*Superstore_Sales[[#This Row],[Discount]]/100</f>
        <v>0</v>
      </c>
      <c r="AB21" s="2">
        <f>Superstore_Sales[[#This Row],[TotalSales]]-Superstore_Sales[[#This Row],[Dis_amt]]-Superstore_Sales[[#This Row],[Shipping Cost]]</f>
        <v>15771.53</v>
      </c>
    </row>
    <row r="22" spans="1:28" x14ac:dyDescent="0.35">
      <c r="A22">
        <v>13528</v>
      </c>
      <c r="B22" t="s">
        <v>205</v>
      </c>
      <c r="C22" s="1">
        <v>41697</v>
      </c>
      <c r="D22" s="1">
        <v>41699</v>
      </c>
      <c r="E22">
        <f>Superstore_Sales[[#This Row],[Ship Date]]-Superstore_Sales[[#This Row],[Order Date]]</f>
        <v>2</v>
      </c>
      <c r="F22" t="s">
        <v>40</v>
      </c>
      <c r="G22" t="s">
        <v>206</v>
      </c>
      <c r="H22" t="s">
        <v>207</v>
      </c>
      <c r="I22" t="s">
        <v>65</v>
      </c>
      <c r="K22" t="s">
        <v>208</v>
      </c>
      <c r="L22" t="s">
        <v>209</v>
      </c>
      <c r="M22" t="s">
        <v>210</v>
      </c>
      <c r="N22" t="s">
        <v>211</v>
      </c>
      <c r="O22" t="s">
        <v>69</v>
      </c>
      <c r="P22" t="s">
        <v>212</v>
      </c>
      <c r="Q22" t="s">
        <v>147</v>
      </c>
      <c r="R22" t="s">
        <v>148</v>
      </c>
      <c r="S22" t="s">
        <v>213</v>
      </c>
      <c r="T22">
        <v>5273.7</v>
      </c>
      <c r="U22">
        <v>10</v>
      </c>
      <c r="V22">
        <v>0</v>
      </c>
      <c r="W22">
        <v>1898.4</v>
      </c>
      <c r="X22">
        <v>730.91</v>
      </c>
      <c r="Y22" t="s">
        <v>38</v>
      </c>
      <c r="Z22">
        <f>Superstore_Sales[[#This Row],[Sales]]*Superstore_Sales[[#This Row],[Quantity]]</f>
        <v>52737</v>
      </c>
      <c r="AA22" s="3">
        <f>Superstore_Sales[[#This Row],[TotalSales]]*Superstore_Sales[[#This Row],[Discount]]/100</f>
        <v>0</v>
      </c>
      <c r="AB22" s="2">
        <f>Superstore_Sales[[#This Row],[TotalSales]]-Superstore_Sales[[#This Row],[Dis_amt]]-Superstore_Sales[[#This Row],[Shipping Cost]]</f>
        <v>52006.09</v>
      </c>
    </row>
    <row r="23" spans="1:28" x14ac:dyDescent="0.35">
      <c r="A23">
        <v>1570</v>
      </c>
      <c r="B23" t="s">
        <v>214</v>
      </c>
      <c r="C23" s="1">
        <v>42216</v>
      </c>
      <c r="D23" s="1">
        <v>42217</v>
      </c>
      <c r="E23">
        <f>Superstore_Sales[[#This Row],[Ship Date]]-Superstore_Sales[[#This Row],[Order Date]]</f>
        <v>1</v>
      </c>
      <c r="F23" t="s">
        <v>25</v>
      </c>
      <c r="G23" t="s">
        <v>215</v>
      </c>
      <c r="H23" t="s">
        <v>216</v>
      </c>
      <c r="I23" t="s">
        <v>28</v>
      </c>
      <c r="K23" t="s">
        <v>217</v>
      </c>
      <c r="L23" t="s">
        <v>218</v>
      </c>
      <c r="M23" t="s">
        <v>219</v>
      </c>
      <c r="N23" t="s">
        <v>220</v>
      </c>
      <c r="O23" t="s">
        <v>136</v>
      </c>
      <c r="P23" t="s">
        <v>221</v>
      </c>
      <c r="Q23" t="s">
        <v>35</v>
      </c>
      <c r="R23" t="s">
        <v>36</v>
      </c>
      <c r="S23" t="s">
        <v>222</v>
      </c>
      <c r="T23">
        <v>1713.84</v>
      </c>
      <c r="U23">
        <v>4</v>
      </c>
      <c r="V23">
        <v>0</v>
      </c>
      <c r="W23">
        <v>445.52</v>
      </c>
      <c r="X23">
        <v>728.96799999999996</v>
      </c>
      <c r="Y23" t="s">
        <v>53</v>
      </c>
      <c r="Z23">
        <f>Superstore_Sales[[#This Row],[Sales]]*Superstore_Sales[[#This Row],[Quantity]]</f>
        <v>6855.36</v>
      </c>
      <c r="AA23" s="3">
        <f>Superstore_Sales[[#This Row],[TotalSales]]*Superstore_Sales[[#This Row],[Discount]]/100</f>
        <v>0</v>
      </c>
      <c r="AB23" s="2">
        <f>Superstore_Sales[[#This Row],[TotalSales]]-Superstore_Sales[[#This Row],[Dis_amt]]-Superstore_Sales[[#This Row],[Shipping Cost]]</f>
        <v>6126.3919999999998</v>
      </c>
    </row>
    <row r="24" spans="1:28" x14ac:dyDescent="0.35">
      <c r="A24">
        <v>3484</v>
      </c>
      <c r="B24" t="s">
        <v>223</v>
      </c>
      <c r="C24" s="1">
        <v>42252</v>
      </c>
      <c r="D24" s="1">
        <v>42255</v>
      </c>
      <c r="E24">
        <f>Superstore_Sales[[#This Row],[Ship Date]]-Superstore_Sales[[#This Row],[Order Date]]</f>
        <v>3</v>
      </c>
      <c r="F24" t="s">
        <v>25</v>
      </c>
      <c r="G24" t="s">
        <v>224</v>
      </c>
      <c r="H24" t="s">
        <v>225</v>
      </c>
      <c r="I24" t="s">
        <v>28</v>
      </c>
      <c r="K24" t="s">
        <v>226</v>
      </c>
      <c r="L24" t="s">
        <v>227</v>
      </c>
      <c r="M24" t="s">
        <v>228</v>
      </c>
      <c r="N24" t="s">
        <v>220</v>
      </c>
      <c r="O24" t="s">
        <v>136</v>
      </c>
      <c r="P24" t="s">
        <v>229</v>
      </c>
      <c r="Q24" t="s">
        <v>50</v>
      </c>
      <c r="R24" t="s">
        <v>104</v>
      </c>
      <c r="S24" t="s">
        <v>230</v>
      </c>
      <c r="T24">
        <v>2106.5</v>
      </c>
      <c r="U24">
        <v>8</v>
      </c>
      <c r="V24">
        <v>0.2</v>
      </c>
      <c r="W24">
        <v>526.5</v>
      </c>
      <c r="X24">
        <v>728.38900000000001</v>
      </c>
      <c r="Y24" t="s">
        <v>53</v>
      </c>
      <c r="Z24">
        <f>Superstore_Sales[[#This Row],[Sales]]*Superstore_Sales[[#This Row],[Quantity]]</f>
        <v>16852</v>
      </c>
      <c r="AA24" s="3">
        <f>Superstore_Sales[[#This Row],[TotalSales]]*Superstore_Sales[[#This Row],[Discount]]/100</f>
        <v>33.704000000000001</v>
      </c>
      <c r="AB24" s="2">
        <f>Superstore_Sales[[#This Row],[TotalSales]]-Superstore_Sales[[#This Row],[Dis_amt]]-Superstore_Sales[[#This Row],[Shipping Cost]]</f>
        <v>16089.906999999999</v>
      </c>
    </row>
    <row r="25" spans="1:28" x14ac:dyDescent="0.35">
      <c r="A25">
        <v>30191</v>
      </c>
      <c r="B25" t="s">
        <v>231</v>
      </c>
      <c r="C25" s="1">
        <v>41259</v>
      </c>
      <c r="D25" s="1">
        <v>41262</v>
      </c>
      <c r="E25">
        <f>Superstore_Sales[[#This Row],[Ship Date]]-Superstore_Sales[[#This Row],[Order Date]]</f>
        <v>3</v>
      </c>
      <c r="F25" t="s">
        <v>25</v>
      </c>
      <c r="G25" t="s">
        <v>232</v>
      </c>
      <c r="H25" t="s">
        <v>233</v>
      </c>
      <c r="I25" t="s">
        <v>43</v>
      </c>
      <c r="K25" t="s">
        <v>234</v>
      </c>
      <c r="L25" t="s">
        <v>235</v>
      </c>
      <c r="M25" t="s">
        <v>236</v>
      </c>
      <c r="N25" t="s">
        <v>145</v>
      </c>
      <c r="O25" t="s">
        <v>48</v>
      </c>
      <c r="P25" t="s">
        <v>237</v>
      </c>
      <c r="Q25" t="s">
        <v>50</v>
      </c>
      <c r="R25" t="s">
        <v>104</v>
      </c>
      <c r="S25" t="s">
        <v>238</v>
      </c>
      <c r="T25">
        <v>1715.16</v>
      </c>
      <c r="U25">
        <v>2</v>
      </c>
      <c r="V25">
        <v>0</v>
      </c>
      <c r="W25">
        <v>720.36</v>
      </c>
      <c r="X25">
        <v>725.57</v>
      </c>
      <c r="Y25" t="s">
        <v>53</v>
      </c>
      <c r="Z25">
        <f>Superstore_Sales[[#This Row],[Sales]]*Superstore_Sales[[#This Row],[Quantity]]</f>
        <v>3430.32</v>
      </c>
      <c r="AA25" s="3">
        <f>Superstore_Sales[[#This Row],[TotalSales]]*Superstore_Sales[[#This Row],[Discount]]/100</f>
        <v>0</v>
      </c>
      <c r="AB25" s="2">
        <f>Superstore_Sales[[#This Row],[TotalSales]]-Superstore_Sales[[#This Row],[Dis_amt]]-Superstore_Sales[[#This Row],[Shipping Cost]]</f>
        <v>2704.75</v>
      </c>
    </row>
    <row r="26" spans="1:28" x14ac:dyDescent="0.35">
      <c r="A26">
        <v>11645</v>
      </c>
      <c r="B26" t="s">
        <v>239</v>
      </c>
      <c r="C26" s="1">
        <v>40981</v>
      </c>
      <c r="D26" s="1">
        <v>40984</v>
      </c>
      <c r="E26">
        <f>Superstore_Sales[[#This Row],[Ship Date]]-Superstore_Sales[[#This Row],[Order Date]]</f>
        <v>3</v>
      </c>
      <c r="F26" t="s">
        <v>40</v>
      </c>
      <c r="G26" t="s">
        <v>240</v>
      </c>
      <c r="H26" t="s">
        <v>241</v>
      </c>
      <c r="I26" t="s">
        <v>28</v>
      </c>
      <c r="K26" t="s">
        <v>242</v>
      </c>
      <c r="L26" t="s">
        <v>243</v>
      </c>
      <c r="M26" t="s">
        <v>67</v>
      </c>
      <c r="N26" t="s">
        <v>68</v>
      </c>
      <c r="O26" t="s">
        <v>69</v>
      </c>
      <c r="P26" t="s">
        <v>172</v>
      </c>
      <c r="Q26" t="s">
        <v>147</v>
      </c>
      <c r="R26" t="s">
        <v>148</v>
      </c>
      <c r="S26" t="s">
        <v>173</v>
      </c>
      <c r="T26">
        <v>3069.74</v>
      </c>
      <c r="U26">
        <v>6</v>
      </c>
      <c r="V26">
        <v>0.1</v>
      </c>
      <c r="W26">
        <v>1364.24</v>
      </c>
      <c r="X26">
        <v>725.34</v>
      </c>
      <c r="Y26" t="s">
        <v>53</v>
      </c>
      <c r="Z26">
        <f>Superstore_Sales[[#This Row],[Sales]]*Superstore_Sales[[#This Row],[Quantity]]</f>
        <v>18418.439999999999</v>
      </c>
      <c r="AA26" s="3">
        <f>Superstore_Sales[[#This Row],[TotalSales]]*Superstore_Sales[[#This Row],[Discount]]/100</f>
        <v>18.41844</v>
      </c>
      <c r="AB26" s="2">
        <f>Superstore_Sales[[#This Row],[TotalSales]]-Superstore_Sales[[#This Row],[Dis_amt]]-Superstore_Sales[[#This Row],[Shipping Cost]]</f>
        <v>17674.681559999997</v>
      </c>
    </row>
    <row r="27" spans="1:28" x14ac:dyDescent="0.35">
      <c r="A27">
        <v>38460</v>
      </c>
      <c r="B27" t="s">
        <v>244</v>
      </c>
      <c r="C27" s="1">
        <v>41020</v>
      </c>
      <c r="D27" s="1">
        <v>41022</v>
      </c>
      <c r="E27">
        <f>Superstore_Sales[[#This Row],[Ship Date]]-Superstore_Sales[[#This Row],[Order Date]]</f>
        <v>2</v>
      </c>
      <c r="F27" t="s">
        <v>40</v>
      </c>
      <c r="G27" t="s">
        <v>245</v>
      </c>
      <c r="H27" t="s">
        <v>246</v>
      </c>
      <c r="I27" t="s">
        <v>43</v>
      </c>
      <c r="J27">
        <v>12180</v>
      </c>
      <c r="K27" t="s">
        <v>247</v>
      </c>
      <c r="L27" t="s">
        <v>248</v>
      </c>
      <c r="M27" t="s">
        <v>31</v>
      </c>
      <c r="N27" t="s">
        <v>249</v>
      </c>
      <c r="O27" t="s">
        <v>33</v>
      </c>
      <c r="P27" t="s">
        <v>250</v>
      </c>
      <c r="Q27" t="s">
        <v>147</v>
      </c>
      <c r="R27" t="s">
        <v>251</v>
      </c>
      <c r="S27" t="s">
        <v>252</v>
      </c>
      <c r="T27">
        <v>247.84</v>
      </c>
      <c r="U27">
        <v>8</v>
      </c>
      <c r="V27">
        <v>0</v>
      </c>
      <c r="W27">
        <v>121.44</v>
      </c>
      <c r="X27">
        <v>55.2</v>
      </c>
      <c r="Y27" t="s">
        <v>53</v>
      </c>
      <c r="Z27">
        <f>Superstore_Sales[[#This Row],[Sales]]*Superstore_Sales[[#This Row],[Quantity]]</f>
        <v>1982.72</v>
      </c>
      <c r="AA27" s="3">
        <f>Superstore_Sales[[#This Row],[TotalSales]]*Superstore_Sales[[#This Row],[Discount]]/100</f>
        <v>0</v>
      </c>
      <c r="AB27" s="2">
        <f>Superstore_Sales[[#This Row],[TotalSales]]-Superstore_Sales[[#This Row],[Dis_amt]]-Superstore_Sales[[#This Row],[Shipping Cost]]</f>
        <v>1927.52</v>
      </c>
    </row>
    <row r="28" spans="1:28" x14ac:dyDescent="0.35">
      <c r="A28">
        <v>22999</v>
      </c>
      <c r="B28" t="s">
        <v>253</v>
      </c>
      <c r="C28" s="1">
        <v>41329</v>
      </c>
      <c r="D28" s="1">
        <v>41329</v>
      </c>
      <c r="E28">
        <f>Superstore_Sales[[#This Row],[Ship Date]]-Superstore_Sales[[#This Row],[Order Date]]</f>
        <v>0</v>
      </c>
      <c r="F28" t="s">
        <v>73</v>
      </c>
      <c r="G28" t="s">
        <v>254</v>
      </c>
      <c r="H28" t="s">
        <v>255</v>
      </c>
      <c r="I28" t="s">
        <v>28</v>
      </c>
      <c r="K28" t="s">
        <v>256</v>
      </c>
      <c r="L28" t="s">
        <v>257</v>
      </c>
      <c r="M28" t="s">
        <v>258</v>
      </c>
      <c r="N28" t="s">
        <v>118</v>
      </c>
      <c r="O28" t="s">
        <v>48</v>
      </c>
      <c r="P28" t="s">
        <v>259</v>
      </c>
      <c r="Q28" t="s">
        <v>50</v>
      </c>
      <c r="R28" t="s">
        <v>51</v>
      </c>
      <c r="S28" t="s">
        <v>260</v>
      </c>
      <c r="T28">
        <v>1878.72</v>
      </c>
      <c r="U28">
        <v>4</v>
      </c>
      <c r="V28">
        <v>0</v>
      </c>
      <c r="W28">
        <v>582.36</v>
      </c>
      <c r="X28">
        <v>704.08</v>
      </c>
      <c r="Y28" t="s">
        <v>53</v>
      </c>
      <c r="Z28">
        <f>Superstore_Sales[[#This Row],[Sales]]*Superstore_Sales[[#This Row],[Quantity]]</f>
        <v>7514.88</v>
      </c>
      <c r="AA28" s="3">
        <f>Superstore_Sales[[#This Row],[TotalSales]]*Superstore_Sales[[#This Row],[Discount]]/100</f>
        <v>0</v>
      </c>
      <c r="AB28" s="2">
        <f>Superstore_Sales[[#This Row],[TotalSales]]-Superstore_Sales[[#This Row],[Dis_amt]]-Superstore_Sales[[#This Row],[Shipping Cost]]</f>
        <v>6810.8</v>
      </c>
    </row>
    <row r="29" spans="1:28" x14ac:dyDescent="0.35">
      <c r="A29">
        <v>220</v>
      </c>
      <c r="B29" t="s">
        <v>261</v>
      </c>
      <c r="C29" s="1">
        <v>41270</v>
      </c>
      <c r="D29" s="1">
        <v>41272</v>
      </c>
      <c r="E29">
        <f>Superstore_Sales[[#This Row],[Ship Date]]-Superstore_Sales[[#This Row],[Order Date]]</f>
        <v>2</v>
      </c>
      <c r="F29" t="s">
        <v>40</v>
      </c>
      <c r="G29" t="s">
        <v>262</v>
      </c>
      <c r="H29" t="s">
        <v>263</v>
      </c>
      <c r="I29" t="s">
        <v>43</v>
      </c>
      <c r="K29" t="s">
        <v>264</v>
      </c>
      <c r="L29" t="s">
        <v>264</v>
      </c>
      <c r="M29" t="s">
        <v>265</v>
      </c>
      <c r="N29" t="s">
        <v>266</v>
      </c>
      <c r="O29" t="s">
        <v>136</v>
      </c>
      <c r="P29" t="s">
        <v>267</v>
      </c>
      <c r="Q29" t="s">
        <v>35</v>
      </c>
      <c r="R29" t="s">
        <v>36</v>
      </c>
      <c r="S29" t="s">
        <v>268</v>
      </c>
      <c r="T29">
        <v>1696.64</v>
      </c>
      <c r="U29">
        <v>5</v>
      </c>
      <c r="V29">
        <v>0.2</v>
      </c>
      <c r="W29">
        <v>-148.46</v>
      </c>
      <c r="X29">
        <v>704.05600000000004</v>
      </c>
      <c r="Y29" t="s">
        <v>53</v>
      </c>
      <c r="Z29">
        <f>Superstore_Sales[[#This Row],[Sales]]*Superstore_Sales[[#This Row],[Quantity]]</f>
        <v>8483.2000000000007</v>
      </c>
      <c r="AA29" s="3">
        <f>Superstore_Sales[[#This Row],[TotalSales]]*Superstore_Sales[[#This Row],[Discount]]/100</f>
        <v>16.966400000000004</v>
      </c>
      <c r="AB29" s="2">
        <f>Superstore_Sales[[#This Row],[TotalSales]]-Superstore_Sales[[#This Row],[Dis_amt]]-Superstore_Sales[[#This Row],[Shipping Cost]]</f>
        <v>7762.1776000000009</v>
      </c>
    </row>
    <row r="30" spans="1:28" x14ac:dyDescent="0.35">
      <c r="A30">
        <v>10648</v>
      </c>
      <c r="B30" t="s">
        <v>269</v>
      </c>
      <c r="C30" s="1">
        <v>41472</v>
      </c>
      <c r="D30" s="1">
        <v>41474</v>
      </c>
      <c r="E30">
        <f>Superstore_Sales[[#This Row],[Ship Date]]-Superstore_Sales[[#This Row],[Order Date]]</f>
        <v>2</v>
      </c>
      <c r="F30" t="s">
        <v>25</v>
      </c>
      <c r="G30" t="s">
        <v>270</v>
      </c>
      <c r="H30" t="s">
        <v>271</v>
      </c>
      <c r="I30" t="s">
        <v>43</v>
      </c>
      <c r="K30" t="s">
        <v>272</v>
      </c>
      <c r="L30" t="s">
        <v>273</v>
      </c>
      <c r="M30" t="s">
        <v>155</v>
      </c>
      <c r="N30" t="s">
        <v>68</v>
      </c>
      <c r="O30" t="s">
        <v>69</v>
      </c>
      <c r="P30" t="s">
        <v>274</v>
      </c>
      <c r="Q30" t="s">
        <v>35</v>
      </c>
      <c r="R30" t="s">
        <v>275</v>
      </c>
      <c r="S30" t="s">
        <v>276</v>
      </c>
      <c r="T30">
        <v>2402.87</v>
      </c>
      <c r="U30">
        <v>9</v>
      </c>
      <c r="V30">
        <v>0.15</v>
      </c>
      <c r="W30">
        <v>763.16</v>
      </c>
      <c r="X30">
        <v>699.55</v>
      </c>
      <c r="Y30" t="s">
        <v>53</v>
      </c>
      <c r="Z30">
        <f>Superstore_Sales[[#This Row],[Sales]]*Superstore_Sales[[#This Row],[Quantity]]</f>
        <v>21625.829999999998</v>
      </c>
      <c r="AA30" s="3">
        <f>Superstore_Sales[[#This Row],[TotalSales]]*Superstore_Sales[[#This Row],[Discount]]/100</f>
        <v>32.438744999999997</v>
      </c>
      <c r="AB30" s="2">
        <f>Superstore_Sales[[#This Row],[TotalSales]]-Superstore_Sales[[#This Row],[Dis_amt]]-Superstore_Sales[[#This Row],[Shipping Cost]]</f>
        <v>20893.841254999999</v>
      </c>
    </row>
    <row r="31" spans="1:28" x14ac:dyDescent="0.35">
      <c r="A31">
        <v>40977</v>
      </c>
      <c r="B31" t="s">
        <v>277</v>
      </c>
      <c r="C31" s="1">
        <v>41635</v>
      </c>
      <c r="D31" s="1">
        <v>41639</v>
      </c>
      <c r="E31">
        <f>Superstore_Sales[[#This Row],[Ship Date]]-Superstore_Sales[[#This Row],[Order Date]]</f>
        <v>4</v>
      </c>
      <c r="F31" t="s">
        <v>98</v>
      </c>
      <c r="G31" t="s">
        <v>278</v>
      </c>
      <c r="H31" t="s">
        <v>246</v>
      </c>
      <c r="I31" t="s">
        <v>43</v>
      </c>
      <c r="J31">
        <v>94122</v>
      </c>
      <c r="K31" t="s">
        <v>279</v>
      </c>
      <c r="L31" t="s">
        <v>280</v>
      </c>
      <c r="M31" t="s">
        <v>31</v>
      </c>
      <c r="N31" t="s">
        <v>110</v>
      </c>
      <c r="O31" t="s">
        <v>33</v>
      </c>
      <c r="P31" t="s">
        <v>281</v>
      </c>
      <c r="Q31" t="s">
        <v>35</v>
      </c>
      <c r="R31" t="s">
        <v>36</v>
      </c>
      <c r="S31" t="s">
        <v>282</v>
      </c>
      <c r="T31">
        <v>668.16</v>
      </c>
      <c r="U31">
        <v>9</v>
      </c>
      <c r="V31">
        <v>0.2</v>
      </c>
      <c r="W31">
        <v>75.17</v>
      </c>
      <c r="X31">
        <v>45.74</v>
      </c>
      <c r="Y31" t="s">
        <v>61</v>
      </c>
      <c r="Z31">
        <f>Superstore_Sales[[#This Row],[Sales]]*Superstore_Sales[[#This Row],[Quantity]]</f>
        <v>6013.44</v>
      </c>
      <c r="AA31" s="3">
        <f>Superstore_Sales[[#This Row],[TotalSales]]*Superstore_Sales[[#This Row],[Discount]]/100</f>
        <v>12.026879999999998</v>
      </c>
      <c r="AB31" s="2">
        <f>Superstore_Sales[[#This Row],[TotalSales]]-Superstore_Sales[[#This Row],[Dis_amt]]-Superstore_Sales[[#This Row],[Shipping Cost]]</f>
        <v>5955.6731199999995</v>
      </c>
    </row>
    <row r="32" spans="1:28" x14ac:dyDescent="0.35">
      <c r="A32">
        <v>21286</v>
      </c>
      <c r="B32" t="s">
        <v>283</v>
      </c>
      <c r="C32" s="1">
        <v>41215</v>
      </c>
      <c r="D32" s="1">
        <v>41217</v>
      </c>
      <c r="E32">
        <f>Superstore_Sales[[#This Row],[Ship Date]]-Superstore_Sales[[#This Row],[Order Date]]</f>
        <v>2</v>
      </c>
      <c r="F32" t="s">
        <v>40</v>
      </c>
      <c r="G32" t="s">
        <v>284</v>
      </c>
      <c r="H32" t="s">
        <v>285</v>
      </c>
      <c r="I32" t="s">
        <v>43</v>
      </c>
      <c r="K32" t="s">
        <v>286</v>
      </c>
      <c r="L32" t="s">
        <v>58</v>
      </c>
      <c r="M32" t="s">
        <v>46</v>
      </c>
      <c r="N32" t="s">
        <v>47</v>
      </c>
      <c r="O32" t="s">
        <v>48</v>
      </c>
      <c r="P32" t="s">
        <v>287</v>
      </c>
      <c r="Q32" t="s">
        <v>147</v>
      </c>
      <c r="R32" t="s">
        <v>148</v>
      </c>
      <c r="S32" t="s">
        <v>288</v>
      </c>
      <c r="T32">
        <v>2526.9299999999998</v>
      </c>
      <c r="U32">
        <v>5</v>
      </c>
      <c r="V32">
        <v>0.1</v>
      </c>
      <c r="W32">
        <v>561.48</v>
      </c>
      <c r="X32">
        <v>689.8</v>
      </c>
      <c r="Y32" t="s">
        <v>53</v>
      </c>
      <c r="Z32">
        <f>Superstore_Sales[[#This Row],[Sales]]*Superstore_Sales[[#This Row],[Quantity]]</f>
        <v>12634.65</v>
      </c>
      <c r="AA32" s="3">
        <f>Superstore_Sales[[#This Row],[TotalSales]]*Superstore_Sales[[#This Row],[Discount]]/100</f>
        <v>12.634650000000001</v>
      </c>
      <c r="AB32" s="2">
        <f>Superstore_Sales[[#This Row],[TotalSales]]-Superstore_Sales[[#This Row],[Dis_amt]]-Superstore_Sales[[#This Row],[Shipping Cost]]</f>
        <v>11932.21535</v>
      </c>
    </row>
    <row r="33" spans="1:28" x14ac:dyDescent="0.35">
      <c r="A33">
        <v>47905</v>
      </c>
      <c r="B33" t="s">
        <v>289</v>
      </c>
      <c r="C33" s="1">
        <v>41165</v>
      </c>
      <c r="D33" s="1">
        <v>41166</v>
      </c>
      <c r="E33">
        <f>Superstore_Sales[[#This Row],[Ship Date]]-Superstore_Sales[[#This Row],[Order Date]]</f>
        <v>1</v>
      </c>
      <c r="F33" t="s">
        <v>25</v>
      </c>
      <c r="G33" t="s">
        <v>290</v>
      </c>
      <c r="H33" t="s">
        <v>246</v>
      </c>
      <c r="I33" t="s">
        <v>43</v>
      </c>
      <c r="K33" t="s">
        <v>291</v>
      </c>
      <c r="L33" t="s">
        <v>292</v>
      </c>
      <c r="M33" t="s">
        <v>293</v>
      </c>
      <c r="N33" t="s">
        <v>294</v>
      </c>
      <c r="O33" t="s">
        <v>79</v>
      </c>
      <c r="P33" t="s">
        <v>295</v>
      </c>
      <c r="Q33" t="s">
        <v>35</v>
      </c>
      <c r="R33" t="s">
        <v>36</v>
      </c>
      <c r="S33" t="s">
        <v>296</v>
      </c>
      <c r="T33">
        <v>3817.26</v>
      </c>
      <c r="U33">
        <v>6</v>
      </c>
      <c r="V33">
        <v>0</v>
      </c>
      <c r="W33">
        <v>1068.6600000000001</v>
      </c>
      <c r="X33">
        <v>678.15</v>
      </c>
      <c r="Y33" t="s">
        <v>38</v>
      </c>
      <c r="Z33">
        <f>Superstore_Sales[[#This Row],[Sales]]*Superstore_Sales[[#This Row],[Quantity]]</f>
        <v>22903.56</v>
      </c>
      <c r="AA33" s="3">
        <f>Superstore_Sales[[#This Row],[TotalSales]]*Superstore_Sales[[#This Row],[Discount]]/100</f>
        <v>0</v>
      </c>
      <c r="AB33" s="2">
        <f>Superstore_Sales[[#This Row],[TotalSales]]-Superstore_Sales[[#This Row],[Dis_amt]]-Superstore_Sales[[#This Row],[Shipping Cost]]</f>
        <v>22225.41</v>
      </c>
    </row>
    <row r="34" spans="1:28" x14ac:dyDescent="0.35">
      <c r="A34">
        <v>36651</v>
      </c>
      <c r="B34" t="s">
        <v>297</v>
      </c>
      <c r="C34" s="1">
        <v>41041</v>
      </c>
      <c r="D34" s="1">
        <v>41047</v>
      </c>
      <c r="E34">
        <f>Superstore_Sales[[#This Row],[Ship Date]]-Superstore_Sales[[#This Row],[Order Date]]</f>
        <v>6</v>
      </c>
      <c r="F34" t="s">
        <v>98</v>
      </c>
      <c r="G34" t="s">
        <v>278</v>
      </c>
      <c r="H34" t="s">
        <v>246</v>
      </c>
      <c r="I34" t="s">
        <v>43</v>
      </c>
      <c r="J34">
        <v>90004</v>
      </c>
      <c r="K34" t="s">
        <v>298</v>
      </c>
      <c r="L34" t="s">
        <v>280</v>
      </c>
      <c r="M34" t="s">
        <v>31</v>
      </c>
      <c r="N34" t="s">
        <v>110</v>
      </c>
      <c r="O34" t="s">
        <v>33</v>
      </c>
      <c r="P34" t="s">
        <v>299</v>
      </c>
      <c r="Q34" t="s">
        <v>50</v>
      </c>
      <c r="R34" t="s">
        <v>51</v>
      </c>
      <c r="S34" t="s">
        <v>300</v>
      </c>
      <c r="T34">
        <v>279.45999999999998</v>
      </c>
      <c r="U34">
        <v>6</v>
      </c>
      <c r="V34">
        <v>0.2</v>
      </c>
      <c r="W34">
        <v>20.96</v>
      </c>
      <c r="X34">
        <v>11.69</v>
      </c>
      <c r="Y34" t="s">
        <v>61</v>
      </c>
      <c r="Z34">
        <f>Superstore_Sales[[#This Row],[Sales]]*Superstore_Sales[[#This Row],[Quantity]]</f>
        <v>1676.7599999999998</v>
      </c>
      <c r="AA34" s="3">
        <f>Superstore_Sales[[#This Row],[TotalSales]]*Superstore_Sales[[#This Row],[Discount]]/100</f>
        <v>3.3535199999999996</v>
      </c>
      <c r="AB34" s="2">
        <f>Superstore_Sales[[#This Row],[TotalSales]]-Superstore_Sales[[#This Row],[Dis_amt]]-Superstore_Sales[[#This Row],[Shipping Cost]]</f>
        <v>1661.7164799999998</v>
      </c>
    </row>
    <row r="35" spans="1:28" x14ac:dyDescent="0.35">
      <c r="A35">
        <v>40100</v>
      </c>
      <c r="B35" t="s">
        <v>301</v>
      </c>
      <c r="C35" s="1">
        <v>41273</v>
      </c>
      <c r="D35" s="1">
        <v>41274</v>
      </c>
      <c r="E35">
        <f>Superstore_Sales[[#This Row],[Ship Date]]-Superstore_Sales[[#This Row],[Order Date]]</f>
        <v>1</v>
      </c>
      <c r="F35" t="s">
        <v>25</v>
      </c>
      <c r="G35" t="s">
        <v>245</v>
      </c>
      <c r="H35" t="s">
        <v>246</v>
      </c>
      <c r="I35" t="s">
        <v>43</v>
      </c>
      <c r="J35">
        <v>10035</v>
      </c>
      <c r="K35" t="s">
        <v>302</v>
      </c>
      <c r="L35" t="s">
        <v>248</v>
      </c>
      <c r="M35" t="s">
        <v>31</v>
      </c>
      <c r="N35" t="s">
        <v>249</v>
      </c>
      <c r="O35" t="s">
        <v>33</v>
      </c>
      <c r="P35" t="s">
        <v>303</v>
      </c>
      <c r="Q35" t="s">
        <v>35</v>
      </c>
      <c r="R35" t="s">
        <v>304</v>
      </c>
      <c r="S35" t="s">
        <v>305</v>
      </c>
      <c r="T35">
        <v>34.770000000000003</v>
      </c>
      <c r="U35">
        <v>3</v>
      </c>
      <c r="V35">
        <v>0</v>
      </c>
      <c r="W35">
        <v>11.47</v>
      </c>
      <c r="X35">
        <v>8.2200000000000006</v>
      </c>
      <c r="Y35" t="s">
        <v>38</v>
      </c>
      <c r="Z35">
        <f>Superstore_Sales[[#This Row],[Sales]]*Superstore_Sales[[#This Row],[Quantity]]</f>
        <v>104.31</v>
      </c>
      <c r="AA35" s="3">
        <f>Superstore_Sales[[#This Row],[TotalSales]]*Superstore_Sales[[#This Row],[Discount]]/100</f>
        <v>0</v>
      </c>
      <c r="AB35" s="2">
        <f>Superstore_Sales[[#This Row],[TotalSales]]-Superstore_Sales[[#This Row],[Dis_amt]]-Superstore_Sales[[#This Row],[Shipping Cost]]</f>
        <v>96.09</v>
      </c>
    </row>
    <row r="36" spans="1:28" x14ac:dyDescent="0.35">
      <c r="A36">
        <v>15380</v>
      </c>
      <c r="B36" t="s">
        <v>306</v>
      </c>
      <c r="C36" s="1">
        <v>42018</v>
      </c>
      <c r="D36" s="1">
        <v>42022</v>
      </c>
      <c r="E36">
        <f>Superstore_Sales[[#This Row],[Ship Date]]-Superstore_Sales[[#This Row],[Order Date]]</f>
        <v>4</v>
      </c>
      <c r="F36" t="s">
        <v>98</v>
      </c>
      <c r="G36" t="s">
        <v>307</v>
      </c>
      <c r="H36" t="s">
        <v>308</v>
      </c>
      <c r="I36" t="s">
        <v>28</v>
      </c>
      <c r="K36" t="s">
        <v>309</v>
      </c>
      <c r="L36" t="s">
        <v>310</v>
      </c>
      <c r="M36" t="s">
        <v>210</v>
      </c>
      <c r="N36" t="s">
        <v>211</v>
      </c>
      <c r="O36" t="s">
        <v>69</v>
      </c>
      <c r="P36" t="s">
        <v>311</v>
      </c>
      <c r="Q36" t="s">
        <v>35</v>
      </c>
      <c r="R36" t="s">
        <v>81</v>
      </c>
      <c r="S36" t="s">
        <v>312</v>
      </c>
      <c r="T36">
        <v>4141.0200000000004</v>
      </c>
      <c r="U36">
        <v>13</v>
      </c>
      <c r="V36">
        <v>0</v>
      </c>
      <c r="W36">
        <v>1697.67</v>
      </c>
      <c r="X36">
        <v>668.96</v>
      </c>
      <c r="Y36" t="s">
        <v>38</v>
      </c>
      <c r="Z36">
        <f>Superstore_Sales[[#This Row],[Sales]]*Superstore_Sales[[#This Row],[Quantity]]</f>
        <v>53833.260000000009</v>
      </c>
      <c r="AA36" s="3">
        <f>Superstore_Sales[[#This Row],[TotalSales]]*Superstore_Sales[[#This Row],[Discount]]/100</f>
        <v>0</v>
      </c>
      <c r="AB36" s="2">
        <f>Superstore_Sales[[#This Row],[TotalSales]]-Superstore_Sales[[#This Row],[Dis_amt]]-Superstore_Sales[[#This Row],[Shipping Cost]]</f>
        <v>53164.30000000001</v>
      </c>
    </row>
    <row r="37" spans="1:28" x14ac:dyDescent="0.35">
      <c r="A37">
        <v>28046</v>
      </c>
      <c r="B37" t="s">
        <v>313</v>
      </c>
      <c r="C37" s="1">
        <v>40918</v>
      </c>
      <c r="D37" s="1">
        <v>40919</v>
      </c>
      <c r="E37">
        <f>Superstore_Sales[[#This Row],[Ship Date]]-Superstore_Sales[[#This Row],[Order Date]]</f>
        <v>1</v>
      </c>
      <c r="F37" t="s">
        <v>25</v>
      </c>
      <c r="G37" t="s">
        <v>314</v>
      </c>
      <c r="H37" t="s">
        <v>315</v>
      </c>
      <c r="I37" t="s">
        <v>28</v>
      </c>
      <c r="K37" t="s">
        <v>57</v>
      </c>
      <c r="L37" t="s">
        <v>58</v>
      </c>
      <c r="M37" t="s">
        <v>46</v>
      </c>
      <c r="N37" t="s">
        <v>47</v>
      </c>
      <c r="O37" t="s">
        <v>48</v>
      </c>
      <c r="P37" t="s">
        <v>59</v>
      </c>
      <c r="Q37" t="s">
        <v>35</v>
      </c>
      <c r="R37" t="s">
        <v>36</v>
      </c>
      <c r="S37" t="s">
        <v>60</v>
      </c>
      <c r="T37">
        <v>2875.1</v>
      </c>
      <c r="U37">
        <v>5</v>
      </c>
      <c r="V37">
        <v>0.1</v>
      </c>
      <c r="W37">
        <v>511.1</v>
      </c>
      <c r="X37">
        <v>665.27</v>
      </c>
      <c r="Y37" t="s">
        <v>61</v>
      </c>
      <c r="Z37">
        <f>Superstore_Sales[[#This Row],[Sales]]*Superstore_Sales[[#This Row],[Quantity]]</f>
        <v>14375.5</v>
      </c>
      <c r="AA37" s="3">
        <f>Superstore_Sales[[#This Row],[TotalSales]]*Superstore_Sales[[#This Row],[Discount]]/100</f>
        <v>14.375500000000002</v>
      </c>
      <c r="AB37" s="2">
        <f>Superstore_Sales[[#This Row],[TotalSales]]-Superstore_Sales[[#This Row],[Dis_amt]]-Superstore_Sales[[#This Row],[Shipping Cost]]</f>
        <v>13695.854499999999</v>
      </c>
    </row>
    <row r="38" spans="1:28" x14ac:dyDescent="0.35">
      <c r="A38">
        <v>21316</v>
      </c>
      <c r="B38" t="s">
        <v>316</v>
      </c>
      <c r="C38" s="1">
        <v>41873</v>
      </c>
      <c r="D38" s="1">
        <v>41877</v>
      </c>
      <c r="E38">
        <f>Superstore_Sales[[#This Row],[Ship Date]]-Superstore_Sales[[#This Row],[Order Date]]</f>
        <v>4</v>
      </c>
      <c r="F38" t="s">
        <v>98</v>
      </c>
      <c r="G38" t="s">
        <v>317</v>
      </c>
      <c r="H38" t="s">
        <v>318</v>
      </c>
      <c r="I38" t="s">
        <v>28</v>
      </c>
      <c r="K38" t="s">
        <v>319</v>
      </c>
      <c r="L38" t="s">
        <v>320</v>
      </c>
      <c r="M38" t="s">
        <v>321</v>
      </c>
      <c r="N38" t="s">
        <v>322</v>
      </c>
      <c r="O38" t="s">
        <v>48</v>
      </c>
      <c r="P38" t="s">
        <v>221</v>
      </c>
      <c r="Q38" t="s">
        <v>35</v>
      </c>
      <c r="R38" t="s">
        <v>36</v>
      </c>
      <c r="S38" t="s">
        <v>222</v>
      </c>
      <c r="T38">
        <v>3200.6</v>
      </c>
      <c r="U38">
        <v>6</v>
      </c>
      <c r="V38">
        <v>0.17</v>
      </c>
      <c r="W38">
        <v>-77.2</v>
      </c>
      <c r="X38">
        <v>660.87</v>
      </c>
      <c r="Y38" t="s">
        <v>38</v>
      </c>
      <c r="Z38">
        <f>Superstore_Sales[[#This Row],[Sales]]*Superstore_Sales[[#This Row],[Quantity]]</f>
        <v>19203.599999999999</v>
      </c>
      <c r="AA38" s="3">
        <f>Superstore_Sales[[#This Row],[TotalSales]]*Superstore_Sales[[#This Row],[Discount]]/100</f>
        <v>32.646120000000003</v>
      </c>
      <c r="AB38" s="2">
        <f>Superstore_Sales[[#This Row],[TotalSales]]-Superstore_Sales[[#This Row],[Dis_amt]]-Superstore_Sales[[#This Row],[Shipping Cost]]</f>
        <v>18510.083879999998</v>
      </c>
    </row>
    <row r="39" spans="1:28" x14ac:dyDescent="0.35">
      <c r="A39">
        <v>29272</v>
      </c>
      <c r="B39" t="s">
        <v>323</v>
      </c>
      <c r="C39" s="1">
        <v>42319</v>
      </c>
      <c r="D39" s="1">
        <v>42323</v>
      </c>
      <c r="E39">
        <f>Superstore_Sales[[#This Row],[Ship Date]]-Superstore_Sales[[#This Row],[Order Date]]</f>
        <v>4</v>
      </c>
      <c r="F39" t="s">
        <v>98</v>
      </c>
      <c r="G39" t="s">
        <v>324</v>
      </c>
      <c r="H39" t="s">
        <v>325</v>
      </c>
      <c r="I39" t="s">
        <v>65</v>
      </c>
      <c r="K39" t="s">
        <v>326</v>
      </c>
      <c r="L39" t="s">
        <v>327</v>
      </c>
      <c r="M39" t="s">
        <v>258</v>
      </c>
      <c r="N39" t="s">
        <v>118</v>
      </c>
      <c r="O39" t="s">
        <v>48</v>
      </c>
      <c r="P39" t="s">
        <v>328</v>
      </c>
      <c r="Q39" t="s">
        <v>35</v>
      </c>
      <c r="R39" t="s">
        <v>36</v>
      </c>
      <c r="S39" t="s">
        <v>329</v>
      </c>
      <c r="T39">
        <v>4518.78</v>
      </c>
      <c r="U39">
        <v>7</v>
      </c>
      <c r="V39">
        <v>0</v>
      </c>
      <c r="W39">
        <v>632.52</v>
      </c>
      <c r="X39">
        <v>658.69</v>
      </c>
      <c r="Y39" t="s">
        <v>38</v>
      </c>
      <c r="Z39">
        <f>Superstore_Sales[[#This Row],[Sales]]*Superstore_Sales[[#This Row],[Quantity]]</f>
        <v>31631.46</v>
      </c>
      <c r="AA39" s="3">
        <f>Superstore_Sales[[#This Row],[TotalSales]]*Superstore_Sales[[#This Row],[Discount]]/100</f>
        <v>0</v>
      </c>
      <c r="AB39" s="2">
        <f>Superstore_Sales[[#This Row],[TotalSales]]-Superstore_Sales[[#This Row],[Dis_amt]]-Superstore_Sales[[#This Row],[Shipping Cost]]</f>
        <v>30972.77</v>
      </c>
    </row>
    <row r="40" spans="1:28" x14ac:dyDescent="0.35">
      <c r="A40">
        <v>25795</v>
      </c>
      <c r="B40" t="s">
        <v>330</v>
      </c>
      <c r="C40" s="1">
        <v>42273</v>
      </c>
      <c r="D40" s="1">
        <v>42275</v>
      </c>
      <c r="E40">
        <f>Superstore_Sales[[#This Row],[Ship Date]]-Superstore_Sales[[#This Row],[Order Date]]</f>
        <v>2</v>
      </c>
      <c r="F40" t="s">
        <v>40</v>
      </c>
      <c r="G40" t="s">
        <v>331</v>
      </c>
      <c r="H40" t="s">
        <v>332</v>
      </c>
      <c r="I40" t="s">
        <v>43</v>
      </c>
      <c r="K40" t="s">
        <v>333</v>
      </c>
      <c r="L40" t="s">
        <v>334</v>
      </c>
      <c r="M40" t="s">
        <v>258</v>
      </c>
      <c r="N40" t="s">
        <v>118</v>
      </c>
      <c r="O40" t="s">
        <v>48</v>
      </c>
      <c r="P40" t="s">
        <v>335</v>
      </c>
      <c r="Q40" t="s">
        <v>50</v>
      </c>
      <c r="R40" t="s">
        <v>336</v>
      </c>
      <c r="S40" t="s">
        <v>337</v>
      </c>
      <c r="T40">
        <v>5667.87</v>
      </c>
      <c r="U40">
        <v>13</v>
      </c>
      <c r="V40">
        <v>0</v>
      </c>
      <c r="W40">
        <v>2097.0300000000002</v>
      </c>
      <c r="X40">
        <v>658.35</v>
      </c>
      <c r="Y40" t="s">
        <v>61</v>
      </c>
      <c r="Z40">
        <f>Superstore_Sales[[#This Row],[Sales]]*Superstore_Sales[[#This Row],[Quantity]]</f>
        <v>73682.31</v>
      </c>
      <c r="AA40" s="3">
        <f>Superstore_Sales[[#This Row],[TotalSales]]*Superstore_Sales[[#This Row],[Discount]]/100</f>
        <v>0</v>
      </c>
      <c r="AB40" s="2">
        <f>Superstore_Sales[[#This Row],[TotalSales]]-Superstore_Sales[[#This Row],[Dis_amt]]-Superstore_Sales[[#This Row],[Shipping Cost]]</f>
        <v>73023.959999999992</v>
      </c>
    </row>
    <row r="41" spans="1:28" x14ac:dyDescent="0.35">
      <c r="A41">
        <v>16681</v>
      </c>
      <c r="B41" t="s">
        <v>338</v>
      </c>
      <c r="C41" s="1">
        <v>41621</v>
      </c>
      <c r="D41" s="1">
        <v>41625</v>
      </c>
      <c r="E41">
        <f>Superstore_Sales[[#This Row],[Ship Date]]-Superstore_Sales[[#This Row],[Order Date]]</f>
        <v>4</v>
      </c>
      <c r="F41" t="s">
        <v>98</v>
      </c>
      <c r="G41" t="s">
        <v>339</v>
      </c>
      <c r="H41" t="s">
        <v>340</v>
      </c>
      <c r="I41" t="s">
        <v>28</v>
      </c>
      <c r="K41" t="s">
        <v>341</v>
      </c>
      <c r="L41" t="s">
        <v>310</v>
      </c>
      <c r="M41" t="s">
        <v>210</v>
      </c>
      <c r="N41" t="s">
        <v>211</v>
      </c>
      <c r="O41" t="s">
        <v>69</v>
      </c>
      <c r="P41" t="s">
        <v>70</v>
      </c>
      <c r="Q41" t="s">
        <v>35</v>
      </c>
      <c r="R41" t="s">
        <v>36</v>
      </c>
      <c r="S41" t="s">
        <v>71</v>
      </c>
      <c r="T41">
        <v>5785.02</v>
      </c>
      <c r="U41">
        <v>9</v>
      </c>
      <c r="V41">
        <v>0</v>
      </c>
      <c r="W41">
        <v>404.73</v>
      </c>
      <c r="X41">
        <v>656.73</v>
      </c>
      <c r="Y41" t="s">
        <v>38</v>
      </c>
      <c r="Z41">
        <f>Superstore_Sales[[#This Row],[Sales]]*Superstore_Sales[[#This Row],[Quantity]]</f>
        <v>52065.180000000008</v>
      </c>
      <c r="AA41" s="3">
        <f>Superstore_Sales[[#This Row],[TotalSales]]*Superstore_Sales[[#This Row],[Discount]]/100</f>
        <v>0</v>
      </c>
      <c r="AB41" s="2">
        <f>Superstore_Sales[[#This Row],[TotalSales]]-Superstore_Sales[[#This Row],[Dis_amt]]-Superstore_Sales[[#This Row],[Shipping Cost]]</f>
        <v>51408.450000000004</v>
      </c>
    </row>
    <row r="42" spans="1:28" x14ac:dyDescent="0.35">
      <c r="A42">
        <v>15953</v>
      </c>
      <c r="B42" t="s">
        <v>342</v>
      </c>
      <c r="C42" s="1">
        <v>41174</v>
      </c>
      <c r="D42" s="1">
        <v>41176</v>
      </c>
      <c r="E42">
        <f>Superstore_Sales[[#This Row],[Ship Date]]-Superstore_Sales[[#This Row],[Order Date]]</f>
        <v>2</v>
      </c>
      <c r="F42" t="s">
        <v>25</v>
      </c>
      <c r="G42" t="s">
        <v>343</v>
      </c>
      <c r="H42" t="s">
        <v>344</v>
      </c>
      <c r="I42" t="s">
        <v>28</v>
      </c>
      <c r="K42" t="s">
        <v>66</v>
      </c>
      <c r="L42" t="s">
        <v>66</v>
      </c>
      <c r="M42" t="s">
        <v>67</v>
      </c>
      <c r="N42" t="s">
        <v>68</v>
      </c>
      <c r="O42" t="s">
        <v>69</v>
      </c>
      <c r="P42" t="s">
        <v>345</v>
      </c>
      <c r="Q42" t="s">
        <v>147</v>
      </c>
      <c r="R42" t="s">
        <v>148</v>
      </c>
      <c r="S42" t="s">
        <v>346</v>
      </c>
      <c r="T42">
        <v>3018.62</v>
      </c>
      <c r="U42">
        <v>7</v>
      </c>
      <c r="V42">
        <v>0.2</v>
      </c>
      <c r="W42">
        <v>377.24</v>
      </c>
      <c r="X42">
        <v>655.91</v>
      </c>
      <c r="Y42" t="s">
        <v>53</v>
      </c>
      <c r="Z42">
        <f>Superstore_Sales[[#This Row],[Sales]]*Superstore_Sales[[#This Row],[Quantity]]</f>
        <v>21130.34</v>
      </c>
      <c r="AA42" s="3">
        <f>Superstore_Sales[[#This Row],[TotalSales]]*Superstore_Sales[[#This Row],[Discount]]/100</f>
        <v>42.260680000000001</v>
      </c>
      <c r="AB42" s="2">
        <f>Superstore_Sales[[#This Row],[TotalSales]]-Superstore_Sales[[#This Row],[Dis_amt]]-Superstore_Sales[[#This Row],[Shipping Cost]]</f>
        <v>20432.169320000001</v>
      </c>
    </row>
    <row r="43" spans="1:28" x14ac:dyDescent="0.35">
      <c r="A43">
        <v>34608</v>
      </c>
      <c r="B43" t="s">
        <v>347</v>
      </c>
      <c r="C43" s="1">
        <v>41719</v>
      </c>
      <c r="D43" s="1">
        <v>41724</v>
      </c>
      <c r="E43">
        <f>Superstore_Sales[[#This Row],[Ship Date]]-Superstore_Sales[[#This Row],[Order Date]]</f>
        <v>5</v>
      </c>
      <c r="F43" t="s">
        <v>40</v>
      </c>
      <c r="G43" t="s">
        <v>348</v>
      </c>
      <c r="H43" t="s">
        <v>246</v>
      </c>
      <c r="I43" t="s">
        <v>43</v>
      </c>
      <c r="J43">
        <v>39503</v>
      </c>
      <c r="K43" t="s">
        <v>349</v>
      </c>
      <c r="L43" t="s">
        <v>350</v>
      </c>
      <c r="M43" t="s">
        <v>31</v>
      </c>
      <c r="N43" t="s">
        <v>351</v>
      </c>
      <c r="O43" t="s">
        <v>33</v>
      </c>
      <c r="P43" t="s">
        <v>352</v>
      </c>
      <c r="Q43" t="s">
        <v>50</v>
      </c>
      <c r="R43" t="s">
        <v>353</v>
      </c>
      <c r="S43" t="s">
        <v>354</v>
      </c>
      <c r="T43">
        <v>86.45</v>
      </c>
      <c r="U43">
        <v>7</v>
      </c>
      <c r="V43">
        <v>0</v>
      </c>
      <c r="W43">
        <v>38.04</v>
      </c>
      <c r="X43">
        <v>5.73</v>
      </c>
      <c r="Y43" t="s">
        <v>61</v>
      </c>
      <c r="Z43">
        <f>Superstore_Sales[[#This Row],[Sales]]*Superstore_Sales[[#This Row],[Quantity]]</f>
        <v>605.15</v>
      </c>
      <c r="AA43" s="3">
        <f>Superstore_Sales[[#This Row],[TotalSales]]*Superstore_Sales[[#This Row],[Discount]]/100</f>
        <v>0</v>
      </c>
      <c r="AB43" s="2">
        <f>Superstore_Sales[[#This Row],[TotalSales]]-Superstore_Sales[[#This Row],[Dis_amt]]-Superstore_Sales[[#This Row],[Shipping Cost]]</f>
        <v>599.41999999999996</v>
      </c>
    </row>
    <row r="44" spans="1:28" x14ac:dyDescent="0.35">
      <c r="A44">
        <v>13847</v>
      </c>
      <c r="B44" t="s">
        <v>355</v>
      </c>
      <c r="C44" s="1">
        <v>41706</v>
      </c>
      <c r="D44" s="1">
        <v>41706</v>
      </c>
      <c r="E44">
        <f>Superstore_Sales[[#This Row],[Ship Date]]-Superstore_Sales[[#This Row],[Order Date]]</f>
        <v>0</v>
      </c>
      <c r="F44" t="s">
        <v>73</v>
      </c>
      <c r="G44" t="s">
        <v>356</v>
      </c>
      <c r="H44" t="s">
        <v>357</v>
      </c>
      <c r="I44" t="s">
        <v>43</v>
      </c>
      <c r="K44" t="s">
        <v>358</v>
      </c>
      <c r="L44" t="s">
        <v>154</v>
      </c>
      <c r="M44" t="s">
        <v>155</v>
      </c>
      <c r="N44" t="s">
        <v>68</v>
      </c>
      <c r="O44" t="s">
        <v>69</v>
      </c>
      <c r="P44" t="s">
        <v>359</v>
      </c>
      <c r="Q44" t="s">
        <v>50</v>
      </c>
      <c r="R44" t="s">
        <v>51</v>
      </c>
      <c r="S44" t="s">
        <v>360</v>
      </c>
      <c r="T44">
        <v>2092.5</v>
      </c>
      <c r="U44">
        <v>5</v>
      </c>
      <c r="V44">
        <v>0.1</v>
      </c>
      <c r="W44">
        <v>720.75</v>
      </c>
      <c r="X44">
        <v>652.98</v>
      </c>
      <c r="Y44" t="s">
        <v>53</v>
      </c>
      <c r="Z44">
        <f>Superstore_Sales[[#This Row],[Sales]]*Superstore_Sales[[#This Row],[Quantity]]</f>
        <v>10462.5</v>
      </c>
      <c r="AA44" s="3">
        <f>Superstore_Sales[[#This Row],[TotalSales]]*Superstore_Sales[[#This Row],[Discount]]/100</f>
        <v>10.4625</v>
      </c>
      <c r="AB44" s="2">
        <f>Superstore_Sales[[#This Row],[TotalSales]]-Superstore_Sales[[#This Row],[Dis_amt]]-Superstore_Sales[[#This Row],[Shipping Cost]]</f>
        <v>9799.0575000000008</v>
      </c>
    </row>
    <row r="45" spans="1:28" x14ac:dyDescent="0.35">
      <c r="A45">
        <v>24341</v>
      </c>
      <c r="B45" t="s">
        <v>361</v>
      </c>
      <c r="C45" s="1">
        <v>42244</v>
      </c>
      <c r="D45" s="1">
        <v>42245</v>
      </c>
      <c r="E45">
        <f>Superstore_Sales[[#This Row],[Ship Date]]-Superstore_Sales[[#This Row],[Order Date]]</f>
        <v>1</v>
      </c>
      <c r="F45" t="s">
        <v>25</v>
      </c>
      <c r="G45" t="s">
        <v>362</v>
      </c>
      <c r="H45" t="s">
        <v>363</v>
      </c>
      <c r="I45" t="s">
        <v>28</v>
      </c>
      <c r="K45" t="s">
        <v>364</v>
      </c>
      <c r="L45" t="s">
        <v>365</v>
      </c>
      <c r="M45" t="s">
        <v>144</v>
      </c>
      <c r="N45" t="s">
        <v>145</v>
      </c>
      <c r="O45" t="s">
        <v>48</v>
      </c>
      <c r="P45" t="s">
        <v>366</v>
      </c>
      <c r="Q45" t="s">
        <v>50</v>
      </c>
      <c r="R45" t="s">
        <v>51</v>
      </c>
      <c r="S45" t="s">
        <v>367</v>
      </c>
      <c r="T45">
        <v>2761.2</v>
      </c>
      <c r="U45">
        <v>6</v>
      </c>
      <c r="V45">
        <v>0</v>
      </c>
      <c r="W45">
        <v>110.34</v>
      </c>
      <c r="X45">
        <v>644.75</v>
      </c>
      <c r="Y45" t="s">
        <v>38</v>
      </c>
      <c r="Z45">
        <f>Superstore_Sales[[#This Row],[Sales]]*Superstore_Sales[[#This Row],[Quantity]]</f>
        <v>16567.199999999997</v>
      </c>
      <c r="AA45" s="3">
        <f>Superstore_Sales[[#This Row],[TotalSales]]*Superstore_Sales[[#This Row],[Discount]]/100</f>
        <v>0</v>
      </c>
      <c r="AB45" s="2">
        <f>Superstore_Sales[[#This Row],[TotalSales]]-Superstore_Sales[[#This Row],[Dis_amt]]-Superstore_Sales[[#This Row],[Shipping Cost]]</f>
        <v>15922.449999999997</v>
      </c>
    </row>
    <row r="46" spans="1:28" x14ac:dyDescent="0.35">
      <c r="A46">
        <v>28701</v>
      </c>
      <c r="B46" t="s">
        <v>368</v>
      </c>
      <c r="C46" s="1">
        <v>42125</v>
      </c>
      <c r="D46" s="1">
        <v>42125</v>
      </c>
      <c r="E46">
        <f>Superstore_Sales[[#This Row],[Ship Date]]-Superstore_Sales[[#This Row],[Order Date]]</f>
        <v>0</v>
      </c>
      <c r="F46" t="s">
        <v>73</v>
      </c>
      <c r="G46" t="s">
        <v>369</v>
      </c>
      <c r="H46" t="s">
        <v>370</v>
      </c>
      <c r="I46" t="s">
        <v>28</v>
      </c>
      <c r="K46" t="s">
        <v>371</v>
      </c>
      <c r="L46" t="s">
        <v>372</v>
      </c>
      <c r="M46" t="s">
        <v>258</v>
      </c>
      <c r="N46" t="s">
        <v>118</v>
      </c>
      <c r="O46" t="s">
        <v>48</v>
      </c>
      <c r="P46" t="s">
        <v>373</v>
      </c>
      <c r="Q46" t="s">
        <v>35</v>
      </c>
      <c r="R46" t="s">
        <v>275</v>
      </c>
      <c r="S46" t="s">
        <v>374</v>
      </c>
      <c r="T46">
        <v>2174.13</v>
      </c>
      <c r="U46">
        <v>7</v>
      </c>
      <c r="V46">
        <v>0</v>
      </c>
      <c r="W46">
        <v>500.01</v>
      </c>
      <c r="X46">
        <v>637.86</v>
      </c>
      <c r="Y46" t="s">
        <v>53</v>
      </c>
      <c r="Z46">
        <f>Superstore_Sales[[#This Row],[Sales]]*Superstore_Sales[[#This Row],[Quantity]]</f>
        <v>15218.91</v>
      </c>
      <c r="AA46" s="3">
        <f>Superstore_Sales[[#This Row],[TotalSales]]*Superstore_Sales[[#This Row],[Discount]]/100</f>
        <v>0</v>
      </c>
      <c r="AB46" s="2">
        <f>Superstore_Sales[[#This Row],[TotalSales]]-Superstore_Sales[[#This Row],[Dis_amt]]-Superstore_Sales[[#This Row],[Shipping Cost]]</f>
        <v>14581.05</v>
      </c>
    </row>
    <row r="47" spans="1:28" x14ac:dyDescent="0.35">
      <c r="A47">
        <v>6550</v>
      </c>
      <c r="B47" t="s">
        <v>375</v>
      </c>
      <c r="C47" s="1">
        <v>42356</v>
      </c>
      <c r="D47" s="1">
        <v>42358</v>
      </c>
      <c r="E47">
        <f>Superstore_Sales[[#This Row],[Ship Date]]-Superstore_Sales[[#This Row],[Order Date]]</f>
        <v>2</v>
      </c>
      <c r="F47" t="s">
        <v>40</v>
      </c>
      <c r="G47" t="s">
        <v>376</v>
      </c>
      <c r="H47" t="s">
        <v>377</v>
      </c>
      <c r="I47" t="s">
        <v>28</v>
      </c>
      <c r="K47" t="s">
        <v>378</v>
      </c>
      <c r="L47" t="s">
        <v>378</v>
      </c>
      <c r="M47" t="s">
        <v>379</v>
      </c>
      <c r="N47" t="s">
        <v>135</v>
      </c>
      <c r="O47" t="s">
        <v>136</v>
      </c>
      <c r="P47" t="s">
        <v>380</v>
      </c>
      <c r="Q47" t="s">
        <v>50</v>
      </c>
      <c r="R47" t="s">
        <v>51</v>
      </c>
      <c r="S47" t="s">
        <v>381</v>
      </c>
      <c r="T47">
        <v>3473.14</v>
      </c>
      <c r="U47">
        <v>11</v>
      </c>
      <c r="V47">
        <v>0</v>
      </c>
      <c r="W47">
        <v>868.12</v>
      </c>
      <c r="X47">
        <v>634.529</v>
      </c>
      <c r="Y47" t="s">
        <v>38</v>
      </c>
      <c r="Z47">
        <f>Superstore_Sales[[#This Row],[Sales]]*Superstore_Sales[[#This Row],[Quantity]]</f>
        <v>38204.54</v>
      </c>
      <c r="AA47" s="3">
        <f>Superstore_Sales[[#This Row],[TotalSales]]*Superstore_Sales[[#This Row],[Discount]]/100</f>
        <v>0</v>
      </c>
      <c r="AB47" s="2">
        <f>Superstore_Sales[[#This Row],[TotalSales]]-Superstore_Sales[[#This Row],[Dis_amt]]-Superstore_Sales[[#This Row],[Shipping Cost]]</f>
        <v>37570.010999999999</v>
      </c>
    </row>
    <row r="48" spans="1:28" x14ac:dyDescent="0.35">
      <c r="A48">
        <v>37425</v>
      </c>
      <c r="B48" t="s">
        <v>382</v>
      </c>
      <c r="C48" s="1">
        <v>41206</v>
      </c>
      <c r="D48" s="1">
        <v>41209</v>
      </c>
      <c r="E48">
        <f>Superstore_Sales[[#This Row],[Ship Date]]-Superstore_Sales[[#This Row],[Order Date]]</f>
        <v>3</v>
      </c>
      <c r="F48" t="s">
        <v>25</v>
      </c>
      <c r="G48" t="s">
        <v>278</v>
      </c>
      <c r="H48" t="s">
        <v>246</v>
      </c>
      <c r="I48" t="s">
        <v>43</v>
      </c>
      <c r="J48">
        <v>94109</v>
      </c>
      <c r="K48" t="s">
        <v>279</v>
      </c>
      <c r="L48" t="s">
        <v>280</v>
      </c>
      <c r="M48" t="s">
        <v>31</v>
      </c>
      <c r="N48" t="s">
        <v>110</v>
      </c>
      <c r="O48" t="s">
        <v>33</v>
      </c>
      <c r="P48" t="s">
        <v>383</v>
      </c>
      <c r="Q48" t="s">
        <v>147</v>
      </c>
      <c r="R48" t="s">
        <v>384</v>
      </c>
      <c r="S48" t="s">
        <v>385</v>
      </c>
      <c r="T48">
        <v>49.41</v>
      </c>
      <c r="U48">
        <v>4</v>
      </c>
      <c r="V48">
        <v>0.2</v>
      </c>
      <c r="W48">
        <v>18.53</v>
      </c>
      <c r="X48">
        <v>2.84</v>
      </c>
      <c r="Y48" t="s">
        <v>38</v>
      </c>
      <c r="Z48">
        <f>Superstore_Sales[[#This Row],[Sales]]*Superstore_Sales[[#This Row],[Quantity]]</f>
        <v>197.64</v>
      </c>
      <c r="AA48" s="3">
        <f>Superstore_Sales[[#This Row],[TotalSales]]*Superstore_Sales[[#This Row],[Discount]]/100</f>
        <v>0.39527999999999996</v>
      </c>
      <c r="AB48" s="2">
        <f>Superstore_Sales[[#This Row],[TotalSales]]-Superstore_Sales[[#This Row],[Dis_amt]]-Superstore_Sales[[#This Row],[Shipping Cost]]</f>
        <v>194.40471999999997</v>
      </c>
    </row>
    <row r="49" spans="1:28" x14ac:dyDescent="0.35">
      <c r="A49">
        <v>48360</v>
      </c>
      <c r="B49" t="s">
        <v>386</v>
      </c>
      <c r="C49" s="1">
        <v>42265</v>
      </c>
      <c r="D49" s="1">
        <v>42268</v>
      </c>
      <c r="E49">
        <f>Superstore_Sales[[#This Row],[Ship Date]]-Superstore_Sales[[#This Row],[Order Date]]</f>
        <v>3</v>
      </c>
      <c r="F49" t="s">
        <v>25</v>
      </c>
      <c r="G49" t="s">
        <v>387</v>
      </c>
      <c r="H49" t="s">
        <v>388</v>
      </c>
      <c r="I49" t="s">
        <v>28</v>
      </c>
      <c r="K49" t="s">
        <v>389</v>
      </c>
      <c r="L49" t="s">
        <v>390</v>
      </c>
      <c r="M49" t="s">
        <v>391</v>
      </c>
      <c r="N49" t="s">
        <v>118</v>
      </c>
      <c r="O49" t="s">
        <v>48</v>
      </c>
      <c r="P49" t="s">
        <v>392</v>
      </c>
      <c r="Q49" t="s">
        <v>35</v>
      </c>
      <c r="R49" t="s">
        <v>81</v>
      </c>
      <c r="S49" t="s">
        <v>393</v>
      </c>
      <c r="T49">
        <v>2108.64</v>
      </c>
      <c r="U49">
        <v>8</v>
      </c>
      <c r="V49">
        <v>0</v>
      </c>
      <c r="W49">
        <v>527.04</v>
      </c>
      <c r="X49">
        <v>630.97</v>
      </c>
      <c r="Y49" t="s">
        <v>53</v>
      </c>
      <c r="Z49">
        <f>Superstore_Sales[[#This Row],[Sales]]*Superstore_Sales[[#This Row],[Quantity]]</f>
        <v>16869.12</v>
      </c>
      <c r="AA49" s="3">
        <f>Superstore_Sales[[#This Row],[TotalSales]]*Superstore_Sales[[#This Row],[Discount]]/100</f>
        <v>0</v>
      </c>
      <c r="AB49" s="2">
        <f>Superstore_Sales[[#This Row],[TotalSales]]-Superstore_Sales[[#This Row],[Dis_amt]]-Superstore_Sales[[#This Row],[Shipping Cost]]</f>
        <v>16238.15</v>
      </c>
    </row>
    <row r="50" spans="1:28" x14ac:dyDescent="0.35">
      <c r="A50">
        <v>42336</v>
      </c>
      <c r="B50" t="s">
        <v>394</v>
      </c>
      <c r="C50" s="1">
        <v>41991</v>
      </c>
      <c r="D50" s="1">
        <v>41991</v>
      </c>
      <c r="E50">
        <f>Superstore_Sales[[#This Row],[Ship Date]]-Superstore_Sales[[#This Row],[Order Date]]</f>
        <v>0</v>
      </c>
      <c r="F50" t="s">
        <v>73</v>
      </c>
      <c r="G50" t="s">
        <v>395</v>
      </c>
      <c r="H50" t="s">
        <v>396</v>
      </c>
      <c r="I50" t="s">
        <v>43</v>
      </c>
      <c r="K50" t="s">
        <v>397</v>
      </c>
      <c r="L50" t="s">
        <v>398</v>
      </c>
      <c r="M50" t="s">
        <v>399</v>
      </c>
      <c r="N50" t="s">
        <v>186</v>
      </c>
      <c r="O50" t="s">
        <v>79</v>
      </c>
      <c r="P50" t="s">
        <v>328</v>
      </c>
      <c r="Q50" t="s">
        <v>35</v>
      </c>
      <c r="R50" t="s">
        <v>36</v>
      </c>
      <c r="S50" t="s">
        <v>329</v>
      </c>
      <c r="T50">
        <v>2582.16</v>
      </c>
      <c r="U50">
        <v>4</v>
      </c>
      <c r="V50">
        <v>0</v>
      </c>
      <c r="W50">
        <v>593.88</v>
      </c>
      <c r="X50">
        <v>627.16999999999996</v>
      </c>
      <c r="Y50" t="s">
        <v>38</v>
      </c>
      <c r="Z50">
        <f>Superstore_Sales[[#This Row],[Sales]]*Superstore_Sales[[#This Row],[Quantity]]</f>
        <v>10328.64</v>
      </c>
      <c r="AA50" s="3">
        <f>Superstore_Sales[[#This Row],[TotalSales]]*Superstore_Sales[[#This Row],[Discount]]/100</f>
        <v>0</v>
      </c>
      <c r="AB50" s="2">
        <f>Superstore_Sales[[#This Row],[TotalSales]]-Superstore_Sales[[#This Row],[Dis_amt]]-Superstore_Sales[[#This Row],[Shipping Cost]]</f>
        <v>9701.4699999999993</v>
      </c>
    </row>
    <row r="51" spans="1:28" x14ac:dyDescent="0.35">
      <c r="A51">
        <v>29047</v>
      </c>
      <c r="B51" t="s">
        <v>400</v>
      </c>
      <c r="C51" s="1">
        <v>41424</v>
      </c>
      <c r="D51" s="1">
        <v>41425</v>
      </c>
      <c r="E51">
        <f>Superstore_Sales[[#This Row],[Ship Date]]-Superstore_Sales[[#This Row],[Order Date]]</f>
        <v>1</v>
      </c>
      <c r="F51" t="s">
        <v>25</v>
      </c>
      <c r="G51" t="s">
        <v>401</v>
      </c>
      <c r="H51" t="s">
        <v>402</v>
      </c>
      <c r="I51" t="s">
        <v>28</v>
      </c>
      <c r="K51" t="s">
        <v>403</v>
      </c>
      <c r="L51" t="s">
        <v>404</v>
      </c>
      <c r="M51" t="s">
        <v>258</v>
      </c>
      <c r="N51" t="s">
        <v>118</v>
      </c>
      <c r="O51" t="s">
        <v>48</v>
      </c>
      <c r="P51" t="s">
        <v>405</v>
      </c>
      <c r="Q51" t="s">
        <v>35</v>
      </c>
      <c r="R51" t="s">
        <v>81</v>
      </c>
      <c r="S51" t="s">
        <v>406</v>
      </c>
      <c r="T51">
        <v>1526.52</v>
      </c>
      <c r="U51">
        <v>4</v>
      </c>
      <c r="V51">
        <v>0</v>
      </c>
      <c r="W51">
        <v>732.72</v>
      </c>
      <c r="X51">
        <v>625.77</v>
      </c>
      <c r="Y51" t="s">
        <v>53</v>
      </c>
      <c r="Z51">
        <f>Superstore_Sales[[#This Row],[Sales]]*Superstore_Sales[[#This Row],[Quantity]]</f>
        <v>6106.08</v>
      </c>
      <c r="AA51" s="3">
        <f>Superstore_Sales[[#This Row],[TotalSales]]*Superstore_Sales[[#This Row],[Discount]]/100</f>
        <v>0</v>
      </c>
      <c r="AB51" s="2">
        <f>Superstore_Sales[[#This Row],[TotalSales]]-Superstore_Sales[[#This Row],[Dis_amt]]-Superstore_Sales[[#This Row],[Shipping Cost]]</f>
        <v>5480.3099999999995</v>
      </c>
    </row>
    <row r="52" spans="1:28" x14ac:dyDescent="0.35">
      <c r="A52">
        <v>29601</v>
      </c>
      <c r="B52" t="s">
        <v>407</v>
      </c>
      <c r="C52" s="1">
        <v>41419</v>
      </c>
      <c r="D52" s="1">
        <v>41422</v>
      </c>
      <c r="E52">
        <f>Superstore_Sales[[#This Row],[Ship Date]]-Superstore_Sales[[#This Row],[Order Date]]</f>
        <v>3</v>
      </c>
      <c r="F52" t="s">
        <v>40</v>
      </c>
      <c r="G52" t="s">
        <v>408</v>
      </c>
      <c r="H52" t="s">
        <v>409</v>
      </c>
      <c r="I52" t="s">
        <v>43</v>
      </c>
      <c r="K52" t="s">
        <v>410</v>
      </c>
      <c r="L52" t="s">
        <v>410</v>
      </c>
      <c r="M52" t="s">
        <v>258</v>
      </c>
      <c r="N52" t="s">
        <v>118</v>
      </c>
      <c r="O52" t="s">
        <v>48</v>
      </c>
      <c r="P52" t="s">
        <v>411</v>
      </c>
      <c r="Q52" t="s">
        <v>50</v>
      </c>
      <c r="R52" t="s">
        <v>104</v>
      </c>
      <c r="S52" t="s">
        <v>412</v>
      </c>
      <c r="T52">
        <v>1745.34</v>
      </c>
      <c r="U52">
        <v>2</v>
      </c>
      <c r="V52">
        <v>0</v>
      </c>
      <c r="W52">
        <v>226.86</v>
      </c>
      <c r="X52">
        <v>616.27</v>
      </c>
      <c r="Y52" t="s">
        <v>53</v>
      </c>
      <c r="Z52">
        <f>Superstore_Sales[[#This Row],[Sales]]*Superstore_Sales[[#This Row],[Quantity]]</f>
        <v>3490.68</v>
      </c>
      <c r="AA52" s="3">
        <f>Superstore_Sales[[#This Row],[TotalSales]]*Superstore_Sales[[#This Row],[Discount]]/100</f>
        <v>0</v>
      </c>
      <c r="AB52" s="2">
        <f>Superstore_Sales[[#This Row],[TotalSales]]-Superstore_Sales[[#This Row],[Dis_amt]]-Superstore_Sales[[#This Row],[Shipping Cost]]</f>
        <v>2874.41</v>
      </c>
    </row>
    <row r="53" spans="1:28" x14ac:dyDescent="0.35">
      <c r="A53">
        <v>23499</v>
      </c>
      <c r="B53" t="s">
        <v>413</v>
      </c>
      <c r="C53" s="1">
        <v>42221</v>
      </c>
      <c r="D53" s="1">
        <v>42222</v>
      </c>
      <c r="E53">
        <f>Superstore_Sales[[#This Row],[Ship Date]]-Superstore_Sales[[#This Row],[Order Date]]</f>
        <v>1</v>
      </c>
      <c r="F53" t="s">
        <v>25</v>
      </c>
      <c r="G53" t="s">
        <v>414</v>
      </c>
      <c r="H53" t="s">
        <v>415</v>
      </c>
      <c r="I53" t="s">
        <v>28</v>
      </c>
      <c r="K53" t="s">
        <v>416</v>
      </c>
      <c r="L53" t="s">
        <v>417</v>
      </c>
      <c r="M53" t="s">
        <v>46</v>
      </c>
      <c r="N53" t="s">
        <v>47</v>
      </c>
      <c r="O53" t="s">
        <v>48</v>
      </c>
      <c r="P53" t="s">
        <v>418</v>
      </c>
      <c r="Q53" t="s">
        <v>147</v>
      </c>
      <c r="R53" t="s">
        <v>148</v>
      </c>
      <c r="S53" t="s">
        <v>419</v>
      </c>
      <c r="T53">
        <v>4191.51</v>
      </c>
      <c r="U53">
        <v>9</v>
      </c>
      <c r="V53">
        <v>0.1</v>
      </c>
      <c r="W53">
        <v>1164.27</v>
      </c>
      <c r="X53">
        <v>614.34</v>
      </c>
      <c r="Y53" t="s">
        <v>38</v>
      </c>
      <c r="Z53">
        <f>Superstore_Sales[[#This Row],[Sales]]*Superstore_Sales[[#This Row],[Quantity]]</f>
        <v>37723.590000000004</v>
      </c>
      <c r="AA53" s="3">
        <f>Superstore_Sales[[#This Row],[TotalSales]]*Superstore_Sales[[#This Row],[Discount]]/100</f>
        <v>37.723590000000002</v>
      </c>
      <c r="AB53" s="2">
        <f>Superstore_Sales[[#This Row],[TotalSales]]-Superstore_Sales[[#This Row],[Dis_amt]]-Superstore_Sales[[#This Row],[Shipping Cost]]</f>
        <v>37071.526410000006</v>
      </c>
    </row>
    <row r="54" spans="1:28" x14ac:dyDescent="0.35">
      <c r="A54">
        <v>26634</v>
      </c>
      <c r="B54" t="s">
        <v>420</v>
      </c>
      <c r="C54" s="1">
        <v>42074</v>
      </c>
      <c r="D54" s="1">
        <v>42076</v>
      </c>
      <c r="E54">
        <f>Superstore_Sales[[#This Row],[Ship Date]]-Superstore_Sales[[#This Row],[Order Date]]</f>
        <v>2</v>
      </c>
      <c r="F54" t="s">
        <v>40</v>
      </c>
      <c r="G54" t="s">
        <v>421</v>
      </c>
      <c r="H54" t="s">
        <v>422</v>
      </c>
      <c r="I54" t="s">
        <v>28</v>
      </c>
      <c r="K54" t="s">
        <v>423</v>
      </c>
      <c r="L54" t="s">
        <v>423</v>
      </c>
      <c r="M54" t="s">
        <v>424</v>
      </c>
      <c r="N54" t="s">
        <v>118</v>
      </c>
      <c r="O54" t="s">
        <v>48</v>
      </c>
      <c r="P54" t="s">
        <v>425</v>
      </c>
      <c r="Q54" t="s">
        <v>50</v>
      </c>
      <c r="R54" t="s">
        <v>336</v>
      </c>
      <c r="S54" t="s">
        <v>426</v>
      </c>
      <c r="T54">
        <v>3063.27</v>
      </c>
      <c r="U54">
        <v>7</v>
      </c>
      <c r="V54">
        <v>0</v>
      </c>
      <c r="W54">
        <v>581.91</v>
      </c>
      <c r="X54">
        <v>609.24</v>
      </c>
      <c r="Y54" t="s">
        <v>38</v>
      </c>
      <c r="Z54">
        <f>Superstore_Sales[[#This Row],[Sales]]*Superstore_Sales[[#This Row],[Quantity]]</f>
        <v>21442.89</v>
      </c>
      <c r="AA54" s="3">
        <f>Superstore_Sales[[#This Row],[TotalSales]]*Superstore_Sales[[#This Row],[Discount]]/100</f>
        <v>0</v>
      </c>
      <c r="AB54" s="2">
        <f>Superstore_Sales[[#This Row],[TotalSales]]-Superstore_Sales[[#This Row],[Dis_amt]]-Superstore_Sales[[#This Row],[Shipping Cost]]</f>
        <v>20833.649999999998</v>
      </c>
    </row>
    <row r="55" spans="1:28" x14ac:dyDescent="0.35">
      <c r="A55">
        <v>34496</v>
      </c>
      <c r="B55" t="s">
        <v>427</v>
      </c>
      <c r="C55" s="1">
        <v>42357</v>
      </c>
      <c r="D55" s="1">
        <v>42361</v>
      </c>
      <c r="E55">
        <f>Superstore_Sales[[#This Row],[Ship Date]]-Superstore_Sales[[#This Row],[Order Date]]</f>
        <v>4</v>
      </c>
      <c r="F55" t="s">
        <v>98</v>
      </c>
      <c r="G55" t="s">
        <v>245</v>
      </c>
      <c r="H55" t="s">
        <v>246</v>
      </c>
      <c r="I55" t="s">
        <v>43</v>
      </c>
      <c r="J55">
        <v>19134</v>
      </c>
      <c r="K55" t="s">
        <v>428</v>
      </c>
      <c r="L55" t="s">
        <v>429</v>
      </c>
      <c r="M55" t="s">
        <v>31</v>
      </c>
      <c r="N55" t="s">
        <v>249</v>
      </c>
      <c r="O55" t="s">
        <v>33</v>
      </c>
      <c r="P55" t="s">
        <v>430</v>
      </c>
      <c r="Q55" t="s">
        <v>147</v>
      </c>
      <c r="R55" t="s">
        <v>431</v>
      </c>
      <c r="S55" t="s">
        <v>432</v>
      </c>
      <c r="T55">
        <v>18.7</v>
      </c>
      <c r="U55">
        <v>7</v>
      </c>
      <c r="V55">
        <v>0.2</v>
      </c>
      <c r="W55">
        <v>2.34</v>
      </c>
      <c r="X55">
        <v>1.1299999999999999</v>
      </c>
      <c r="Y55" t="s">
        <v>61</v>
      </c>
      <c r="Z55">
        <f>Superstore_Sales[[#This Row],[Sales]]*Superstore_Sales[[#This Row],[Quantity]]</f>
        <v>130.9</v>
      </c>
      <c r="AA55" s="3">
        <f>Superstore_Sales[[#This Row],[TotalSales]]*Superstore_Sales[[#This Row],[Discount]]/100</f>
        <v>0.26180000000000003</v>
      </c>
      <c r="AB55" s="2">
        <f>Superstore_Sales[[#This Row],[TotalSales]]-Superstore_Sales[[#This Row],[Dis_amt]]-Superstore_Sales[[#This Row],[Shipping Cost]]</f>
        <v>129.50820000000002</v>
      </c>
    </row>
    <row r="56" spans="1:28" x14ac:dyDescent="0.35">
      <c r="A56">
        <v>10522</v>
      </c>
      <c r="B56" t="s">
        <v>433</v>
      </c>
      <c r="C56" s="1">
        <v>42227</v>
      </c>
      <c r="D56" s="1">
        <v>42232</v>
      </c>
      <c r="E56">
        <f>Superstore_Sales[[#This Row],[Ship Date]]-Superstore_Sales[[#This Row],[Order Date]]</f>
        <v>5</v>
      </c>
      <c r="F56" t="s">
        <v>40</v>
      </c>
      <c r="G56" t="s">
        <v>434</v>
      </c>
      <c r="H56" t="s">
        <v>435</v>
      </c>
      <c r="I56" t="s">
        <v>43</v>
      </c>
      <c r="K56" t="s">
        <v>436</v>
      </c>
      <c r="L56" t="s">
        <v>437</v>
      </c>
      <c r="M56" t="s">
        <v>67</v>
      </c>
      <c r="N56" t="s">
        <v>68</v>
      </c>
      <c r="O56" t="s">
        <v>69</v>
      </c>
      <c r="P56" t="s">
        <v>438</v>
      </c>
      <c r="Q56" t="s">
        <v>35</v>
      </c>
      <c r="R56" t="s">
        <v>36</v>
      </c>
      <c r="S56" t="s">
        <v>439</v>
      </c>
      <c r="T56">
        <v>4473</v>
      </c>
      <c r="U56">
        <v>7</v>
      </c>
      <c r="V56">
        <v>0</v>
      </c>
      <c r="W56">
        <v>313.11</v>
      </c>
      <c r="X56">
        <v>604.4</v>
      </c>
      <c r="Y56" t="s">
        <v>61</v>
      </c>
      <c r="Z56">
        <f>Superstore_Sales[[#This Row],[Sales]]*Superstore_Sales[[#This Row],[Quantity]]</f>
        <v>31311</v>
      </c>
      <c r="AA56" s="3">
        <f>Superstore_Sales[[#This Row],[TotalSales]]*Superstore_Sales[[#This Row],[Discount]]/100</f>
        <v>0</v>
      </c>
      <c r="AB56" s="2">
        <f>Superstore_Sales[[#This Row],[TotalSales]]-Superstore_Sales[[#This Row],[Dis_amt]]-Superstore_Sales[[#This Row],[Shipping Cost]]</f>
        <v>30706.6</v>
      </c>
    </row>
    <row r="57" spans="1:28" x14ac:dyDescent="0.35">
      <c r="A57">
        <v>10549</v>
      </c>
      <c r="B57" t="s">
        <v>440</v>
      </c>
      <c r="C57" s="1">
        <v>41882</v>
      </c>
      <c r="D57" s="1">
        <v>41885</v>
      </c>
      <c r="E57">
        <f>Superstore_Sales[[#This Row],[Ship Date]]-Superstore_Sales[[#This Row],[Order Date]]</f>
        <v>3</v>
      </c>
      <c r="F57" t="s">
        <v>25</v>
      </c>
      <c r="G57" t="s">
        <v>441</v>
      </c>
      <c r="H57" t="s">
        <v>442</v>
      </c>
      <c r="I57" t="s">
        <v>43</v>
      </c>
      <c r="K57" t="s">
        <v>443</v>
      </c>
      <c r="L57" t="s">
        <v>437</v>
      </c>
      <c r="M57" t="s">
        <v>67</v>
      </c>
      <c r="N57" t="s">
        <v>68</v>
      </c>
      <c r="O57" t="s">
        <v>69</v>
      </c>
      <c r="P57" t="s">
        <v>444</v>
      </c>
      <c r="Q57" t="s">
        <v>35</v>
      </c>
      <c r="R57" t="s">
        <v>36</v>
      </c>
      <c r="S57" t="s">
        <v>445</v>
      </c>
      <c r="T57">
        <v>1502.01</v>
      </c>
      <c r="U57">
        <v>9</v>
      </c>
      <c r="V57">
        <v>0</v>
      </c>
      <c r="W57">
        <v>225.18</v>
      </c>
      <c r="X57">
        <v>600.21</v>
      </c>
      <c r="Y57" t="s">
        <v>53</v>
      </c>
      <c r="Z57">
        <f>Superstore_Sales[[#This Row],[Sales]]*Superstore_Sales[[#This Row],[Quantity]]</f>
        <v>13518.09</v>
      </c>
      <c r="AA57" s="3">
        <f>Superstore_Sales[[#This Row],[TotalSales]]*Superstore_Sales[[#This Row],[Discount]]/100</f>
        <v>0</v>
      </c>
      <c r="AB57" s="2">
        <f>Superstore_Sales[[#This Row],[TotalSales]]-Superstore_Sales[[#This Row],[Dis_amt]]-Superstore_Sales[[#This Row],[Shipping Cost]]</f>
        <v>12917.880000000001</v>
      </c>
    </row>
    <row r="58" spans="1:28" x14ac:dyDescent="0.35">
      <c r="A58">
        <v>25314</v>
      </c>
      <c r="B58" t="s">
        <v>446</v>
      </c>
      <c r="C58" s="1">
        <v>42022</v>
      </c>
      <c r="D58" s="1">
        <v>42027</v>
      </c>
      <c r="E58">
        <f>Superstore_Sales[[#This Row],[Ship Date]]-Superstore_Sales[[#This Row],[Order Date]]</f>
        <v>5</v>
      </c>
      <c r="F58" t="s">
        <v>98</v>
      </c>
      <c r="G58" t="s">
        <v>447</v>
      </c>
      <c r="H58" t="s">
        <v>448</v>
      </c>
      <c r="I58" t="s">
        <v>28</v>
      </c>
      <c r="K58" t="s">
        <v>449</v>
      </c>
      <c r="L58" t="s">
        <v>450</v>
      </c>
      <c r="M58" t="s">
        <v>144</v>
      </c>
      <c r="N58" t="s">
        <v>145</v>
      </c>
      <c r="O58" t="s">
        <v>48</v>
      </c>
      <c r="P58" t="s">
        <v>203</v>
      </c>
      <c r="Q58" t="s">
        <v>50</v>
      </c>
      <c r="R58" t="s">
        <v>51</v>
      </c>
      <c r="S58" t="s">
        <v>204</v>
      </c>
      <c r="T58">
        <v>5049</v>
      </c>
      <c r="U58">
        <v>11</v>
      </c>
      <c r="V58">
        <v>0</v>
      </c>
      <c r="W58">
        <v>656.37</v>
      </c>
      <c r="X58">
        <v>595.5</v>
      </c>
      <c r="Y58" t="s">
        <v>38</v>
      </c>
      <c r="Z58">
        <f>Superstore_Sales[[#This Row],[Sales]]*Superstore_Sales[[#This Row],[Quantity]]</f>
        <v>55539</v>
      </c>
      <c r="AA58" s="3">
        <f>Superstore_Sales[[#This Row],[TotalSales]]*Superstore_Sales[[#This Row],[Discount]]/100</f>
        <v>0</v>
      </c>
      <c r="AB58" s="2">
        <f>Superstore_Sales[[#This Row],[TotalSales]]-Superstore_Sales[[#This Row],[Dis_amt]]-Superstore_Sales[[#This Row],[Shipping Cost]]</f>
        <v>54943.5</v>
      </c>
    </row>
    <row r="59" spans="1:28" x14ac:dyDescent="0.35">
      <c r="A59">
        <v>32637</v>
      </c>
      <c r="B59" t="s">
        <v>451</v>
      </c>
      <c r="C59" s="1">
        <v>42007</v>
      </c>
      <c r="D59" s="1">
        <v>42009</v>
      </c>
      <c r="E59">
        <f>Superstore_Sales[[#This Row],[Ship Date]]-Superstore_Sales[[#This Row],[Order Date]]</f>
        <v>2</v>
      </c>
      <c r="F59" t="s">
        <v>25</v>
      </c>
      <c r="G59" t="s">
        <v>452</v>
      </c>
      <c r="H59" t="s">
        <v>453</v>
      </c>
      <c r="I59" t="s">
        <v>43</v>
      </c>
      <c r="J59">
        <v>28540</v>
      </c>
      <c r="K59" t="s">
        <v>454</v>
      </c>
      <c r="L59" t="s">
        <v>455</v>
      </c>
      <c r="M59" t="s">
        <v>31</v>
      </c>
      <c r="N59" t="s">
        <v>351</v>
      </c>
      <c r="O59" t="s">
        <v>33</v>
      </c>
      <c r="P59" t="s">
        <v>456</v>
      </c>
      <c r="Q59" t="s">
        <v>35</v>
      </c>
      <c r="R59" t="s">
        <v>275</v>
      </c>
      <c r="S59" t="s">
        <v>457</v>
      </c>
      <c r="T59">
        <v>695.7</v>
      </c>
      <c r="U59">
        <v>2</v>
      </c>
      <c r="V59">
        <v>0.5</v>
      </c>
      <c r="W59">
        <v>-27.83</v>
      </c>
      <c r="X59">
        <v>160.19</v>
      </c>
      <c r="Y59" t="s">
        <v>38</v>
      </c>
      <c r="Z59">
        <f>Superstore_Sales[[#This Row],[Sales]]*Superstore_Sales[[#This Row],[Quantity]]</f>
        <v>1391.4</v>
      </c>
      <c r="AA59" s="3">
        <f>Superstore_Sales[[#This Row],[TotalSales]]*Superstore_Sales[[#This Row],[Discount]]/100</f>
        <v>6.9570000000000007</v>
      </c>
      <c r="AB59" s="2">
        <f>Superstore_Sales[[#This Row],[TotalSales]]-Superstore_Sales[[#This Row],[Dis_amt]]-Superstore_Sales[[#This Row],[Shipping Cost]]</f>
        <v>1224.2529999999999</v>
      </c>
    </row>
    <row r="60" spans="1:28" x14ac:dyDescent="0.35">
      <c r="A60">
        <v>16653</v>
      </c>
      <c r="B60" t="s">
        <v>458</v>
      </c>
      <c r="C60" s="1">
        <v>42345</v>
      </c>
      <c r="D60" s="1">
        <v>42346</v>
      </c>
      <c r="E60">
        <f>Superstore_Sales[[#This Row],[Ship Date]]-Superstore_Sales[[#This Row],[Order Date]]</f>
        <v>1</v>
      </c>
      <c r="F60" t="s">
        <v>25</v>
      </c>
      <c r="G60" t="s">
        <v>459</v>
      </c>
      <c r="H60" t="s">
        <v>460</v>
      </c>
      <c r="I60" t="s">
        <v>28</v>
      </c>
      <c r="K60" t="s">
        <v>461</v>
      </c>
      <c r="L60" t="s">
        <v>462</v>
      </c>
      <c r="M60" t="s">
        <v>463</v>
      </c>
      <c r="N60" t="s">
        <v>171</v>
      </c>
      <c r="O60" t="s">
        <v>69</v>
      </c>
      <c r="P60" t="s">
        <v>425</v>
      </c>
      <c r="Q60" t="s">
        <v>50</v>
      </c>
      <c r="R60" t="s">
        <v>336</v>
      </c>
      <c r="S60" t="s">
        <v>426</v>
      </c>
      <c r="T60">
        <v>2188.0500000000002</v>
      </c>
      <c r="U60">
        <v>5</v>
      </c>
      <c r="V60">
        <v>0</v>
      </c>
      <c r="W60">
        <v>1050.1500000000001</v>
      </c>
      <c r="X60">
        <v>593.91</v>
      </c>
      <c r="Y60" t="s">
        <v>38</v>
      </c>
      <c r="Z60">
        <f>Superstore_Sales[[#This Row],[Sales]]*Superstore_Sales[[#This Row],[Quantity]]</f>
        <v>10940.25</v>
      </c>
      <c r="AA60" s="3">
        <f>Superstore_Sales[[#This Row],[TotalSales]]*Superstore_Sales[[#This Row],[Discount]]/100</f>
        <v>0</v>
      </c>
      <c r="AB60" s="2">
        <f>Superstore_Sales[[#This Row],[TotalSales]]-Superstore_Sales[[#This Row],[Dis_amt]]-Superstore_Sales[[#This Row],[Shipping Cost]]</f>
        <v>10346.34</v>
      </c>
    </row>
    <row r="61" spans="1:28" x14ac:dyDescent="0.35">
      <c r="A61">
        <v>28932</v>
      </c>
      <c r="B61" t="s">
        <v>464</v>
      </c>
      <c r="C61" s="1">
        <v>42354</v>
      </c>
      <c r="D61" s="1">
        <v>42357</v>
      </c>
      <c r="E61">
        <f>Superstore_Sales[[#This Row],[Ship Date]]-Superstore_Sales[[#This Row],[Order Date]]</f>
        <v>3</v>
      </c>
      <c r="F61" t="s">
        <v>25</v>
      </c>
      <c r="G61" t="s">
        <v>465</v>
      </c>
      <c r="H61" t="s">
        <v>466</v>
      </c>
      <c r="I61" t="s">
        <v>43</v>
      </c>
      <c r="K61" t="s">
        <v>467</v>
      </c>
      <c r="L61" t="s">
        <v>468</v>
      </c>
      <c r="M61" t="s">
        <v>258</v>
      </c>
      <c r="N61" t="s">
        <v>118</v>
      </c>
      <c r="O61" t="s">
        <v>48</v>
      </c>
      <c r="P61" t="s">
        <v>469</v>
      </c>
      <c r="Q61" t="s">
        <v>50</v>
      </c>
      <c r="R61" t="s">
        <v>104</v>
      </c>
      <c r="S61" t="s">
        <v>470</v>
      </c>
      <c r="T61">
        <v>1920.36</v>
      </c>
      <c r="U61">
        <v>4</v>
      </c>
      <c r="V61">
        <v>0</v>
      </c>
      <c r="W61">
        <v>652.91999999999996</v>
      </c>
      <c r="X61">
        <v>592.77</v>
      </c>
      <c r="Y61" t="s">
        <v>53</v>
      </c>
      <c r="Z61">
        <f>Superstore_Sales[[#This Row],[Sales]]*Superstore_Sales[[#This Row],[Quantity]]</f>
        <v>7681.44</v>
      </c>
      <c r="AA61" s="3">
        <f>Superstore_Sales[[#This Row],[TotalSales]]*Superstore_Sales[[#This Row],[Discount]]/100</f>
        <v>0</v>
      </c>
      <c r="AB61" s="2">
        <f>Superstore_Sales[[#This Row],[TotalSales]]-Superstore_Sales[[#This Row],[Dis_amt]]-Superstore_Sales[[#This Row],[Shipping Cost]]</f>
        <v>7088.67</v>
      </c>
    </row>
    <row r="62" spans="1:28" x14ac:dyDescent="0.35">
      <c r="A62">
        <v>8029</v>
      </c>
      <c r="B62" t="s">
        <v>471</v>
      </c>
      <c r="C62" s="1">
        <v>42328</v>
      </c>
      <c r="D62" s="1">
        <v>42328</v>
      </c>
      <c r="E62">
        <f>Superstore_Sales[[#This Row],[Ship Date]]-Superstore_Sales[[#This Row],[Order Date]]</f>
        <v>0</v>
      </c>
      <c r="F62" t="s">
        <v>73</v>
      </c>
      <c r="G62" t="s">
        <v>472</v>
      </c>
      <c r="H62" t="s">
        <v>473</v>
      </c>
      <c r="I62" t="s">
        <v>65</v>
      </c>
      <c r="K62" t="s">
        <v>474</v>
      </c>
      <c r="L62" t="s">
        <v>475</v>
      </c>
      <c r="M62" t="s">
        <v>219</v>
      </c>
      <c r="N62" t="s">
        <v>220</v>
      </c>
      <c r="O62" t="s">
        <v>136</v>
      </c>
      <c r="P62" t="s">
        <v>438</v>
      </c>
      <c r="Q62" t="s">
        <v>35</v>
      </c>
      <c r="R62" t="s">
        <v>36</v>
      </c>
      <c r="S62" t="s">
        <v>439</v>
      </c>
      <c r="T62">
        <v>1704</v>
      </c>
      <c r="U62">
        <v>4</v>
      </c>
      <c r="V62">
        <v>0</v>
      </c>
      <c r="W62">
        <v>119.28</v>
      </c>
      <c r="X62">
        <v>592.726</v>
      </c>
      <c r="Y62" t="s">
        <v>53</v>
      </c>
      <c r="Z62">
        <f>Superstore_Sales[[#This Row],[Sales]]*Superstore_Sales[[#This Row],[Quantity]]</f>
        <v>6816</v>
      </c>
      <c r="AA62" s="3">
        <f>Superstore_Sales[[#This Row],[TotalSales]]*Superstore_Sales[[#This Row],[Discount]]/100</f>
        <v>0</v>
      </c>
      <c r="AB62" s="2">
        <f>Superstore_Sales[[#This Row],[TotalSales]]-Superstore_Sales[[#This Row],[Dis_amt]]-Superstore_Sales[[#This Row],[Shipping Cost]]</f>
        <v>6223.2740000000003</v>
      </c>
    </row>
    <row r="63" spans="1:28" x14ac:dyDescent="0.35">
      <c r="A63">
        <v>50411</v>
      </c>
      <c r="B63" t="s">
        <v>476</v>
      </c>
      <c r="C63" s="1">
        <v>41221</v>
      </c>
      <c r="D63" s="1">
        <v>41223</v>
      </c>
      <c r="E63">
        <f>Superstore_Sales[[#This Row],[Ship Date]]-Superstore_Sales[[#This Row],[Order Date]]</f>
        <v>2</v>
      </c>
      <c r="F63" t="s">
        <v>25</v>
      </c>
      <c r="G63" t="s">
        <v>477</v>
      </c>
      <c r="H63" t="s">
        <v>478</v>
      </c>
      <c r="I63" t="s">
        <v>65</v>
      </c>
      <c r="K63" t="s">
        <v>479</v>
      </c>
      <c r="L63" t="s">
        <v>479</v>
      </c>
      <c r="M63" t="s">
        <v>480</v>
      </c>
      <c r="N63" t="s">
        <v>195</v>
      </c>
      <c r="O63" t="s">
        <v>69</v>
      </c>
      <c r="P63" t="s">
        <v>481</v>
      </c>
      <c r="Q63" t="s">
        <v>50</v>
      </c>
      <c r="R63" t="s">
        <v>104</v>
      </c>
      <c r="S63" t="s">
        <v>482</v>
      </c>
      <c r="T63">
        <v>1858.68</v>
      </c>
      <c r="U63">
        <v>4</v>
      </c>
      <c r="V63">
        <v>0</v>
      </c>
      <c r="W63">
        <v>130.08000000000001</v>
      </c>
      <c r="X63">
        <v>590.55999999999995</v>
      </c>
      <c r="Y63" t="s">
        <v>53</v>
      </c>
      <c r="Z63">
        <f>Superstore_Sales[[#This Row],[Sales]]*Superstore_Sales[[#This Row],[Quantity]]</f>
        <v>7434.72</v>
      </c>
      <c r="AA63" s="3">
        <f>Superstore_Sales[[#This Row],[TotalSales]]*Superstore_Sales[[#This Row],[Discount]]/100</f>
        <v>0</v>
      </c>
      <c r="AB63" s="2">
        <f>Superstore_Sales[[#This Row],[TotalSales]]-Superstore_Sales[[#This Row],[Dis_amt]]-Superstore_Sales[[#This Row],[Shipping Cost]]</f>
        <v>6844.16</v>
      </c>
    </row>
    <row r="64" spans="1:28" x14ac:dyDescent="0.35">
      <c r="A64">
        <v>21191</v>
      </c>
      <c r="B64" t="s">
        <v>483</v>
      </c>
      <c r="C64" s="1">
        <v>41797</v>
      </c>
      <c r="D64" s="1">
        <v>41799</v>
      </c>
      <c r="E64">
        <f>Superstore_Sales[[#This Row],[Ship Date]]-Superstore_Sales[[#This Row],[Order Date]]</f>
        <v>2</v>
      </c>
      <c r="F64" t="s">
        <v>25</v>
      </c>
      <c r="G64" t="s">
        <v>484</v>
      </c>
      <c r="H64" t="s">
        <v>485</v>
      </c>
      <c r="I64" t="s">
        <v>43</v>
      </c>
      <c r="K64" t="s">
        <v>486</v>
      </c>
      <c r="L64" t="s">
        <v>365</v>
      </c>
      <c r="M64" t="s">
        <v>144</v>
      </c>
      <c r="N64" t="s">
        <v>145</v>
      </c>
      <c r="O64" t="s">
        <v>48</v>
      </c>
      <c r="P64" t="s">
        <v>137</v>
      </c>
      <c r="Q64" t="s">
        <v>50</v>
      </c>
      <c r="R64" t="s">
        <v>51</v>
      </c>
      <c r="S64" t="s">
        <v>138</v>
      </c>
      <c r="T64">
        <v>3298.26</v>
      </c>
      <c r="U64">
        <v>7</v>
      </c>
      <c r="V64">
        <v>0</v>
      </c>
      <c r="W64">
        <v>1055.25</v>
      </c>
      <c r="X64">
        <v>589.36</v>
      </c>
      <c r="Y64" t="s">
        <v>38</v>
      </c>
      <c r="Z64">
        <f>Superstore_Sales[[#This Row],[Sales]]*Superstore_Sales[[#This Row],[Quantity]]</f>
        <v>23087.82</v>
      </c>
      <c r="AA64" s="3">
        <f>Superstore_Sales[[#This Row],[TotalSales]]*Superstore_Sales[[#This Row],[Discount]]/100</f>
        <v>0</v>
      </c>
      <c r="AB64" s="2">
        <f>Superstore_Sales[[#This Row],[TotalSales]]-Superstore_Sales[[#This Row],[Dis_amt]]-Superstore_Sales[[#This Row],[Shipping Cost]]</f>
        <v>22498.46</v>
      </c>
    </row>
    <row r="65" spans="1:28" x14ac:dyDescent="0.35">
      <c r="A65">
        <v>4960</v>
      </c>
      <c r="B65" t="s">
        <v>487</v>
      </c>
      <c r="C65" s="1">
        <v>41234</v>
      </c>
      <c r="D65" s="1">
        <v>41235</v>
      </c>
      <c r="E65">
        <f>Superstore_Sales[[#This Row],[Ship Date]]-Superstore_Sales[[#This Row],[Order Date]]</f>
        <v>1</v>
      </c>
      <c r="F65" t="s">
        <v>25</v>
      </c>
      <c r="G65" t="s">
        <v>488</v>
      </c>
      <c r="H65" t="s">
        <v>489</v>
      </c>
      <c r="I65" t="s">
        <v>28</v>
      </c>
      <c r="K65" t="s">
        <v>490</v>
      </c>
      <c r="L65" t="s">
        <v>490</v>
      </c>
      <c r="M65" t="s">
        <v>491</v>
      </c>
      <c r="N65" t="s">
        <v>220</v>
      </c>
      <c r="O65" t="s">
        <v>136</v>
      </c>
      <c r="P65" t="s">
        <v>492</v>
      </c>
      <c r="Q65" t="s">
        <v>147</v>
      </c>
      <c r="R65" t="s">
        <v>148</v>
      </c>
      <c r="S65" t="s">
        <v>493</v>
      </c>
      <c r="T65">
        <v>2443.48</v>
      </c>
      <c r="U65">
        <v>13</v>
      </c>
      <c r="V65">
        <v>0</v>
      </c>
      <c r="W65">
        <v>121.94</v>
      </c>
      <c r="X65">
        <v>589.29300000000001</v>
      </c>
      <c r="Y65" t="s">
        <v>61</v>
      </c>
      <c r="Z65">
        <f>Superstore_Sales[[#This Row],[Sales]]*Superstore_Sales[[#This Row],[Quantity]]</f>
        <v>31765.24</v>
      </c>
      <c r="AA65" s="3">
        <f>Superstore_Sales[[#This Row],[TotalSales]]*Superstore_Sales[[#This Row],[Discount]]/100</f>
        <v>0</v>
      </c>
      <c r="AB65" s="2">
        <f>Superstore_Sales[[#This Row],[TotalSales]]-Superstore_Sales[[#This Row],[Dis_amt]]-Superstore_Sales[[#This Row],[Shipping Cost]]</f>
        <v>31175.947</v>
      </c>
    </row>
    <row r="66" spans="1:28" x14ac:dyDescent="0.35">
      <c r="A66">
        <v>49085</v>
      </c>
      <c r="B66" t="s">
        <v>494</v>
      </c>
      <c r="C66" s="1">
        <v>41727</v>
      </c>
      <c r="D66" s="1">
        <v>41729</v>
      </c>
      <c r="E66">
        <f>Superstore_Sales[[#This Row],[Ship Date]]-Superstore_Sales[[#This Row],[Order Date]]</f>
        <v>2</v>
      </c>
      <c r="F66" t="s">
        <v>40</v>
      </c>
      <c r="G66" t="s">
        <v>495</v>
      </c>
      <c r="H66" t="s">
        <v>496</v>
      </c>
      <c r="I66" t="s">
        <v>28</v>
      </c>
      <c r="K66" t="s">
        <v>497</v>
      </c>
      <c r="L66" t="s">
        <v>498</v>
      </c>
      <c r="M66" t="s">
        <v>293</v>
      </c>
      <c r="N66" t="s">
        <v>294</v>
      </c>
      <c r="O66" t="s">
        <v>79</v>
      </c>
      <c r="P66" t="s">
        <v>137</v>
      </c>
      <c r="Q66" t="s">
        <v>50</v>
      </c>
      <c r="R66" t="s">
        <v>51</v>
      </c>
      <c r="S66" t="s">
        <v>138</v>
      </c>
      <c r="T66">
        <v>3808.8</v>
      </c>
      <c r="U66">
        <v>8</v>
      </c>
      <c r="V66">
        <v>0</v>
      </c>
      <c r="W66">
        <v>1523.52</v>
      </c>
      <c r="X66">
        <v>588.13</v>
      </c>
      <c r="Y66" t="s">
        <v>38</v>
      </c>
      <c r="Z66">
        <f>Superstore_Sales[[#This Row],[Sales]]*Superstore_Sales[[#This Row],[Quantity]]</f>
        <v>30470.400000000001</v>
      </c>
      <c r="AA66" s="3">
        <f>Superstore_Sales[[#This Row],[TotalSales]]*Superstore_Sales[[#This Row],[Discount]]/100</f>
        <v>0</v>
      </c>
      <c r="AB66" s="2">
        <f>Superstore_Sales[[#This Row],[TotalSales]]-Superstore_Sales[[#This Row],[Dis_amt]]-Superstore_Sales[[#This Row],[Shipping Cost]]</f>
        <v>29882.27</v>
      </c>
    </row>
    <row r="67" spans="1:28" x14ac:dyDescent="0.35">
      <c r="A67">
        <v>21209</v>
      </c>
      <c r="B67" t="s">
        <v>499</v>
      </c>
      <c r="C67" s="1">
        <v>42242</v>
      </c>
      <c r="D67" s="1">
        <v>42243</v>
      </c>
      <c r="E67">
        <f>Superstore_Sales[[#This Row],[Ship Date]]-Superstore_Sales[[#This Row],[Order Date]]</f>
        <v>1</v>
      </c>
      <c r="F67" t="s">
        <v>25</v>
      </c>
      <c r="G67" t="s">
        <v>500</v>
      </c>
      <c r="H67" t="s">
        <v>501</v>
      </c>
      <c r="I67" t="s">
        <v>43</v>
      </c>
      <c r="K67" t="s">
        <v>502</v>
      </c>
      <c r="L67" t="s">
        <v>503</v>
      </c>
      <c r="M67" t="s">
        <v>321</v>
      </c>
      <c r="N67" t="s">
        <v>322</v>
      </c>
      <c r="O67" t="s">
        <v>48</v>
      </c>
      <c r="P67" t="s">
        <v>504</v>
      </c>
      <c r="Q67" t="s">
        <v>50</v>
      </c>
      <c r="R67" t="s">
        <v>104</v>
      </c>
      <c r="S67" t="s">
        <v>505</v>
      </c>
      <c r="T67">
        <v>3427.15</v>
      </c>
      <c r="U67">
        <v>7</v>
      </c>
      <c r="V67">
        <v>0.47</v>
      </c>
      <c r="W67">
        <v>-452.81</v>
      </c>
      <c r="X67">
        <v>586.57000000000005</v>
      </c>
      <c r="Y67" t="s">
        <v>38</v>
      </c>
      <c r="Z67">
        <f>Superstore_Sales[[#This Row],[Sales]]*Superstore_Sales[[#This Row],[Quantity]]</f>
        <v>23990.05</v>
      </c>
      <c r="AA67" s="3">
        <f>Superstore_Sales[[#This Row],[TotalSales]]*Superstore_Sales[[#This Row],[Discount]]/100</f>
        <v>112.75323499999999</v>
      </c>
      <c r="AB67" s="2">
        <f>Superstore_Sales[[#This Row],[TotalSales]]-Superstore_Sales[[#This Row],[Dis_amt]]-Superstore_Sales[[#This Row],[Shipping Cost]]</f>
        <v>23290.726764999999</v>
      </c>
    </row>
    <row r="68" spans="1:28" x14ac:dyDescent="0.35">
      <c r="A68">
        <v>12161</v>
      </c>
      <c r="B68" t="s">
        <v>506</v>
      </c>
      <c r="C68" s="1">
        <v>41537</v>
      </c>
      <c r="D68" s="1">
        <v>41539</v>
      </c>
      <c r="E68">
        <f>Superstore_Sales[[#This Row],[Ship Date]]-Superstore_Sales[[#This Row],[Order Date]]</f>
        <v>2</v>
      </c>
      <c r="F68" t="s">
        <v>40</v>
      </c>
      <c r="G68" t="s">
        <v>507</v>
      </c>
      <c r="H68" t="s">
        <v>508</v>
      </c>
      <c r="I68" t="s">
        <v>28</v>
      </c>
      <c r="K68" t="s">
        <v>509</v>
      </c>
      <c r="L68" t="s">
        <v>310</v>
      </c>
      <c r="M68" t="s">
        <v>210</v>
      </c>
      <c r="N68" t="s">
        <v>211</v>
      </c>
      <c r="O68" t="s">
        <v>69</v>
      </c>
      <c r="P68" t="s">
        <v>510</v>
      </c>
      <c r="Q68" t="s">
        <v>35</v>
      </c>
      <c r="R68" t="s">
        <v>36</v>
      </c>
      <c r="S68" t="s">
        <v>511</v>
      </c>
      <c r="T68">
        <v>3441.69</v>
      </c>
      <c r="U68">
        <v>6</v>
      </c>
      <c r="V68">
        <v>0.1</v>
      </c>
      <c r="W68">
        <v>38.07</v>
      </c>
      <c r="X68">
        <v>585.25</v>
      </c>
      <c r="Y68" t="s">
        <v>38</v>
      </c>
      <c r="Z68">
        <f>Superstore_Sales[[#This Row],[Sales]]*Superstore_Sales[[#This Row],[Quantity]]</f>
        <v>20650.14</v>
      </c>
      <c r="AA68" s="3">
        <f>Superstore_Sales[[#This Row],[TotalSales]]*Superstore_Sales[[#This Row],[Discount]]/100</f>
        <v>20.65014</v>
      </c>
      <c r="AB68" s="2">
        <f>Superstore_Sales[[#This Row],[TotalSales]]-Superstore_Sales[[#This Row],[Dis_amt]]-Superstore_Sales[[#This Row],[Shipping Cost]]</f>
        <v>20044.239859999998</v>
      </c>
    </row>
    <row r="69" spans="1:28" x14ac:dyDescent="0.35">
      <c r="A69">
        <v>25438</v>
      </c>
      <c r="B69" t="s">
        <v>512</v>
      </c>
      <c r="C69" s="1">
        <v>42140</v>
      </c>
      <c r="D69" s="1">
        <v>42142</v>
      </c>
      <c r="E69">
        <f>Superstore_Sales[[#This Row],[Ship Date]]-Superstore_Sales[[#This Row],[Order Date]]</f>
        <v>2</v>
      </c>
      <c r="F69" t="s">
        <v>40</v>
      </c>
      <c r="G69" t="s">
        <v>513</v>
      </c>
      <c r="H69" t="s">
        <v>377</v>
      </c>
      <c r="I69" t="s">
        <v>28</v>
      </c>
      <c r="K69" t="s">
        <v>514</v>
      </c>
      <c r="L69" t="s">
        <v>515</v>
      </c>
      <c r="M69" t="s">
        <v>46</v>
      </c>
      <c r="N69" t="s">
        <v>47</v>
      </c>
      <c r="O69" t="s">
        <v>48</v>
      </c>
      <c r="P69" t="s">
        <v>516</v>
      </c>
      <c r="Q69" t="s">
        <v>35</v>
      </c>
      <c r="R69" t="s">
        <v>36</v>
      </c>
      <c r="S69" t="s">
        <v>517</v>
      </c>
      <c r="T69">
        <v>2863.35</v>
      </c>
      <c r="U69">
        <v>5</v>
      </c>
      <c r="V69">
        <v>0.1</v>
      </c>
      <c r="W69">
        <v>858.9</v>
      </c>
      <c r="X69">
        <v>581.88</v>
      </c>
      <c r="Y69" t="s">
        <v>53</v>
      </c>
      <c r="Z69">
        <f>Superstore_Sales[[#This Row],[Sales]]*Superstore_Sales[[#This Row],[Quantity]]</f>
        <v>14316.75</v>
      </c>
      <c r="AA69" s="3">
        <f>Superstore_Sales[[#This Row],[TotalSales]]*Superstore_Sales[[#This Row],[Discount]]/100</f>
        <v>14.316750000000003</v>
      </c>
      <c r="AB69" s="2">
        <f>Superstore_Sales[[#This Row],[TotalSales]]-Superstore_Sales[[#This Row],[Dis_amt]]-Superstore_Sales[[#This Row],[Shipping Cost]]</f>
        <v>13720.553250000001</v>
      </c>
    </row>
    <row r="70" spans="1:28" x14ac:dyDescent="0.35">
      <c r="A70">
        <v>33130</v>
      </c>
      <c r="B70" t="s">
        <v>518</v>
      </c>
      <c r="C70" s="1">
        <v>42218</v>
      </c>
      <c r="D70" s="1">
        <v>42224</v>
      </c>
      <c r="E70">
        <f>Superstore_Sales[[#This Row],[Ship Date]]-Superstore_Sales[[#This Row],[Order Date]]</f>
        <v>6</v>
      </c>
      <c r="F70" t="s">
        <v>98</v>
      </c>
      <c r="G70" t="s">
        <v>519</v>
      </c>
      <c r="H70" t="s">
        <v>453</v>
      </c>
      <c r="I70" t="s">
        <v>43</v>
      </c>
      <c r="J70">
        <v>78745</v>
      </c>
      <c r="K70" t="s">
        <v>520</v>
      </c>
      <c r="L70" t="s">
        <v>160</v>
      </c>
      <c r="M70" t="s">
        <v>31</v>
      </c>
      <c r="N70" t="s">
        <v>32</v>
      </c>
      <c r="O70" t="s">
        <v>33</v>
      </c>
      <c r="P70" t="s">
        <v>521</v>
      </c>
      <c r="Q70" t="s">
        <v>35</v>
      </c>
      <c r="R70" t="s">
        <v>275</v>
      </c>
      <c r="S70" t="s">
        <v>522</v>
      </c>
      <c r="T70">
        <v>1439.98</v>
      </c>
      <c r="U70">
        <v>3</v>
      </c>
      <c r="V70">
        <v>0.4</v>
      </c>
      <c r="W70">
        <v>-264</v>
      </c>
      <c r="X70">
        <v>103.62</v>
      </c>
      <c r="Y70" t="s">
        <v>61</v>
      </c>
      <c r="Z70">
        <f>Superstore_Sales[[#This Row],[Sales]]*Superstore_Sales[[#This Row],[Quantity]]</f>
        <v>4319.9400000000005</v>
      </c>
      <c r="AA70" s="3">
        <f>Superstore_Sales[[#This Row],[TotalSales]]*Superstore_Sales[[#This Row],[Discount]]/100</f>
        <v>17.279760000000003</v>
      </c>
      <c r="AB70" s="2">
        <f>Superstore_Sales[[#This Row],[TotalSales]]-Superstore_Sales[[#This Row],[Dis_amt]]-Superstore_Sales[[#This Row],[Shipping Cost]]</f>
        <v>4199.0402400000003</v>
      </c>
    </row>
    <row r="71" spans="1:28" x14ac:dyDescent="0.35">
      <c r="A71">
        <v>16988</v>
      </c>
      <c r="B71" t="s">
        <v>523</v>
      </c>
      <c r="C71" s="1">
        <v>41967</v>
      </c>
      <c r="D71" s="1">
        <v>41968</v>
      </c>
      <c r="E71">
        <f>Superstore_Sales[[#This Row],[Ship Date]]-Superstore_Sales[[#This Row],[Order Date]]</f>
        <v>1</v>
      </c>
      <c r="F71" t="s">
        <v>25</v>
      </c>
      <c r="G71" t="s">
        <v>524</v>
      </c>
      <c r="H71" t="s">
        <v>525</v>
      </c>
      <c r="I71" t="s">
        <v>28</v>
      </c>
      <c r="K71" t="s">
        <v>526</v>
      </c>
      <c r="L71" t="s">
        <v>527</v>
      </c>
      <c r="M71" t="s">
        <v>67</v>
      </c>
      <c r="N71" t="s">
        <v>68</v>
      </c>
      <c r="O71" t="s">
        <v>69</v>
      </c>
      <c r="P71" t="s">
        <v>528</v>
      </c>
      <c r="Q71" t="s">
        <v>35</v>
      </c>
      <c r="R71" t="s">
        <v>81</v>
      </c>
      <c r="S71" t="s">
        <v>529</v>
      </c>
      <c r="T71">
        <v>1487.4</v>
      </c>
      <c r="U71">
        <v>10</v>
      </c>
      <c r="V71">
        <v>0</v>
      </c>
      <c r="W71">
        <v>728.7</v>
      </c>
      <c r="X71">
        <v>580.98</v>
      </c>
      <c r="Y71" t="s">
        <v>53</v>
      </c>
      <c r="Z71">
        <f>Superstore_Sales[[#This Row],[Sales]]*Superstore_Sales[[#This Row],[Quantity]]</f>
        <v>14874</v>
      </c>
      <c r="AA71" s="3">
        <f>Superstore_Sales[[#This Row],[TotalSales]]*Superstore_Sales[[#This Row],[Discount]]/100</f>
        <v>0</v>
      </c>
      <c r="AB71" s="2">
        <f>Superstore_Sales[[#This Row],[TotalSales]]-Superstore_Sales[[#This Row],[Dis_amt]]-Superstore_Sales[[#This Row],[Shipping Cost]]</f>
        <v>14293.02</v>
      </c>
    </row>
    <row r="72" spans="1:28" x14ac:dyDescent="0.35">
      <c r="A72">
        <v>24443</v>
      </c>
      <c r="B72" t="s">
        <v>530</v>
      </c>
      <c r="C72" s="1">
        <v>41221</v>
      </c>
      <c r="D72" s="1">
        <v>41223</v>
      </c>
      <c r="E72">
        <f>Superstore_Sales[[#This Row],[Ship Date]]-Superstore_Sales[[#This Row],[Order Date]]</f>
        <v>2</v>
      </c>
      <c r="F72" t="s">
        <v>40</v>
      </c>
      <c r="G72" t="s">
        <v>531</v>
      </c>
      <c r="H72" t="s">
        <v>532</v>
      </c>
      <c r="I72" t="s">
        <v>65</v>
      </c>
      <c r="K72" t="s">
        <v>533</v>
      </c>
      <c r="L72" t="s">
        <v>534</v>
      </c>
      <c r="M72" t="s">
        <v>144</v>
      </c>
      <c r="N72" t="s">
        <v>145</v>
      </c>
      <c r="O72" t="s">
        <v>48</v>
      </c>
      <c r="P72" t="s">
        <v>535</v>
      </c>
      <c r="Q72" t="s">
        <v>35</v>
      </c>
      <c r="R72" t="s">
        <v>81</v>
      </c>
      <c r="S72" t="s">
        <v>536</v>
      </c>
      <c r="T72">
        <v>3200.04</v>
      </c>
      <c r="U72">
        <v>9</v>
      </c>
      <c r="V72">
        <v>0</v>
      </c>
      <c r="W72">
        <v>1183.95</v>
      </c>
      <c r="X72">
        <v>576.71</v>
      </c>
      <c r="Y72" t="s">
        <v>61</v>
      </c>
      <c r="Z72">
        <f>Superstore_Sales[[#This Row],[Sales]]*Superstore_Sales[[#This Row],[Quantity]]</f>
        <v>28800.36</v>
      </c>
      <c r="AA72" s="3">
        <f>Superstore_Sales[[#This Row],[TotalSales]]*Superstore_Sales[[#This Row],[Discount]]/100</f>
        <v>0</v>
      </c>
      <c r="AB72" s="2">
        <f>Superstore_Sales[[#This Row],[TotalSales]]-Superstore_Sales[[#This Row],[Dis_amt]]-Superstore_Sales[[#This Row],[Shipping Cost]]</f>
        <v>28223.65</v>
      </c>
    </row>
    <row r="73" spans="1:28" x14ac:dyDescent="0.35">
      <c r="A73">
        <v>30199</v>
      </c>
      <c r="B73" t="s">
        <v>537</v>
      </c>
      <c r="C73" s="1">
        <v>41209</v>
      </c>
      <c r="D73" s="1">
        <v>41209</v>
      </c>
      <c r="E73">
        <f>Superstore_Sales[[#This Row],[Ship Date]]-Superstore_Sales[[#This Row],[Order Date]]</f>
        <v>0</v>
      </c>
      <c r="F73" t="s">
        <v>73</v>
      </c>
      <c r="G73" t="s">
        <v>538</v>
      </c>
      <c r="H73" t="s">
        <v>539</v>
      </c>
      <c r="I73" t="s">
        <v>28</v>
      </c>
      <c r="K73" t="s">
        <v>540</v>
      </c>
      <c r="L73" t="s">
        <v>541</v>
      </c>
      <c r="M73" t="s">
        <v>258</v>
      </c>
      <c r="N73" t="s">
        <v>118</v>
      </c>
      <c r="O73" t="s">
        <v>48</v>
      </c>
      <c r="P73" t="s">
        <v>366</v>
      </c>
      <c r="Q73" t="s">
        <v>50</v>
      </c>
      <c r="R73" t="s">
        <v>51</v>
      </c>
      <c r="S73" t="s">
        <v>367</v>
      </c>
      <c r="T73">
        <v>2301</v>
      </c>
      <c r="U73">
        <v>5</v>
      </c>
      <c r="V73">
        <v>0</v>
      </c>
      <c r="W73">
        <v>91.95</v>
      </c>
      <c r="X73">
        <v>573.27</v>
      </c>
      <c r="Y73" t="s">
        <v>53</v>
      </c>
      <c r="Z73">
        <f>Superstore_Sales[[#This Row],[Sales]]*Superstore_Sales[[#This Row],[Quantity]]</f>
        <v>11505</v>
      </c>
      <c r="AA73" s="3">
        <f>Superstore_Sales[[#This Row],[TotalSales]]*Superstore_Sales[[#This Row],[Discount]]/100</f>
        <v>0</v>
      </c>
      <c r="AB73" s="2">
        <f>Superstore_Sales[[#This Row],[TotalSales]]-Superstore_Sales[[#This Row],[Dis_amt]]-Superstore_Sales[[#This Row],[Shipping Cost]]</f>
        <v>10931.73</v>
      </c>
    </row>
    <row r="74" spans="1:28" x14ac:dyDescent="0.35">
      <c r="A74">
        <v>13879</v>
      </c>
      <c r="B74" t="s">
        <v>542</v>
      </c>
      <c r="C74" s="1">
        <v>42327</v>
      </c>
      <c r="D74" s="1">
        <v>42331</v>
      </c>
      <c r="E74">
        <f>Superstore_Sales[[#This Row],[Ship Date]]-Superstore_Sales[[#This Row],[Order Date]]</f>
        <v>4</v>
      </c>
      <c r="F74" t="s">
        <v>98</v>
      </c>
      <c r="G74" t="s">
        <v>543</v>
      </c>
      <c r="H74" t="s">
        <v>544</v>
      </c>
      <c r="I74" t="s">
        <v>28</v>
      </c>
      <c r="K74" t="s">
        <v>545</v>
      </c>
      <c r="L74" t="s">
        <v>546</v>
      </c>
      <c r="M74" t="s">
        <v>155</v>
      </c>
      <c r="N74" t="s">
        <v>68</v>
      </c>
      <c r="O74" t="s">
        <v>69</v>
      </c>
      <c r="P74" t="s">
        <v>547</v>
      </c>
      <c r="Q74" t="s">
        <v>50</v>
      </c>
      <c r="R74" t="s">
        <v>51</v>
      </c>
      <c r="S74" t="s">
        <v>548</v>
      </c>
      <c r="T74">
        <v>5729.35</v>
      </c>
      <c r="U74">
        <v>14</v>
      </c>
      <c r="V74">
        <v>0.1</v>
      </c>
      <c r="W74">
        <v>63.55</v>
      </c>
      <c r="X74">
        <v>572.95000000000005</v>
      </c>
      <c r="Y74" t="s">
        <v>38</v>
      </c>
      <c r="Z74">
        <f>Superstore_Sales[[#This Row],[Sales]]*Superstore_Sales[[#This Row],[Quantity]]</f>
        <v>80210.900000000009</v>
      </c>
      <c r="AA74" s="3">
        <f>Superstore_Sales[[#This Row],[TotalSales]]*Superstore_Sales[[#This Row],[Discount]]/100</f>
        <v>80.210900000000009</v>
      </c>
      <c r="AB74" s="2">
        <f>Superstore_Sales[[#This Row],[TotalSales]]-Superstore_Sales[[#This Row],[Dis_amt]]-Superstore_Sales[[#This Row],[Shipping Cost]]</f>
        <v>79557.739100000006</v>
      </c>
    </row>
    <row r="75" spans="1:28" x14ac:dyDescent="0.35">
      <c r="A75">
        <v>50788</v>
      </c>
      <c r="B75" t="s">
        <v>549</v>
      </c>
      <c r="C75" s="1">
        <v>42305</v>
      </c>
      <c r="D75" s="1">
        <v>42307</v>
      </c>
      <c r="E75">
        <f>Superstore_Sales[[#This Row],[Ship Date]]-Superstore_Sales[[#This Row],[Order Date]]</f>
        <v>2</v>
      </c>
      <c r="F75" t="s">
        <v>40</v>
      </c>
      <c r="G75" t="s">
        <v>550</v>
      </c>
      <c r="H75" t="s">
        <v>285</v>
      </c>
      <c r="I75" t="s">
        <v>43</v>
      </c>
      <c r="K75" t="s">
        <v>551</v>
      </c>
      <c r="L75" t="s">
        <v>552</v>
      </c>
      <c r="M75" t="s">
        <v>553</v>
      </c>
      <c r="N75" t="s">
        <v>554</v>
      </c>
      <c r="O75" t="s">
        <v>79</v>
      </c>
      <c r="P75" t="s">
        <v>555</v>
      </c>
      <c r="Q75" t="s">
        <v>35</v>
      </c>
      <c r="R75" t="s">
        <v>81</v>
      </c>
      <c r="S75" t="s">
        <v>556</v>
      </c>
      <c r="T75">
        <v>5301.24</v>
      </c>
      <c r="U75">
        <v>14</v>
      </c>
      <c r="V75">
        <v>0</v>
      </c>
      <c r="W75">
        <v>2597.2800000000002</v>
      </c>
      <c r="X75">
        <v>568.45000000000005</v>
      </c>
      <c r="Y75" t="s">
        <v>61</v>
      </c>
      <c r="Z75">
        <f>Superstore_Sales[[#This Row],[Sales]]*Superstore_Sales[[#This Row],[Quantity]]</f>
        <v>74217.36</v>
      </c>
      <c r="AA75" s="3">
        <f>Superstore_Sales[[#This Row],[TotalSales]]*Superstore_Sales[[#This Row],[Discount]]/100</f>
        <v>0</v>
      </c>
      <c r="AB75" s="2">
        <f>Superstore_Sales[[#This Row],[TotalSales]]-Superstore_Sales[[#This Row],[Dis_amt]]-Superstore_Sales[[#This Row],[Shipping Cost]]</f>
        <v>73648.91</v>
      </c>
    </row>
    <row r="76" spans="1:28" x14ac:dyDescent="0.35">
      <c r="A76">
        <v>40834</v>
      </c>
      <c r="B76" t="s">
        <v>557</v>
      </c>
      <c r="C76" s="1">
        <v>41908</v>
      </c>
      <c r="D76" s="1">
        <v>41910</v>
      </c>
      <c r="E76">
        <f>Superstore_Sales[[#This Row],[Ship Date]]-Superstore_Sales[[#This Row],[Order Date]]</f>
        <v>2</v>
      </c>
      <c r="F76" t="s">
        <v>25</v>
      </c>
      <c r="G76" t="s">
        <v>558</v>
      </c>
      <c r="H76" t="s">
        <v>453</v>
      </c>
      <c r="I76" t="s">
        <v>43</v>
      </c>
      <c r="J76">
        <v>94110</v>
      </c>
      <c r="K76" t="s">
        <v>279</v>
      </c>
      <c r="L76" t="s">
        <v>280</v>
      </c>
      <c r="M76" t="s">
        <v>31</v>
      </c>
      <c r="N76" t="s">
        <v>110</v>
      </c>
      <c r="O76" t="s">
        <v>33</v>
      </c>
      <c r="P76" t="s">
        <v>559</v>
      </c>
      <c r="Q76" t="s">
        <v>50</v>
      </c>
      <c r="R76" t="s">
        <v>336</v>
      </c>
      <c r="S76" t="s">
        <v>560</v>
      </c>
      <c r="T76">
        <v>477.67</v>
      </c>
      <c r="U76">
        <v>2</v>
      </c>
      <c r="V76">
        <v>0.15</v>
      </c>
      <c r="W76">
        <v>84.29</v>
      </c>
      <c r="X76">
        <v>43.01</v>
      </c>
      <c r="Y76" t="s">
        <v>53</v>
      </c>
      <c r="Z76">
        <f>Superstore_Sales[[#This Row],[Sales]]*Superstore_Sales[[#This Row],[Quantity]]</f>
        <v>955.34</v>
      </c>
      <c r="AA76" s="3">
        <f>Superstore_Sales[[#This Row],[TotalSales]]*Superstore_Sales[[#This Row],[Discount]]/100</f>
        <v>1.4330099999999999</v>
      </c>
      <c r="AB76" s="2">
        <f>Superstore_Sales[[#This Row],[TotalSales]]-Superstore_Sales[[#This Row],[Dis_amt]]-Superstore_Sales[[#This Row],[Shipping Cost]]</f>
        <v>910.89699000000007</v>
      </c>
    </row>
    <row r="77" spans="1:28" x14ac:dyDescent="0.35">
      <c r="A77">
        <v>40425</v>
      </c>
      <c r="B77" t="s">
        <v>561</v>
      </c>
      <c r="C77" s="1">
        <v>42252</v>
      </c>
      <c r="D77" s="1">
        <v>42253</v>
      </c>
      <c r="E77">
        <f>Superstore_Sales[[#This Row],[Ship Date]]-Superstore_Sales[[#This Row],[Order Date]]</f>
        <v>1</v>
      </c>
      <c r="F77" t="s">
        <v>25</v>
      </c>
      <c r="G77" t="s">
        <v>558</v>
      </c>
      <c r="H77" t="s">
        <v>453</v>
      </c>
      <c r="I77" t="s">
        <v>43</v>
      </c>
      <c r="J77">
        <v>97756</v>
      </c>
      <c r="K77" t="s">
        <v>562</v>
      </c>
      <c r="L77" t="s">
        <v>563</v>
      </c>
      <c r="M77" t="s">
        <v>31</v>
      </c>
      <c r="N77" t="s">
        <v>110</v>
      </c>
      <c r="O77" t="s">
        <v>33</v>
      </c>
      <c r="P77" t="s">
        <v>564</v>
      </c>
      <c r="Q77" t="s">
        <v>147</v>
      </c>
      <c r="R77" t="s">
        <v>384</v>
      </c>
      <c r="S77" t="s">
        <v>565</v>
      </c>
      <c r="T77">
        <v>88.07</v>
      </c>
      <c r="U77">
        <v>7</v>
      </c>
      <c r="V77">
        <v>0.7</v>
      </c>
      <c r="W77">
        <v>-58.72</v>
      </c>
      <c r="X77">
        <v>23.88</v>
      </c>
      <c r="Y77" t="s">
        <v>38</v>
      </c>
      <c r="Z77">
        <f>Superstore_Sales[[#This Row],[Sales]]*Superstore_Sales[[#This Row],[Quantity]]</f>
        <v>616.49</v>
      </c>
      <c r="AA77" s="3">
        <f>Superstore_Sales[[#This Row],[TotalSales]]*Superstore_Sales[[#This Row],[Discount]]/100</f>
        <v>4.3154300000000001</v>
      </c>
      <c r="AB77" s="2">
        <f>Superstore_Sales[[#This Row],[TotalSales]]-Superstore_Sales[[#This Row],[Dis_amt]]-Superstore_Sales[[#This Row],[Shipping Cost]]</f>
        <v>588.29457000000002</v>
      </c>
    </row>
    <row r="78" spans="1:28" x14ac:dyDescent="0.35">
      <c r="A78">
        <v>18241</v>
      </c>
      <c r="B78" t="s">
        <v>566</v>
      </c>
      <c r="C78" s="1">
        <v>41668</v>
      </c>
      <c r="D78" s="1">
        <v>41675</v>
      </c>
      <c r="E78">
        <f>Superstore_Sales[[#This Row],[Ship Date]]-Superstore_Sales[[#This Row],[Order Date]]</f>
        <v>7</v>
      </c>
      <c r="F78" t="s">
        <v>98</v>
      </c>
      <c r="G78" t="s">
        <v>567</v>
      </c>
      <c r="H78" t="s">
        <v>318</v>
      </c>
      <c r="I78" t="s">
        <v>28</v>
      </c>
      <c r="K78" t="s">
        <v>568</v>
      </c>
      <c r="L78" t="s">
        <v>527</v>
      </c>
      <c r="M78" t="s">
        <v>67</v>
      </c>
      <c r="N78" t="s">
        <v>68</v>
      </c>
      <c r="O78" t="s">
        <v>69</v>
      </c>
      <c r="P78" t="s">
        <v>221</v>
      </c>
      <c r="Q78" t="s">
        <v>35</v>
      </c>
      <c r="R78" t="s">
        <v>36</v>
      </c>
      <c r="S78" t="s">
        <v>222</v>
      </c>
      <c r="T78">
        <v>3219.9</v>
      </c>
      <c r="U78">
        <v>5</v>
      </c>
      <c r="V78">
        <v>0</v>
      </c>
      <c r="W78">
        <v>965.85</v>
      </c>
      <c r="X78">
        <v>564.25</v>
      </c>
      <c r="Y78" t="s">
        <v>164</v>
      </c>
      <c r="Z78">
        <f>Superstore_Sales[[#This Row],[Sales]]*Superstore_Sales[[#This Row],[Quantity]]</f>
        <v>16099.5</v>
      </c>
      <c r="AA78" s="3">
        <f>Superstore_Sales[[#This Row],[TotalSales]]*Superstore_Sales[[#This Row],[Discount]]/100</f>
        <v>0</v>
      </c>
      <c r="AB78" s="2">
        <f>Superstore_Sales[[#This Row],[TotalSales]]-Superstore_Sales[[#This Row],[Dis_amt]]-Superstore_Sales[[#This Row],[Shipping Cost]]</f>
        <v>15535.25</v>
      </c>
    </row>
    <row r="79" spans="1:28" x14ac:dyDescent="0.35">
      <c r="A79">
        <v>23013</v>
      </c>
      <c r="B79" t="s">
        <v>569</v>
      </c>
      <c r="C79" s="1">
        <v>41535</v>
      </c>
      <c r="D79" s="1">
        <v>41538</v>
      </c>
      <c r="E79">
        <f>Superstore_Sales[[#This Row],[Ship Date]]-Superstore_Sales[[#This Row],[Order Date]]</f>
        <v>3</v>
      </c>
      <c r="F79" t="s">
        <v>40</v>
      </c>
      <c r="G79" t="s">
        <v>570</v>
      </c>
      <c r="H79" t="s">
        <v>571</v>
      </c>
      <c r="I79" t="s">
        <v>28</v>
      </c>
      <c r="K79" t="s">
        <v>572</v>
      </c>
      <c r="L79" t="s">
        <v>573</v>
      </c>
      <c r="M79" t="s">
        <v>321</v>
      </c>
      <c r="N79" t="s">
        <v>322</v>
      </c>
      <c r="O79" t="s">
        <v>48</v>
      </c>
      <c r="P79" t="s">
        <v>574</v>
      </c>
      <c r="Q79" t="s">
        <v>147</v>
      </c>
      <c r="R79" t="s">
        <v>148</v>
      </c>
      <c r="S79" t="s">
        <v>575</v>
      </c>
      <c r="T79">
        <v>2487.81</v>
      </c>
      <c r="U79">
        <v>6</v>
      </c>
      <c r="V79">
        <v>0.17</v>
      </c>
      <c r="W79">
        <v>-269.79000000000002</v>
      </c>
      <c r="X79">
        <v>562.14</v>
      </c>
      <c r="Y79" t="s">
        <v>53</v>
      </c>
      <c r="Z79">
        <f>Superstore_Sales[[#This Row],[Sales]]*Superstore_Sales[[#This Row],[Quantity]]</f>
        <v>14926.86</v>
      </c>
      <c r="AA79" s="3">
        <f>Superstore_Sales[[#This Row],[TotalSales]]*Superstore_Sales[[#This Row],[Discount]]/100</f>
        <v>25.375662000000002</v>
      </c>
      <c r="AB79" s="2">
        <f>Superstore_Sales[[#This Row],[TotalSales]]-Superstore_Sales[[#This Row],[Dis_amt]]-Superstore_Sales[[#This Row],[Shipping Cost]]</f>
        <v>14339.344338000001</v>
      </c>
    </row>
    <row r="80" spans="1:28" x14ac:dyDescent="0.35">
      <c r="A80">
        <v>45616</v>
      </c>
      <c r="B80" t="s">
        <v>576</v>
      </c>
      <c r="C80" s="1">
        <v>41966</v>
      </c>
      <c r="D80" s="1">
        <v>41966</v>
      </c>
      <c r="E80">
        <f>Superstore_Sales[[#This Row],[Ship Date]]-Superstore_Sales[[#This Row],[Order Date]]</f>
        <v>0</v>
      </c>
      <c r="F80" t="s">
        <v>73</v>
      </c>
      <c r="G80" t="s">
        <v>577</v>
      </c>
      <c r="H80" t="s">
        <v>578</v>
      </c>
      <c r="I80" t="s">
        <v>65</v>
      </c>
      <c r="K80" t="s">
        <v>579</v>
      </c>
      <c r="L80" t="s">
        <v>580</v>
      </c>
      <c r="M80" t="s">
        <v>553</v>
      </c>
      <c r="N80" t="s">
        <v>554</v>
      </c>
      <c r="O80" t="s">
        <v>79</v>
      </c>
      <c r="P80" t="s">
        <v>581</v>
      </c>
      <c r="Q80" t="s">
        <v>147</v>
      </c>
      <c r="R80" t="s">
        <v>148</v>
      </c>
      <c r="S80" t="s">
        <v>582</v>
      </c>
      <c r="T80">
        <v>2266.44</v>
      </c>
      <c r="U80">
        <v>4</v>
      </c>
      <c r="V80">
        <v>0</v>
      </c>
      <c r="W80">
        <v>113.28</v>
      </c>
      <c r="X80">
        <v>556.45000000000005</v>
      </c>
      <c r="Y80" t="s">
        <v>61</v>
      </c>
      <c r="Z80">
        <f>Superstore_Sales[[#This Row],[Sales]]*Superstore_Sales[[#This Row],[Quantity]]</f>
        <v>9065.76</v>
      </c>
      <c r="AA80" s="3">
        <f>Superstore_Sales[[#This Row],[TotalSales]]*Superstore_Sales[[#This Row],[Discount]]/100</f>
        <v>0</v>
      </c>
      <c r="AB80" s="2">
        <f>Superstore_Sales[[#This Row],[TotalSales]]-Superstore_Sales[[#This Row],[Dis_amt]]-Superstore_Sales[[#This Row],[Shipping Cost]]</f>
        <v>8509.31</v>
      </c>
    </row>
    <row r="81" spans="1:28" x14ac:dyDescent="0.35">
      <c r="A81">
        <v>25026</v>
      </c>
      <c r="B81" t="s">
        <v>583</v>
      </c>
      <c r="C81" s="1">
        <v>41438</v>
      </c>
      <c r="D81" s="1">
        <v>41438</v>
      </c>
      <c r="E81">
        <f>Superstore_Sales[[#This Row],[Ship Date]]-Superstore_Sales[[#This Row],[Order Date]]</f>
        <v>0</v>
      </c>
      <c r="F81" t="s">
        <v>73</v>
      </c>
      <c r="G81" t="s">
        <v>584</v>
      </c>
      <c r="H81" t="s">
        <v>585</v>
      </c>
      <c r="I81" t="s">
        <v>43</v>
      </c>
      <c r="K81" t="s">
        <v>86</v>
      </c>
      <c r="L81" t="s">
        <v>45</v>
      </c>
      <c r="M81" t="s">
        <v>46</v>
      </c>
      <c r="N81" t="s">
        <v>47</v>
      </c>
      <c r="O81" t="s">
        <v>48</v>
      </c>
      <c r="P81" t="s">
        <v>586</v>
      </c>
      <c r="Q81" t="s">
        <v>35</v>
      </c>
      <c r="R81" t="s">
        <v>81</v>
      </c>
      <c r="S81" t="s">
        <v>587</v>
      </c>
      <c r="T81">
        <v>3068.36</v>
      </c>
      <c r="U81">
        <v>9</v>
      </c>
      <c r="V81">
        <v>0.1</v>
      </c>
      <c r="W81">
        <v>1124.9000000000001</v>
      </c>
      <c r="X81">
        <v>555.77</v>
      </c>
      <c r="Y81" t="s">
        <v>38</v>
      </c>
      <c r="Z81">
        <f>Superstore_Sales[[#This Row],[Sales]]*Superstore_Sales[[#This Row],[Quantity]]</f>
        <v>27615.24</v>
      </c>
      <c r="AA81" s="3">
        <f>Superstore_Sales[[#This Row],[TotalSales]]*Superstore_Sales[[#This Row],[Discount]]/100</f>
        <v>27.615240000000004</v>
      </c>
      <c r="AB81" s="2">
        <f>Superstore_Sales[[#This Row],[TotalSales]]-Superstore_Sales[[#This Row],[Dis_amt]]-Superstore_Sales[[#This Row],[Shipping Cost]]</f>
        <v>27031.854760000002</v>
      </c>
    </row>
    <row r="82" spans="1:28" x14ac:dyDescent="0.35">
      <c r="A82">
        <v>27962</v>
      </c>
      <c r="B82" t="s">
        <v>588</v>
      </c>
      <c r="C82" s="1">
        <v>41940</v>
      </c>
      <c r="D82" s="1">
        <v>41943</v>
      </c>
      <c r="E82">
        <f>Superstore_Sales[[#This Row],[Ship Date]]-Superstore_Sales[[#This Row],[Order Date]]</f>
        <v>3</v>
      </c>
      <c r="F82" t="s">
        <v>25</v>
      </c>
      <c r="G82" t="s">
        <v>589</v>
      </c>
      <c r="H82" t="s">
        <v>590</v>
      </c>
      <c r="I82" t="s">
        <v>28</v>
      </c>
      <c r="K82" t="s">
        <v>591</v>
      </c>
      <c r="L82" t="s">
        <v>423</v>
      </c>
      <c r="M82" t="s">
        <v>424</v>
      </c>
      <c r="N82" t="s">
        <v>118</v>
      </c>
      <c r="O82" t="s">
        <v>48</v>
      </c>
      <c r="P82" t="s">
        <v>592</v>
      </c>
      <c r="Q82" t="s">
        <v>50</v>
      </c>
      <c r="R82" t="s">
        <v>336</v>
      </c>
      <c r="S82" t="s">
        <v>593</v>
      </c>
      <c r="T82">
        <v>3728.43</v>
      </c>
      <c r="U82">
        <v>9</v>
      </c>
      <c r="V82">
        <v>0</v>
      </c>
      <c r="W82">
        <v>1192.8599999999999</v>
      </c>
      <c r="X82">
        <v>553.30999999999995</v>
      </c>
      <c r="Y82" t="s">
        <v>61</v>
      </c>
      <c r="Z82">
        <f>Superstore_Sales[[#This Row],[Sales]]*Superstore_Sales[[#This Row],[Quantity]]</f>
        <v>33555.869999999995</v>
      </c>
      <c r="AA82" s="3">
        <f>Superstore_Sales[[#This Row],[TotalSales]]*Superstore_Sales[[#This Row],[Discount]]/100</f>
        <v>0</v>
      </c>
      <c r="AB82" s="2">
        <f>Superstore_Sales[[#This Row],[TotalSales]]-Superstore_Sales[[#This Row],[Dis_amt]]-Superstore_Sales[[#This Row],[Shipping Cost]]</f>
        <v>33002.559999999998</v>
      </c>
    </row>
    <row r="83" spans="1:28" x14ac:dyDescent="0.35">
      <c r="A83">
        <v>26669</v>
      </c>
      <c r="B83" t="s">
        <v>594</v>
      </c>
      <c r="C83" s="1">
        <v>41985</v>
      </c>
      <c r="D83" s="1">
        <v>41987</v>
      </c>
      <c r="E83">
        <f>Superstore_Sales[[#This Row],[Ship Date]]-Superstore_Sales[[#This Row],[Order Date]]</f>
        <v>2</v>
      </c>
      <c r="F83" t="s">
        <v>25</v>
      </c>
      <c r="G83" t="s">
        <v>595</v>
      </c>
      <c r="H83" t="s">
        <v>596</v>
      </c>
      <c r="I83" t="s">
        <v>28</v>
      </c>
      <c r="K83" t="s">
        <v>201</v>
      </c>
      <c r="L83" t="s">
        <v>202</v>
      </c>
      <c r="M83" t="s">
        <v>144</v>
      </c>
      <c r="N83" t="s">
        <v>145</v>
      </c>
      <c r="O83" t="s">
        <v>48</v>
      </c>
      <c r="P83" t="s">
        <v>392</v>
      </c>
      <c r="Q83" t="s">
        <v>35</v>
      </c>
      <c r="R83" t="s">
        <v>81</v>
      </c>
      <c r="S83" t="s">
        <v>393</v>
      </c>
      <c r="T83">
        <v>1581.48</v>
      </c>
      <c r="U83">
        <v>6</v>
      </c>
      <c r="V83">
        <v>0</v>
      </c>
      <c r="W83">
        <v>0</v>
      </c>
      <c r="X83">
        <v>550.74</v>
      </c>
      <c r="Y83" t="s">
        <v>38</v>
      </c>
      <c r="Z83">
        <f>Superstore_Sales[[#This Row],[Sales]]*Superstore_Sales[[#This Row],[Quantity]]</f>
        <v>9488.880000000001</v>
      </c>
      <c r="AA83" s="3">
        <f>Superstore_Sales[[#This Row],[TotalSales]]*Superstore_Sales[[#This Row],[Discount]]/100</f>
        <v>0</v>
      </c>
      <c r="AB83" s="2">
        <f>Superstore_Sales[[#This Row],[TotalSales]]-Superstore_Sales[[#This Row],[Dis_amt]]-Superstore_Sales[[#This Row],[Shipping Cost]]</f>
        <v>8938.1400000000012</v>
      </c>
    </row>
    <row r="84" spans="1:28" x14ac:dyDescent="0.35">
      <c r="A84">
        <v>34336</v>
      </c>
      <c r="B84" t="s">
        <v>597</v>
      </c>
      <c r="C84" s="1">
        <v>42281</v>
      </c>
      <c r="D84" s="1">
        <v>42286</v>
      </c>
      <c r="E84">
        <f>Superstore_Sales[[#This Row],[Ship Date]]-Superstore_Sales[[#This Row],[Order Date]]</f>
        <v>5</v>
      </c>
      <c r="F84" t="s">
        <v>98</v>
      </c>
      <c r="G84" t="s">
        <v>558</v>
      </c>
      <c r="H84" t="s">
        <v>453</v>
      </c>
      <c r="I84" t="s">
        <v>43</v>
      </c>
      <c r="J84">
        <v>91104</v>
      </c>
      <c r="K84" t="s">
        <v>598</v>
      </c>
      <c r="L84" t="s">
        <v>280</v>
      </c>
      <c r="M84" t="s">
        <v>31</v>
      </c>
      <c r="N84" t="s">
        <v>110</v>
      </c>
      <c r="O84" t="s">
        <v>33</v>
      </c>
      <c r="P84" t="s">
        <v>599</v>
      </c>
      <c r="Q84" t="s">
        <v>50</v>
      </c>
      <c r="R84" t="s">
        <v>104</v>
      </c>
      <c r="S84" t="s">
        <v>600</v>
      </c>
      <c r="T84">
        <v>171.29</v>
      </c>
      <c r="U84">
        <v>3</v>
      </c>
      <c r="V84">
        <v>0.2</v>
      </c>
      <c r="W84">
        <v>-6.42</v>
      </c>
      <c r="X84">
        <v>12.65</v>
      </c>
      <c r="Y84" t="s">
        <v>61</v>
      </c>
      <c r="Z84">
        <f>Superstore_Sales[[#This Row],[Sales]]*Superstore_Sales[[#This Row],[Quantity]]</f>
        <v>513.87</v>
      </c>
      <c r="AA84" s="3">
        <f>Superstore_Sales[[#This Row],[TotalSales]]*Superstore_Sales[[#This Row],[Discount]]/100</f>
        <v>1.0277400000000001</v>
      </c>
      <c r="AB84" s="2">
        <f>Superstore_Sales[[#This Row],[TotalSales]]-Superstore_Sales[[#This Row],[Dis_amt]]-Superstore_Sales[[#This Row],[Shipping Cost]]</f>
        <v>500.19226000000003</v>
      </c>
    </row>
    <row r="85" spans="1:28" x14ac:dyDescent="0.35">
      <c r="A85">
        <v>19195</v>
      </c>
      <c r="B85" t="s">
        <v>601</v>
      </c>
      <c r="C85" s="1">
        <v>41975</v>
      </c>
      <c r="D85" s="1">
        <v>41975</v>
      </c>
      <c r="E85">
        <f>Superstore_Sales[[#This Row],[Ship Date]]-Superstore_Sales[[#This Row],[Order Date]]</f>
        <v>0</v>
      </c>
      <c r="F85" t="s">
        <v>73</v>
      </c>
      <c r="G85" t="s">
        <v>602</v>
      </c>
      <c r="H85" t="s">
        <v>603</v>
      </c>
      <c r="I85" t="s">
        <v>65</v>
      </c>
      <c r="K85" t="s">
        <v>153</v>
      </c>
      <c r="L85" t="s">
        <v>154</v>
      </c>
      <c r="M85" t="s">
        <v>155</v>
      </c>
      <c r="N85" t="s">
        <v>68</v>
      </c>
      <c r="O85" t="s">
        <v>69</v>
      </c>
      <c r="P85" t="s">
        <v>604</v>
      </c>
      <c r="Q85" t="s">
        <v>147</v>
      </c>
      <c r="R85" t="s">
        <v>148</v>
      </c>
      <c r="S85" t="s">
        <v>605</v>
      </c>
      <c r="T85">
        <v>2432.16</v>
      </c>
      <c r="U85">
        <v>5</v>
      </c>
      <c r="V85">
        <v>0.1</v>
      </c>
      <c r="W85">
        <v>513.36</v>
      </c>
      <c r="X85">
        <v>546.9</v>
      </c>
      <c r="Y85" t="s">
        <v>53</v>
      </c>
      <c r="Z85">
        <f>Superstore_Sales[[#This Row],[Sales]]*Superstore_Sales[[#This Row],[Quantity]]</f>
        <v>12160.8</v>
      </c>
      <c r="AA85" s="3">
        <f>Superstore_Sales[[#This Row],[TotalSales]]*Superstore_Sales[[#This Row],[Discount]]/100</f>
        <v>12.1608</v>
      </c>
      <c r="AB85" s="2">
        <f>Superstore_Sales[[#This Row],[TotalSales]]-Superstore_Sales[[#This Row],[Dis_amt]]-Superstore_Sales[[#This Row],[Shipping Cost]]</f>
        <v>11601.7392</v>
      </c>
    </row>
    <row r="86" spans="1:28" x14ac:dyDescent="0.35">
      <c r="A86">
        <v>26731</v>
      </c>
      <c r="B86" t="s">
        <v>606</v>
      </c>
      <c r="C86" s="1">
        <v>41667</v>
      </c>
      <c r="D86" s="1">
        <v>41669</v>
      </c>
      <c r="E86">
        <f>Superstore_Sales[[#This Row],[Ship Date]]-Superstore_Sales[[#This Row],[Order Date]]</f>
        <v>2</v>
      </c>
      <c r="F86" t="s">
        <v>25</v>
      </c>
      <c r="G86" t="s">
        <v>607</v>
      </c>
      <c r="H86" t="s">
        <v>608</v>
      </c>
      <c r="I86" t="s">
        <v>43</v>
      </c>
      <c r="K86" t="s">
        <v>609</v>
      </c>
      <c r="L86" t="s">
        <v>610</v>
      </c>
      <c r="M86" t="s">
        <v>611</v>
      </c>
      <c r="N86" t="s">
        <v>322</v>
      </c>
      <c r="O86" t="s">
        <v>48</v>
      </c>
      <c r="P86" t="s">
        <v>259</v>
      </c>
      <c r="Q86" t="s">
        <v>50</v>
      </c>
      <c r="R86" t="s">
        <v>51</v>
      </c>
      <c r="S86" t="s">
        <v>260</v>
      </c>
      <c r="T86">
        <v>2465.8200000000002</v>
      </c>
      <c r="U86">
        <v>7</v>
      </c>
      <c r="V86">
        <v>0.25</v>
      </c>
      <c r="W86">
        <v>197.19</v>
      </c>
      <c r="X86">
        <v>546.49</v>
      </c>
      <c r="Y86" t="s">
        <v>38</v>
      </c>
      <c r="Z86">
        <f>Superstore_Sales[[#This Row],[Sales]]*Superstore_Sales[[#This Row],[Quantity]]</f>
        <v>17260.740000000002</v>
      </c>
      <c r="AA86" s="3">
        <f>Superstore_Sales[[#This Row],[TotalSales]]*Superstore_Sales[[#This Row],[Discount]]/100</f>
        <v>43.151850000000003</v>
      </c>
      <c r="AB86" s="2">
        <f>Superstore_Sales[[#This Row],[TotalSales]]-Superstore_Sales[[#This Row],[Dis_amt]]-Superstore_Sales[[#This Row],[Shipping Cost]]</f>
        <v>16671.098150000002</v>
      </c>
    </row>
    <row r="87" spans="1:28" x14ac:dyDescent="0.35">
      <c r="A87">
        <v>31278</v>
      </c>
      <c r="B87" t="s">
        <v>612</v>
      </c>
      <c r="C87" s="1">
        <v>41401</v>
      </c>
      <c r="D87" s="1">
        <v>41401</v>
      </c>
      <c r="E87">
        <f>Superstore_Sales[[#This Row],[Ship Date]]-Superstore_Sales[[#This Row],[Order Date]]</f>
        <v>0</v>
      </c>
      <c r="F87" t="s">
        <v>73</v>
      </c>
      <c r="G87" t="s">
        <v>613</v>
      </c>
      <c r="H87" t="s">
        <v>614</v>
      </c>
      <c r="I87" t="s">
        <v>43</v>
      </c>
      <c r="K87" t="s">
        <v>615</v>
      </c>
      <c r="L87" t="s">
        <v>45</v>
      </c>
      <c r="M87" t="s">
        <v>46</v>
      </c>
      <c r="N87" t="s">
        <v>47</v>
      </c>
      <c r="O87" t="s">
        <v>48</v>
      </c>
      <c r="P87" t="s">
        <v>504</v>
      </c>
      <c r="Q87" t="s">
        <v>50</v>
      </c>
      <c r="R87" t="s">
        <v>104</v>
      </c>
      <c r="S87" t="s">
        <v>505</v>
      </c>
      <c r="T87">
        <v>1847.52</v>
      </c>
      <c r="U87">
        <v>2</v>
      </c>
      <c r="V87">
        <v>0</v>
      </c>
      <c r="W87">
        <v>738.96</v>
      </c>
      <c r="X87">
        <v>545.89</v>
      </c>
      <c r="Y87" t="s">
        <v>38</v>
      </c>
      <c r="Z87">
        <f>Superstore_Sales[[#This Row],[Sales]]*Superstore_Sales[[#This Row],[Quantity]]</f>
        <v>3695.04</v>
      </c>
      <c r="AA87" s="3">
        <f>Superstore_Sales[[#This Row],[TotalSales]]*Superstore_Sales[[#This Row],[Discount]]/100</f>
        <v>0</v>
      </c>
      <c r="AB87" s="2">
        <f>Superstore_Sales[[#This Row],[TotalSales]]-Superstore_Sales[[#This Row],[Dis_amt]]-Superstore_Sales[[#This Row],[Shipping Cost]]</f>
        <v>3149.15</v>
      </c>
    </row>
    <row r="88" spans="1:28" x14ac:dyDescent="0.35">
      <c r="A88">
        <v>12035</v>
      </c>
      <c r="B88" t="s">
        <v>616</v>
      </c>
      <c r="C88" s="1">
        <v>41970</v>
      </c>
      <c r="D88" s="1">
        <v>41972</v>
      </c>
      <c r="E88">
        <f>Superstore_Sales[[#This Row],[Ship Date]]-Superstore_Sales[[#This Row],[Order Date]]</f>
        <v>2</v>
      </c>
      <c r="F88" t="s">
        <v>25</v>
      </c>
      <c r="G88" t="s">
        <v>617</v>
      </c>
      <c r="H88" t="s">
        <v>618</v>
      </c>
      <c r="I88" t="s">
        <v>28</v>
      </c>
      <c r="K88" t="s">
        <v>619</v>
      </c>
      <c r="L88" t="s">
        <v>620</v>
      </c>
      <c r="M88" t="s">
        <v>621</v>
      </c>
      <c r="N88" t="s">
        <v>68</v>
      </c>
      <c r="O88" t="s">
        <v>69</v>
      </c>
      <c r="P88" t="s">
        <v>592</v>
      </c>
      <c r="Q88" t="s">
        <v>50</v>
      </c>
      <c r="R88" t="s">
        <v>336</v>
      </c>
      <c r="S88" t="s">
        <v>593</v>
      </c>
      <c r="T88">
        <v>2899.89</v>
      </c>
      <c r="U88">
        <v>7</v>
      </c>
      <c r="V88">
        <v>0</v>
      </c>
      <c r="W88">
        <v>927.78</v>
      </c>
      <c r="X88">
        <v>541.59</v>
      </c>
      <c r="Y88" t="s">
        <v>38</v>
      </c>
      <c r="Z88">
        <f>Superstore_Sales[[#This Row],[Sales]]*Superstore_Sales[[#This Row],[Quantity]]</f>
        <v>20299.23</v>
      </c>
      <c r="AA88" s="3">
        <f>Superstore_Sales[[#This Row],[TotalSales]]*Superstore_Sales[[#This Row],[Discount]]/100</f>
        <v>0</v>
      </c>
      <c r="AB88" s="2">
        <f>Superstore_Sales[[#This Row],[TotalSales]]-Superstore_Sales[[#This Row],[Dis_amt]]-Superstore_Sales[[#This Row],[Shipping Cost]]</f>
        <v>19757.64</v>
      </c>
    </row>
    <row r="89" spans="1:28" x14ac:dyDescent="0.35">
      <c r="A89">
        <v>29149</v>
      </c>
      <c r="B89" t="s">
        <v>622</v>
      </c>
      <c r="C89" s="1">
        <v>41606</v>
      </c>
      <c r="D89" s="1">
        <v>41610</v>
      </c>
      <c r="E89">
        <f>Superstore_Sales[[#This Row],[Ship Date]]-Superstore_Sales[[#This Row],[Order Date]]</f>
        <v>4</v>
      </c>
      <c r="F89" t="s">
        <v>40</v>
      </c>
      <c r="G89" t="s">
        <v>623</v>
      </c>
      <c r="H89" t="s">
        <v>603</v>
      </c>
      <c r="I89" t="s">
        <v>65</v>
      </c>
      <c r="K89" t="s">
        <v>624</v>
      </c>
      <c r="L89" t="s">
        <v>45</v>
      </c>
      <c r="M89" t="s">
        <v>46</v>
      </c>
      <c r="N89" t="s">
        <v>47</v>
      </c>
      <c r="O89" t="s">
        <v>48</v>
      </c>
      <c r="P89" t="s">
        <v>203</v>
      </c>
      <c r="Q89" t="s">
        <v>50</v>
      </c>
      <c r="R89" t="s">
        <v>51</v>
      </c>
      <c r="S89" t="s">
        <v>204</v>
      </c>
      <c r="T89">
        <v>2891.7</v>
      </c>
      <c r="U89">
        <v>7</v>
      </c>
      <c r="V89">
        <v>0.1</v>
      </c>
      <c r="W89">
        <v>96.39</v>
      </c>
      <c r="X89">
        <v>541.57000000000005</v>
      </c>
      <c r="Y89" t="s">
        <v>61</v>
      </c>
      <c r="Z89">
        <f>Superstore_Sales[[#This Row],[Sales]]*Superstore_Sales[[#This Row],[Quantity]]</f>
        <v>20241.899999999998</v>
      </c>
      <c r="AA89" s="3">
        <f>Superstore_Sales[[#This Row],[TotalSales]]*Superstore_Sales[[#This Row],[Discount]]/100</f>
        <v>20.241899999999998</v>
      </c>
      <c r="AB89" s="2">
        <f>Superstore_Sales[[#This Row],[TotalSales]]-Superstore_Sales[[#This Row],[Dis_amt]]-Superstore_Sales[[#This Row],[Shipping Cost]]</f>
        <v>19680.088099999997</v>
      </c>
    </row>
    <row r="90" spans="1:28" x14ac:dyDescent="0.35">
      <c r="A90">
        <v>15896</v>
      </c>
      <c r="B90" t="s">
        <v>625</v>
      </c>
      <c r="C90" s="1">
        <v>41546</v>
      </c>
      <c r="D90" s="1">
        <v>41546</v>
      </c>
      <c r="E90">
        <f>Superstore_Sales[[#This Row],[Ship Date]]-Superstore_Sales[[#This Row],[Order Date]]</f>
        <v>0</v>
      </c>
      <c r="F90" t="s">
        <v>73</v>
      </c>
      <c r="G90" t="s">
        <v>626</v>
      </c>
      <c r="H90" t="s">
        <v>627</v>
      </c>
      <c r="I90" t="s">
        <v>28</v>
      </c>
      <c r="K90" t="s">
        <v>628</v>
      </c>
      <c r="L90" t="s">
        <v>154</v>
      </c>
      <c r="M90" t="s">
        <v>155</v>
      </c>
      <c r="N90" t="s">
        <v>68</v>
      </c>
      <c r="O90" t="s">
        <v>69</v>
      </c>
      <c r="P90" t="s">
        <v>629</v>
      </c>
      <c r="Q90" t="s">
        <v>35</v>
      </c>
      <c r="R90" t="s">
        <v>275</v>
      </c>
      <c r="S90" t="s">
        <v>630</v>
      </c>
      <c r="T90">
        <v>2016.85</v>
      </c>
      <c r="U90">
        <v>9</v>
      </c>
      <c r="V90">
        <v>0.15</v>
      </c>
      <c r="W90">
        <v>-0.05</v>
      </c>
      <c r="X90">
        <v>540.77</v>
      </c>
      <c r="Y90" t="s">
        <v>53</v>
      </c>
      <c r="Z90">
        <f>Superstore_Sales[[#This Row],[Sales]]*Superstore_Sales[[#This Row],[Quantity]]</f>
        <v>18151.649999999998</v>
      </c>
      <c r="AA90" s="3">
        <f>Superstore_Sales[[#This Row],[TotalSales]]*Superstore_Sales[[#This Row],[Discount]]/100</f>
        <v>27.227474999999995</v>
      </c>
      <c r="AB90" s="2">
        <f>Superstore_Sales[[#This Row],[TotalSales]]-Superstore_Sales[[#This Row],[Dis_amt]]-Superstore_Sales[[#This Row],[Shipping Cost]]</f>
        <v>17583.652524999998</v>
      </c>
    </row>
    <row r="91" spans="1:28" x14ac:dyDescent="0.35">
      <c r="A91">
        <v>18307</v>
      </c>
      <c r="B91" t="s">
        <v>631</v>
      </c>
      <c r="C91" s="1">
        <v>41885</v>
      </c>
      <c r="D91" s="1">
        <v>41887</v>
      </c>
      <c r="E91">
        <f>Superstore_Sales[[#This Row],[Ship Date]]-Superstore_Sales[[#This Row],[Order Date]]</f>
        <v>2</v>
      </c>
      <c r="F91" t="s">
        <v>40</v>
      </c>
      <c r="G91" t="s">
        <v>632</v>
      </c>
      <c r="H91" t="s">
        <v>633</v>
      </c>
      <c r="I91" t="s">
        <v>65</v>
      </c>
      <c r="K91" t="s">
        <v>634</v>
      </c>
      <c r="L91" t="s">
        <v>154</v>
      </c>
      <c r="M91" t="s">
        <v>155</v>
      </c>
      <c r="N91" t="s">
        <v>68</v>
      </c>
      <c r="O91" t="s">
        <v>69</v>
      </c>
      <c r="P91" t="s">
        <v>635</v>
      </c>
      <c r="Q91" t="s">
        <v>147</v>
      </c>
      <c r="R91" t="s">
        <v>148</v>
      </c>
      <c r="S91" t="s">
        <v>636</v>
      </c>
      <c r="T91">
        <v>3155.54</v>
      </c>
      <c r="U91">
        <v>7</v>
      </c>
      <c r="V91">
        <v>0.1</v>
      </c>
      <c r="W91">
        <v>34.94</v>
      </c>
      <c r="X91">
        <v>539.94000000000005</v>
      </c>
      <c r="Y91" t="s">
        <v>38</v>
      </c>
      <c r="Z91">
        <f>Superstore_Sales[[#This Row],[Sales]]*Superstore_Sales[[#This Row],[Quantity]]</f>
        <v>22088.78</v>
      </c>
      <c r="AA91" s="3">
        <f>Superstore_Sales[[#This Row],[TotalSales]]*Superstore_Sales[[#This Row],[Discount]]/100</f>
        <v>22.08878</v>
      </c>
      <c r="AB91" s="2">
        <f>Superstore_Sales[[#This Row],[TotalSales]]-Superstore_Sales[[#This Row],[Dis_amt]]-Superstore_Sales[[#This Row],[Shipping Cost]]</f>
        <v>21526.751220000002</v>
      </c>
    </row>
    <row r="92" spans="1:28" x14ac:dyDescent="0.35">
      <c r="A92">
        <v>46257</v>
      </c>
      <c r="B92" t="s">
        <v>637</v>
      </c>
      <c r="C92" s="1">
        <v>41846</v>
      </c>
      <c r="D92" s="1">
        <v>41852</v>
      </c>
      <c r="E92">
        <f>Superstore_Sales[[#This Row],[Ship Date]]-Superstore_Sales[[#This Row],[Order Date]]</f>
        <v>6</v>
      </c>
      <c r="F92" t="s">
        <v>98</v>
      </c>
      <c r="G92" t="s">
        <v>638</v>
      </c>
      <c r="H92" t="s">
        <v>639</v>
      </c>
      <c r="I92" t="s">
        <v>28</v>
      </c>
      <c r="K92" t="s">
        <v>640</v>
      </c>
      <c r="L92" t="s">
        <v>640</v>
      </c>
      <c r="M92" t="s">
        <v>293</v>
      </c>
      <c r="N92" t="s">
        <v>294</v>
      </c>
      <c r="O92" t="s">
        <v>79</v>
      </c>
      <c r="P92" t="s">
        <v>221</v>
      </c>
      <c r="Q92" t="s">
        <v>35</v>
      </c>
      <c r="R92" t="s">
        <v>36</v>
      </c>
      <c r="S92" t="s">
        <v>222</v>
      </c>
      <c r="T92">
        <v>3856.14</v>
      </c>
      <c r="U92">
        <v>6</v>
      </c>
      <c r="V92">
        <v>0</v>
      </c>
      <c r="W92">
        <v>1465.2</v>
      </c>
      <c r="X92">
        <v>533.99</v>
      </c>
      <c r="Y92" t="s">
        <v>164</v>
      </c>
      <c r="Z92">
        <f>Superstore_Sales[[#This Row],[Sales]]*Superstore_Sales[[#This Row],[Quantity]]</f>
        <v>23136.84</v>
      </c>
      <c r="AA92" s="3">
        <f>Superstore_Sales[[#This Row],[TotalSales]]*Superstore_Sales[[#This Row],[Discount]]/100</f>
        <v>0</v>
      </c>
      <c r="AB92" s="2">
        <f>Superstore_Sales[[#This Row],[TotalSales]]-Superstore_Sales[[#This Row],[Dis_amt]]-Superstore_Sales[[#This Row],[Shipping Cost]]</f>
        <v>22602.85</v>
      </c>
    </row>
    <row r="93" spans="1:28" x14ac:dyDescent="0.35">
      <c r="A93">
        <v>21142</v>
      </c>
      <c r="B93" t="s">
        <v>641</v>
      </c>
      <c r="C93" s="1">
        <v>42327</v>
      </c>
      <c r="D93" s="1">
        <v>42333</v>
      </c>
      <c r="E93">
        <f>Superstore_Sales[[#This Row],[Ship Date]]-Superstore_Sales[[#This Row],[Order Date]]</f>
        <v>6</v>
      </c>
      <c r="F93" t="s">
        <v>98</v>
      </c>
      <c r="G93" t="s">
        <v>642</v>
      </c>
      <c r="H93" t="s">
        <v>643</v>
      </c>
      <c r="I93" t="s">
        <v>43</v>
      </c>
      <c r="K93" t="s">
        <v>644</v>
      </c>
      <c r="L93" t="s">
        <v>417</v>
      </c>
      <c r="M93" t="s">
        <v>46</v>
      </c>
      <c r="N93" t="s">
        <v>47</v>
      </c>
      <c r="O93" t="s">
        <v>48</v>
      </c>
      <c r="P93" t="s">
        <v>645</v>
      </c>
      <c r="Q93" t="s">
        <v>35</v>
      </c>
      <c r="R93" t="s">
        <v>36</v>
      </c>
      <c r="S93" t="s">
        <v>646</v>
      </c>
      <c r="T93">
        <v>3524.47</v>
      </c>
      <c r="U93">
        <v>6</v>
      </c>
      <c r="V93">
        <v>0.1</v>
      </c>
      <c r="W93">
        <v>861.37</v>
      </c>
      <c r="X93">
        <v>531.28</v>
      </c>
      <c r="Y93" t="s">
        <v>164</v>
      </c>
      <c r="Z93">
        <f>Superstore_Sales[[#This Row],[Sales]]*Superstore_Sales[[#This Row],[Quantity]]</f>
        <v>21146.82</v>
      </c>
      <c r="AA93" s="3">
        <f>Superstore_Sales[[#This Row],[TotalSales]]*Superstore_Sales[[#This Row],[Discount]]/100</f>
        <v>21.146820000000002</v>
      </c>
      <c r="AB93" s="2">
        <f>Superstore_Sales[[#This Row],[TotalSales]]-Superstore_Sales[[#This Row],[Dis_amt]]-Superstore_Sales[[#This Row],[Shipping Cost]]</f>
        <v>20594.393179999999</v>
      </c>
    </row>
    <row r="94" spans="1:28" x14ac:dyDescent="0.35">
      <c r="A94">
        <v>10308</v>
      </c>
      <c r="B94" t="s">
        <v>647</v>
      </c>
      <c r="C94" s="1">
        <v>41444</v>
      </c>
      <c r="D94" s="1">
        <v>41444</v>
      </c>
      <c r="E94">
        <f>Superstore_Sales[[#This Row],[Ship Date]]-Superstore_Sales[[#This Row],[Order Date]]</f>
        <v>0</v>
      </c>
      <c r="F94" t="s">
        <v>73</v>
      </c>
      <c r="G94" t="s">
        <v>648</v>
      </c>
      <c r="H94" t="s">
        <v>649</v>
      </c>
      <c r="I94" t="s">
        <v>28</v>
      </c>
      <c r="K94" t="s">
        <v>650</v>
      </c>
      <c r="L94" t="s">
        <v>651</v>
      </c>
      <c r="M94" t="s">
        <v>155</v>
      </c>
      <c r="N94" t="s">
        <v>68</v>
      </c>
      <c r="O94" t="s">
        <v>69</v>
      </c>
      <c r="P94" t="s">
        <v>652</v>
      </c>
      <c r="Q94" t="s">
        <v>35</v>
      </c>
      <c r="R94" t="s">
        <v>36</v>
      </c>
      <c r="S94" t="s">
        <v>653</v>
      </c>
      <c r="T94">
        <v>2167.3000000000002</v>
      </c>
      <c r="U94">
        <v>4</v>
      </c>
      <c r="V94">
        <v>0.15</v>
      </c>
      <c r="W94">
        <v>790.42</v>
      </c>
      <c r="X94">
        <v>531.09</v>
      </c>
      <c r="Y94" t="s">
        <v>38</v>
      </c>
      <c r="Z94">
        <f>Superstore_Sales[[#This Row],[Sales]]*Superstore_Sales[[#This Row],[Quantity]]</f>
        <v>8669.2000000000007</v>
      </c>
      <c r="AA94" s="3">
        <f>Superstore_Sales[[#This Row],[TotalSales]]*Superstore_Sales[[#This Row],[Discount]]/100</f>
        <v>13.003800000000002</v>
      </c>
      <c r="AB94" s="2">
        <f>Superstore_Sales[[#This Row],[TotalSales]]-Superstore_Sales[[#This Row],[Dis_amt]]-Superstore_Sales[[#This Row],[Shipping Cost]]</f>
        <v>8125.1062000000002</v>
      </c>
    </row>
    <row r="95" spans="1:28" x14ac:dyDescent="0.35">
      <c r="A95">
        <v>6776</v>
      </c>
      <c r="B95" t="s">
        <v>654</v>
      </c>
      <c r="C95" s="1">
        <v>41558</v>
      </c>
      <c r="D95" s="1">
        <v>41561</v>
      </c>
      <c r="E95">
        <f>Superstore_Sales[[#This Row],[Ship Date]]-Superstore_Sales[[#This Row],[Order Date]]</f>
        <v>3</v>
      </c>
      <c r="F95" t="s">
        <v>25</v>
      </c>
      <c r="G95" t="s">
        <v>655</v>
      </c>
      <c r="H95" t="s">
        <v>656</v>
      </c>
      <c r="I95" t="s">
        <v>43</v>
      </c>
      <c r="K95" t="s">
        <v>657</v>
      </c>
      <c r="L95" t="s">
        <v>657</v>
      </c>
      <c r="M95" t="s">
        <v>219</v>
      </c>
      <c r="N95" t="s">
        <v>220</v>
      </c>
      <c r="O95" t="s">
        <v>136</v>
      </c>
      <c r="P95" t="s">
        <v>438</v>
      </c>
      <c r="Q95" t="s">
        <v>35</v>
      </c>
      <c r="R95" t="s">
        <v>36</v>
      </c>
      <c r="S95" t="s">
        <v>439</v>
      </c>
      <c r="T95">
        <v>2556</v>
      </c>
      <c r="U95">
        <v>6</v>
      </c>
      <c r="V95">
        <v>0</v>
      </c>
      <c r="W95">
        <v>178.92</v>
      </c>
      <c r="X95">
        <v>530.48599999999999</v>
      </c>
      <c r="Y95" t="s">
        <v>61</v>
      </c>
      <c r="Z95">
        <f>Superstore_Sales[[#This Row],[Sales]]*Superstore_Sales[[#This Row],[Quantity]]</f>
        <v>15336</v>
      </c>
      <c r="AA95" s="3">
        <f>Superstore_Sales[[#This Row],[TotalSales]]*Superstore_Sales[[#This Row],[Discount]]/100</f>
        <v>0</v>
      </c>
      <c r="AB95" s="2">
        <f>Superstore_Sales[[#This Row],[TotalSales]]-Superstore_Sales[[#This Row],[Dis_amt]]-Superstore_Sales[[#This Row],[Shipping Cost]]</f>
        <v>14805.513999999999</v>
      </c>
    </row>
    <row r="96" spans="1:28" x14ac:dyDescent="0.35">
      <c r="A96">
        <v>16948</v>
      </c>
      <c r="B96" t="s">
        <v>658</v>
      </c>
      <c r="C96" s="1">
        <v>41129</v>
      </c>
      <c r="D96" s="1">
        <v>41131</v>
      </c>
      <c r="E96">
        <f>Superstore_Sales[[#This Row],[Ship Date]]-Superstore_Sales[[#This Row],[Order Date]]</f>
        <v>2</v>
      </c>
      <c r="F96" t="s">
        <v>25</v>
      </c>
      <c r="G96" t="s">
        <v>659</v>
      </c>
      <c r="H96" t="s">
        <v>660</v>
      </c>
      <c r="I96" t="s">
        <v>28</v>
      </c>
      <c r="K96" t="s">
        <v>661</v>
      </c>
      <c r="L96" t="s">
        <v>662</v>
      </c>
      <c r="M96" t="s">
        <v>67</v>
      </c>
      <c r="N96" t="s">
        <v>68</v>
      </c>
      <c r="O96" t="s">
        <v>69</v>
      </c>
      <c r="P96" t="s">
        <v>663</v>
      </c>
      <c r="Q96" t="s">
        <v>35</v>
      </c>
      <c r="R96" t="s">
        <v>81</v>
      </c>
      <c r="S96" t="s">
        <v>664</v>
      </c>
      <c r="T96">
        <v>1469.25</v>
      </c>
      <c r="U96">
        <v>5</v>
      </c>
      <c r="V96">
        <v>0</v>
      </c>
      <c r="W96">
        <v>308.39999999999998</v>
      </c>
      <c r="X96">
        <v>527.87</v>
      </c>
      <c r="Y96" t="s">
        <v>53</v>
      </c>
      <c r="Z96">
        <f>Superstore_Sales[[#This Row],[Sales]]*Superstore_Sales[[#This Row],[Quantity]]</f>
        <v>7346.25</v>
      </c>
      <c r="AA96" s="3">
        <f>Superstore_Sales[[#This Row],[TotalSales]]*Superstore_Sales[[#This Row],[Discount]]/100</f>
        <v>0</v>
      </c>
      <c r="AB96" s="2">
        <f>Superstore_Sales[[#This Row],[TotalSales]]-Superstore_Sales[[#This Row],[Dis_amt]]-Superstore_Sales[[#This Row],[Shipping Cost]]</f>
        <v>6818.38</v>
      </c>
    </row>
    <row r="97" spans="1:28" x14ac:dyDescent="0.35">
      <c r="A97">
        <v>11611</v>
      </c>
      <c r="B97" t="s">
        <v>665</v>
      </c>
      <c r="C97" s="1">
        <v>41217</v>
      </c>
      <c r="D97" s="1">
        <v>41221</v>
      </c>
      <c r="E97">
        <f>Superstore_Sales[[#This Row],[Ship Date]]-Superstore_Sales[[#This Row],[Order Date]]</f>
        <v>4</v>
      </c>
      <c r="F97" t="s">
        <v>40</v>
      </c>
      <c r="G97" t="s">
        <v>666</v>
      </c>
      <c r="H97" t="s">
        <v>308</v>
      </c>
      <c r="I97" t="s">
        <v>28</v>
      </c>
      <c r="K97" t="s">
        <v>667</v>
      </c>
      <c r="L97" t="s">
        <v>668</v>
      </c>
      <c r="M97" t="s">
        <v>155</v>
      </c>
      <c r="N97" t="s">
        <v>68</v>
      </c>
      <c r="O97" t="s">
        <v>69</v>
      </c>
      <c r="P97" t="s">
        <v>127</v>
      </c>
      <c r="Q97" t="s">
        <v>35</v>
      </c>
      <c r="R97" t="s">
        <v>36</v>
      </c>
      <c r="S97" t="s">
        <v>128</v>
      </c>
      <c r="T97">
        <v>4448.83</v>
      </c>
      <c r="U97">
        <v>8</v>
      </c>
      <c r="V97">
        <v>0.15</v>
      </c>
      <c r="W97">
        <v>1517.71</v>
      </c>
      <c r="X97">
        <v>527.85</v>
      </c>
      <c r="Y97" t="s">
        <v>38</v>
      </c>
      <c r="Z97">
        <f>Superstore_Sales[[#This Row],[Sales]]*Superstore_Sales[[#This Row],[Quantity]]</f>
        <v>35590.639999999999</v>
      </c>
      <c r="AA97" s="3">
        <f>Superstore_Sales[[#This Row],[TotalSales]]*Superstore_Sales[[#This Row],[Discount]]/100</f>
        <v>53.385959999999997</v>
      </c>
      <c r="AB97" s="2">
        <f>Superstore_Sales[[#This Row],[TotalSales]]-Superstore_Sales[[#This Row],[Dis_amt]]-Superstore_Sales[[#This Row],[Shipping Cost]]</f>
        <v>35009.404040000001</v>
      </c>
    </row>
    <row r="98" spans="1:28" x14ac:dyDescent="0.35">
      <c r="A98">
        <v>35876</v>
      </c>
      <c r="B98" t="s">
        <v>669</v>
      </c>
      <c r="C98" s="1">
        <v>41116</v>
      </c>
      <c r="D98" s="1">
        <v>41122</v>
      </c>
      <c r="E98">
        <f>Superstore_Sales[[#This Row],[Ship Date]]-Superstore_Sales[[#This Row],[Order Date]]</f>
        <v>6</v>
      </c>
      <c r="F98" t="s">
        <v>98</v>
      </c>
      <c r="G98" t="s">
        <v>670</v>
      </c>
      <c r="H98" t="s">
        <v>453</v>
      </c>
      <c r="I98" t="s">
        <v>43</v>
      </c>
      <c r="J98">
        <v>10035</v>
      </c>
      <c r="K98" t="s">
        <v>302</v>
      </c>
      <c r="L98" t="s">
        <v>248</v>
      </c>
      <c r="M98" t="s">
        <v>31</v>
      </c>
      <c r="N98" t="s">
        <v>249</v>
      </c>
      <c r="O98" t="s">
        <v>33</v>
      </c>
      <c r="P98" t="s">
        <v>671</v>
      </c>
      <c r="Q98" t="s">
        <v>147</v>
      </c>
      <c r="R98" t="s">
        <v>672</v>
      </c>
      <c r="S98" t="s">
        <v>673</v>
      </c>
      <c r="T98">
        <v>65.78</v>
      </c>
      <c r="U98">
        <v>11</v>
      </c>
      <c r="V98">
        <v>0</v>
      </c>
      <c r="W98">
        <v>32.229999999999997</v>
      </c>
      <c r="X98">
        <v>4.3600000000000003</v>
      </c>
      <c r="Y98" t="s">
        <v>61</v>
      </c>
      <c r="Z98">
        <f>Superstore_Sales[[#This Row],[Sales]]*Superstore_Sales[[#This Row],[Quantity]]</f>
        <v>723.58</v>
      </c>
      <c r="AA98" s="3">
        <f>Superstore_Sales[[#This Row],[TotalSales]]*Superstore_Sales[[#This Row],[Discount]]/100</f>
        <v>0</v>
      </c>
      <c r="AB98" s="2">
        <f>Superstore_Sales[[#This Row],[TotalSales]]-Superstore_Sales[[#This Row],[Dis_amt]]-Superstore_Sales[[#This Row],[Shipping Cost]]</f>
        <v>719.22</v>
      </c>
    </row>
    <row r="99" spans="1:28" x14ac:dyDescent="0.35">
      <c r="A99">
        <v>1873</v>
      </c>
      <c r="B99" t="s">
        <v>674</v>
      </c>
      <c r="C99" s="1">
        <v>41755</v>
      </c>
      <c r="D99" s="1">
        <v>41757</v>
      </c>
      <c r="E99">
        <f>Superstore_Sales[[#This Row],[Ship Date]]-Superstore_Sales[[#This Row],[Order Date]]</f>
        <v>2</v>
      </c>
      <c r="F99" t="s">
        <v>25</v>
      </c>
      <c r="G99" t="s">
        <v>675</v>
      </c>
      <c r="H99" t="s">
        <v>676</v>
      </c>
      <c r="I99" t="s">
        <v>65</v>
      </c>
      <c r="K99" t="s">
        <v>677</v>
      </c>
      <c r="L99" t="s">
        <v>678</v>
      </c>
      <c r="M99" t="s">
        <v>679</v>
      </c>
      <c r="N99" t="s">
        <v>135</v>
      </c>
      <c r="O99" t="s">
        <v>136</v>
      </c>
      <c r="P99" t="s">
        <v>680</v>
      </c>
      <c r="Q99" t="s">
        <v>50</v>
      </c>
      <c r="R99" t="s">
        <v>336</v>
      </c>
      <c r="S99" t="s">
        <v>681</v>
      </c>
      <c r="T99">
        <v>2472.66</v>
      </c>
      <c r="U99">
        <v>9</v>
      </c>
      <c r="V99">
        <v>0</v>
      </c>
      <c r="W99">
        <v>914.76</v>
      </c>
      <c r="X99">
        <v>523.46600000000001</v>
      </c>
      <c r="Y99" t="s">
        <v>38</v>
      </c>
      <c r="Z99">
        <f>Superstore_Sales[[#This Row],[Sales]]*Superstore_Sales[[#This Row],[Quantity]]</f>
        <v>22253.94</v>
      </c>
      <c r="AA99" s="3">
        <f>Superstore_Sales[[#This Row],[TotalSales]]*Superstore_Sales[[#This Row],[Discount]]/100</f>
        <v>0</v>
      </c>
      <c r="AB99" s="2">
        <f>Superstore_Sales[[#This Row],[TotalSales]]-Superstore_Sales[[#This Row],[Dis_amt]]-Superstore_Sales[[#This Row],[Shipping Cost]]</f>
        <v>21730.473999999998</v>
      </c>
    </row>
    <row r="100" spans="1:28" x14ac:dyDescent="0.35">
      <c r="A100">
        <v>29120</v>
      </c>
      <c r="B100" t="s">
        <v>682</v>
      </c>
      <c r="C100" s="1">
        <v>41999</v>
      </c>
      <c r="D100" s="1">
        <v>41999</v>
      </c>
      <c r="E100">
        <f>Superstore_Sales[[#This Row],[Ship Date]]-Superstore_Sales[[#This Row],[Order Date]]</f>
        <v>0</v>
      </c>
      <c r="F100" t="s">
        <v>73</v>
      </c>
      <c r="G100" t="s">
        <v>683</v>
      </c>
      <c r="H100" t="s">
        <v>684</v>
      </c>
      <c r="I100" t="s">
        <v>28</v>
      </c>
      <c r="K100" t="s">
        <v>286</v>
      </c>
      <c r="L100" t="s">
        <v>58</v>
      </c>
      <c r="M100" t="s">
        <v>46</v>
      </c>
      <c r="N100" t="s">
        <v>47</v>
      </c>
      <c r="O100" t="s">
        <v>48</v>
      </c>
      <c r="P100" t="s">
        <v>156</v>
      </c>
      <c r="Q100" t="s">
        <v>147</v>
      </c>
      <c r="R100" t="s">
        <v>148</v>
      </c>
      <c r="S100" t="s">
        <v>157</v>
      </c>
      <c r="T100">
        <v>3739.18</v>
      </c>
      <c r="U100">
        <v>8</v>
      </c>
      <c r="V100">
        <v>0.1</v>
      </c>
      <c r="W100">
        <v>747.82</v>
      </c>
      <c r="X100">
        <v>522.79</v>
      </c>
      <c r="Y100" t="s">
        <v>38</v>
      </c>
      <c r="Z100">
        <f>Superstore_Sales[[#This Row],[Sales]]*Superstore_Sales[[#This Row],[Quantity]]</f>
        <v>29913.439999999999</v>
      </c>
      <c r="AA100" s="3">
        <f>Superstore_Sales[[#This Row],[TotalSales]]*Superstore_Sales[[#This Row],[Discount]]/100</f>
        <v>29.913440000000001</v>
      </c>
      <c r="AB100" s="2">
        <f>Superstore_Sales[[#This Row],[TotalSales]]-Superstore_Sales[[#This Row],[Dis_amt]]-Superstore_Sales[[#This Row],[Shipping Cost]]</f>
        <v>29360.736559999998</v>
      </c>
    </row>
    <row r="101" spans="1:28" x14ac:dyDescent="0.35">
      <c r="A101">
        <v>11743</v>
      </c>
      <c r="B101" t="s">
        <v>685</v>
      </c>
      <c r="C101" s="1">
        <v>41711</v>
      </c>
      <c r="D101" s="1">
        <v>41711</v>
      </c>
      <c r="E101">
        <f>Superstore_Sales[[#This Row],[Ship Date]]-Superstore_Sales[[#This Row],[Order Date]]</f>
        <v>0</v>
      </c>
      <c r="F101" t="s">
        <v>73</v>
      </c>
      <c r="G101" t="s">
        <v>686</v>
      </c>
      <c r="H101" t="s">
        <v>687</v>
      </c>
      <c r="I101" t="s">
        <v>65</v>
      </c>
      <c r="K101" t="s">
        <v>688</v>
      </c>
      <c r="L101" t="s">
        <v>689</v>
      </c>
      <c r="M101" t="s">
        <v>690</v>
      </c>
      <c r="N101" t="s">
        <v>68</v>
      </c>
      <c r="O101" t="s">
        <v>69</v>
      </c>
      <c r="P101" t="s">
        <v>691</v>
      </c>
      <c r="Q101" t="s">
        <v>50</v>
      </c>
      <c r="R101" t="s">
        <v>51</v>
      </c>
      <c r="S101" t="s">
        <v>692</v>
      </c>
      <c r="T101">
        <v>2570.87</v>
      </c>
      <c r="U101">
        <v>11</v>
      </c>
      <c r="V101">
        <v>0.5</v>
      </c>
      <c r="W101">
        <v>-2211.17</v>
      </c>
      <c r="X101">
        <v>520.89</v>
      </c>
      <c r="Y101" t="s">
        <v>38</v>
      </c>
      <c r="Z101">
        <f>Superstore_Sales[[#This Row],[Sales]]*Superstore_Sales[[#This Row],[Quantity]]</f>
        <v>28279.57</v>
      </c>
      <c r="AA101" s="3">
        <f>Superstore_Sales[[#This Row],[TotalSales]]*Superstore_Sales[[#This Row],[Discount]]/100</f>
        <v>141.39785000000001</v>
      </c>
      <c r="AB101" s="2">
        <f>Superstore_Sales[[#This Row],[TotalSales]]-Superstore_Sales[[#This Row],[Dis_amt]]-Superstore_Sales[[#This Row],[Shipping Cost]]</f>
        <v>27617.282149999999</v>
      </c>
    </row>
    <row r="102" spans="1:28" x14ac:dyDescent="0.35">
      <c r="A102">
        <v>32648</v>
      </c>
      <c r="B102" t="s">
        <v>693</v>
      </c>
      <c r="C102" s="1">
        <v>41727</v>
      </c>
      <c r="D102" s="1">
        <v>41730</v>
      </c>
      <c r="E102">
        <f>Superstore_Sales[[#This Row],[Ship Date]]-Superstore_Sales[[#This Row],[Order Date]]</f>
        <v>3</v>
      </c>
      <c r="F102" t="s">
        <v>25</v>
      </c>
      <c r="G102" t="s">
        <v>452</v>
      </c>
      <c r="H102" t="s">
        <v>453</v>
      </c>
      <c r="I102" t="s">
        <v>43</v>
      </c>
      <c r="J102">
        <v>22204</v>
      </c>
      <c r="K102" t="s">
        <v>159</v>
      </c>
      <c r="L102" t="s">
        <v>694</v>
      </c>
      <c r="M102" t="s">
        <v>31</v>
      </c>
      <c r="N102" t="s">
        <v>351</v>
      </c>
      <c r="O102" t="s">
        <v>33</v>
      </c>
      <c r="P102" t="s">
        <v>695</v>
      </c>
      <c r="Q102" t="s">
        <v>147</v>
      </c>
      <c r="R102" t="s">
        <v>162</v>
      </c>
      <c r="S102" t="s">
        <v>696</v>
      </c>
      <c r="T102">
        <v>31.4</v>
      </c>
      <c r="U102">
        <v>2</v>
      </c>
      <c r="V102">
        <v>0</v>
      </c>
      <c r="W102">
        <v>7.85</v>
      </c>
      <c r="X102">
        <v>3.81</v>
      </c>
      <c r="Y102" t="s">
        <v>61</v>
      </c>
      <c r="Z102">
        <f>Superstore_Sales[[#This Row],[Sales]]*Superstore_Sales[[#This Row],[Quantity]]</f>
        <v>62.8</v>
      </c>
      <c r="AA102" s="3">
        <f>Superstore_Sales[[#This Row],[TotalSales]]*Superstore_Sales[[#This Row],[Discount]]/100</f>
        <v>0</v>
      </c>
      <c r="AB102" s="2">
        <f>Superstore_Sales[[#This Row],[TotalSales]]-Superstore_Sales[[#This Row],[Dis_amt]]-Superstore_Sales[[#This Row],[Shipping Cost]]</f>
        <v>58.989999999999995</v>
      </c>
    </row>
    <row r="103" spans="1:28" x14ac:dyDescent="0.35">
      <c r="A103">
        <v>17522</v>
      </c>
      <c r="B103" t="s">
        <v>697</v>
      </c>
      <c r="C103" s="1">
        <v>41369</v>
      </c>
      <c r="D103" s="1">
        <v>41369</v>
      </c>
      <c r="E103">
        <f>Superstore_Sales[[#This Row],[Ship Date]]-Superstore_Sales[[#This Row],[Order Date]]</f>
        <v>0</v>
      </c>
      <c r="F103" t="s">
        <v>73</v>
      </c>
      <c r="G103" t="s">
        <v>698</v>
      </c>
      <c r="H103" t="s">
        <v>699</v>
      </c>
      <c r="I103" t="s">
        <v>43</v>
      </c>
      <c r="K103" t="s">
        <v>700</v>
      </c>
      <c r="L103" t="s">
        <v>437</v>
      </c>
      <c r="M103" t="s">
        <v>67</v>
      </c>
      <c r="N103" t="s">
        <v>68</v>
      </c>
      <c r="O103" t="s">
        <v>69</v>
      </c>
      <c r="P103" t="s">
        <v>701</v>
      </c>
      <c r="Q103" t="s">
        <v>35</v>
      </c>
      <c r="R103" t="s">
        <v>36</v>
      </c>
      <c r="S103" t="s">
        <v>702</v>
      </c>
      <c r="T103">
        <v>2875.77</v>
      </c>
      <c r="U103">
        <v>9</v>
      </c>
      <c r="V103">
        <v>0.5</v>
      </c>
      <c r="W103">
        <v>-1783.08</v>
      </c>
      <c r="X103">
        <v>516.63</v>
      </c>
      <c r="Y103" t="s">
        <v>38</v>
      </c>
      <c r="Z103">
        <f>Superstore_Sales[[#This Row],[Sales]]*Superstore_Sales[[#This Row],[Quantity]]</f>
        <v>25881.93</v>
      </c>
      <c r="AA103" s="3">
        <f>Superstore_Sales[[#This Row],[TotalSales]]*Superstore_Sales[[#This Row],[Discount]]/100</f>
        <v>129.40965</v>
      </c>
      <c r="AB103" s="2">
        <f>Superstore_Sales[[#This Row],[TotalSales]]-Superstore_Sales[[#This Row],[Dis_amt]]-Superstore_Sales[[#This Row],[Shipping Cost]]</f>
        <v>25235.890349999998</v>
      </c>
    </row>
    <row r="104" spans="1:28" x14ac:dyDescent="0.35">
      <c r="A104">
        <v>14721</v>
      </c>
      <c r="B104" t="s">
        <v>703</v>
      </c>
      <c r="C104" s="1">
        <v>41634</v>
      </c>
      <c r="D104" s="1">
        <v>41636</v>
      </c>
      <c r="E104">
        <f>Superstore_Sales[[#This Row],[Ship Date]]-Superstore_Sales[[#This Row],[Order Date]]</f>
        <v>2</v>
      </c>
      <c r="F104" t="s">
        <v>40</v>
      </c>
      <c r="G104" t="s">
        <v>704</v>
      </c>
      <c r="H104" t="s">
        <v>705</v>
      </c>
      <c r="I104" t="s">
        <v>28</v>
      </c>
      <c r="K104" t="s">
        <v>706</v>
      </c>
      <c r="L104" t="s">
        <v>707</v>
      </c>
      <c r="M104" t="s">
        <v>463</v>
      </c>
      <c r="N104" t="s">
        <v>171</v>
      </c>
      <c r="O104" t="s">
        <v>69</v>
      </c>
      <c r="P104" t="s">
        <v>708</v>
      </c>
      <c r="Q104" t="s">
        <v>50</v>
      </c>
      <c r="R104" t="s">
        <v>336</v>
      </c>
      <c r="S104" t="s">
        <v>709</v>
      </c>
      <c r="T104">
        <v>1741.8</v>
      </c>
      <c r="U104">
        <v>4</v>
      </c>
      <c r="V104">
        <v>0</v>
      </c>
      <c r="W104">
        <v>261.24</v>
      </c>
      <c r="X104">
        <v>515.24</v>
      </c>
      <c r="Y104" t="s">
        <v>53</v>
      </c>
      <c r="Z104">
        <f>Superstore_Sales[[#This Row],[Sales]]*Superstore_Sales[[#This Row],[Quantity]]</f>
        <v>6967.2</v>
      </c>
      <c r="AA104" s="3">
        <f>Superstore_Sales[[#This Row],[TotalSales]]*Superstore_Sales[[#This Row],[Discount]]/100</f>
        <v>0</v>
      </c>
      <c r="AB104" s="2">
        <f>Superstore_Sales[[#This Row],[TotalSales]]-Superstore_Sales[[#This Row],[Dis_amt]]-Superstore_Sales[[#This Row],[Shipping Cost]]</f>
        <v>6451.96</v>
      </c>
    </row>
    <row r="105" spans="1:28" x14ac:dyDescent="0.35">
      <c r="A105">
        <v>29629</v>
      </c>
      <c r="B105" t="s">
        <v>710</v>
      </c>
      <c r="C105" s="1">
        <v>41747</v>
      </c>
      <c r="D105" s="1">
        <v>41748</v>
      </c>
      <c r="E105">
        <f>Superstore_Sales[[#This Row],[Ship Date]]-Superstore_Sales[[#This Row],[Order Date]]</f>
        <v>1</v>
      </c>
      <c r="F105" t="s">
        <v>25</v>
      </c>
      <c r="G105" t="s">
        <v>711</v>
      </c>
      <c r="H105" t="s">
        <v>712</v>
      </c>
      <c r="I105" t="s">
        <v>28</v>
      </c>
      <c r="K105" t="s">
        <v>86</v>
      </c>
      <c r="L105" t="s">
        <v>45</v>
      </c>
      <c r="M105" t="s">
        <v>46</v>
      </c>
      <c r="N105" t="s">
        <v>47</v>
      </c>
      <c r="O105" t="s">
        <v>48</v>
      </c>
      <c r="P105" t="s">
        <v>713</v>
      </c>
      <c r="Q105" t="s">
        <v>35</v>
      </c>
      <c r="R105" t="s">
        <v>81</v>
      </c>
      <c r="S105" t="s">
        <v>714</v>
      </c>
      <c r="T105">
        <v>1601.64</v>
      </c>
      <c r="U105">
        <v>5</v>
      </c>
      <c r="V105">
        <v>0.1</v>
      </c>
      <c r="W105">
        <v>587.19000000000005</v>
      </c>
      <c r="X105">
        <v>511.47</v>
      </c>
      <c r="Y105" t="s">
        <v>53</v>
      </c>
      <c r="Z105">
        <f>Superstore_Sales[[#This Row],[Sales]]*Superstore_Sales[[#This Row],[Quantity]]</f>
        <v>8008.2000000000007</v>
      </c>
      <c r="AA105" s="3">
        <f>Superstore_Sales[[#This Row],[TotalSales]]*Superstore_Sales[[#This Row],[Discount]]/100</f>
        <v>8.0082000000000022</v>
      </c>
      <c r="AB105" s="2">
        <f>Superstore_Sales[[#This Row],[TotalSales]]-Superstore_Sales[[#This Row],[Dis_amt]]-Superstore_Sales[[#This Row],[Shipping Cost]]</f>
        <v>7488.7218000000003</v>
      </c>
    </row>
    <row r="106" spans="1:28" x14ac:dyDescent="0.35">
      <c r="A106">
        <v>25868</v>
      </c>
      <c r="B106" t="s">
        <v>715</v>
      </c>
      <c r="C106" s="1">
        <v>41052</v>
      </c>
      <c r="D106" s="1">
        <v>41054</v>
      </c>
      <c r="E106">
        <f>Superstore_Sales[[#This Row],[Ship Date]]-Superstore_Sales[[#This Row],[Order Date]]</f>
        <v>2</v>
      </c>
      <c r="F106" t="s">
        <v>40</v>
      </c>
      <c r="G106" t="s">
        <v>716</v>
      </c>
      <c r="H106" t="s">
        <v>717</v>
      </c>
      <c r="I106" t="s">
        <v>28</v>
      </c>
      <c r="K106" t="s">
        <v>718</v>
      </c>
      <c r="L106" t="s">
        <v>450</v>
      </c>
      <c r="M106" t="s">
        <v>144</v>
      </c>
      <c r="N106" t="s">
        <v>145</v>
      </c>
      <c r="O106" t="s">
        <v>48</v>
      </c>
      <c r="P106" t="s">
        <v>719</v>
      </c>
      <c r="Q106" t="s">
        <v>147</v>
      </c>
      <c r="R106" t="s">
        <v>148</v>
      </c>
      <c r="S106" t="s">
        <v>720</v>
      </c>
      <c r="T106">
        <v>3670.8</v>
      </c>
      <c r="U106">
        <v>7</v>
      </c>
      <c r="V106">
        <v>0</v>
      </c>
      <c r="W106">
        <v>367.08</v>
      </c>
      <c r="X106">
        <v>510.72</v>
      </c>
      <c r="Y106" t="s">
        <v>38</v>
      </c>
      <c r="Z106">
        <f>Superstore_Sales[[#This Row],[Sales]]*Superstore_Sales[[#This Row],[Quantity]]</f>
        <v>25695.600000000002</v>
      </c>
      <c r="AA106" s="3">
        <f>Superstore_Sales[[#This Row],[TotalSales]]*Superstore_Sales[[#This Row],[Discount]]/100</f>
        <v>0</v>
      </c>
      <c r="AB106" s="2">
        <f>Superstore_Sales[[#This Row],[TotalSales]]-Superstore_Sales[[#This Row],[Dis_amt]]-Superstore_Sales[[#This Row],[Shipping Cost]]</f>
        <v>25184.880000000001</v>
      </c>
    </row>
    <row r="107" spans="1:28" x14ac:dyDescent="0.35">
      <c r="A107">
        <v>19559</v>
      </c>
      <c r="B107" t="s">
        <v>721</v>
      </c>
      <c r="C107" s="1">
        <v>41775</v>
      </c>
      <c r="D107" s="1">
        <v>41779</v>
      </c>
      <c r="E107">
        <f>Superstore_Sales[[#This Row],[Ship Date]]-Superstore_Sales[[#This Row],[Order Date]]</f>
        <v>4</v>
      </c>
      <c r="F107" t="s">
        <v>40</v>
      </c>
      <c r="G107" t="s">
        <v>722</v>
      </c>
      <c r="H107" t="s">
        <v>723</v>
      </c>
      <c r="I107" t="s">
        <v>28</v>
      </c>
      <c r="K107" t="s">
        <v>724</v>
      </c>
      <c r="L107" t="s">
        <v>724</v>
      </c>
      <c r="M107" t="s">
        <v>67</v>
      </c>
      <c r="N107" t="s">
        <v>68</v>
      </c>
      <c r="O107" t="s">
        <v>69</v>
      </c>
      <c r="P107" t="s">
        <v>725</v>
      </c>
      <c r="Q107" t="s">
        <v>35</v>
      </c>
      <c r="R107" t="s">
        <v>81</v>
      </c>
      <c r="S107" t="s">
        <v>726</v>
      </c>
      <c r="T107">
        <v>1900.95</v>
      </c>
      <c r="U107">
        <v>5</v>
      </c>
      <c r="V107">
        <v>0</v>
      </c>
      <c r="W107">
        <v>589.20000000000005</v>
      </c>
      <c r="X107">
        <v>506.89</v>
      </c>
      <c r="Y107" t="s">
        <v>38</v>
      </c>
      <c r="Z107">
        <f>Superstore_Sales[[#This Row],[Sales]]*Superstore_Sales[[#This Row],[Quantity]]</f>
        <v>9504.75</v>
      </c>
      <c r="AA107" s="3">
        <f>Superstore_Sales[[#This Row],[TotalSales]]*Superstore_Sales[[#This Row],[Discount]]/100</f>
        <v>0</v>
      </c>
      <c r="AB107" s="2">
        <f>Superstore_Sales[[#This Row],[TotalSales]]-Superstore_Sales[[#This Row],[Dis_amt]]-Superstore_Sales[[#This Row],[Shipping Cost]]</f>
        <v>8997.86</v>
      </c>
    </row>
    <row r="108" spans="1:28" x14ac:dyDescent="0.35">
      <c r="A108">
        <v>14070</v>
      </c>
      <c r="B108" t="s">
        <v>727</v>
      </c>
      <c r="C108" s="1">
        <v>40955</v>
      </c>
      <c r="D108" s="1">
        <v>40958</v>
      </c>
      <c r="E108">
        <f>Superstore_Sales[[#This Row],[Ship Date]]-Superstore_Sales[[#This Row],[Order Date]]</f>
        <v>3</v>
      </c>
      <c r="F108" t="s">
        <v>40</v>
      </c>
      <c r="G108" t="s">
        <v>728</v>
      </c>
      <c r="H108" t="s">
        <v>729</v>
      </c>
      <c r="I108" t="s">
        <v>43</v>
      </c>
      <c r="K108" t="s">
        <v>730</v>
      </c>
      <c r="L108" t="s">
        <v>731</v>
      </c>
      <c r="M108" t="s">
        <v>155</v>
      </c>
      <c r="N108" t="s">
        <v>68</v>
      </c>
      <c r="O108" t="s">
        <v>69</v>
      </c>
      <c r="P108" t="s">
        <v>203</v>
      </c>
      <c r="Q108" t="s">
        <v>50</v>
      </c>
      <c r="R108" t="s">
        <v>51</v>
      </c>
      <c r="S108" t="s">
        <v>204</v>
      </c>
      <c r="T108">
        <v>4544.1000000000004</v>
      </c>
      <c r="U108">
        <v>11</v>
      </c>
      <c r="V108">
        <v>0.1</v>
      </c>
      <c r="W108">
        <v>1868.13</v>
      </c>
      <c r="X108">
        <v>506.27</v>
      </c>
      <c r="Y108" t="s">
        <v>61</v>
      </c>
      <c r="Z108">
        <f>Superstore_Sales[[#This Row],[Sales]]*Superstore_Sales[[#This Row],[Quantity]]</f>
        <v>49985.100000000006</v>
      </c>
      <c r="AA108" s="3">
        <f>Superstore_Sales[[#This Row],[TotalSales]]*Superstore_Sales[[#This Row],[Discount]]/100</f>
        <v>49.98510000000001</v>
      </c>
      <c r="AB108" s="2">
        <f>Superstore_Sales[[#This Row],[TotalSales]]-Superstore_Sales[[#This Row],[Dis_amt]]-Superstore_Sales[[#This Row],[Shipping Cost]]</f>
        <v>49428.844900000011</v>
      </c>
    </row>
    <row r="109" spans="1:28" x14ac:dyDescent="0.35">
      <c r="A109">
        <v>21306</v>
      </c>
      <c r="B109" t="s">
        <v>732</v>
      </c>
      <c r="C109" s="1">
        <v>41790</v>
      </c>
      <c r="D109" s="1">
        <v>41792</v>
      </c>
      <c r="E109">
        <f>Superstore_Sales[[#This Row],[Ship Date]]-Superstore_Sales[[#This Row],[Order Date]]</f>
        <v>2</v>
      </c>
      <c r="F109" t="s">
        <v>25</v>
      </c>
      <c r="G109" t="s">
        <v>733</v>
      </c>
      <c r="H109" t="s">
        <v>734</v>
      </c>
      <c r="I109" t="s">
        <v>28</v>
      </c>
      <c r="K109" t="s">
        <v>735</v>
      </c>
      <c r="L109" t="s">
        <v>534</v>
      </c>
      <c r="M109" t="s">
        <v>144</v>
      </c>
      <c r="N109" t="s">
        <v>145</v>
      </c>
      <c r="O109" t="s">
        <v>48</v>
      </c>
      <c r="P109" t="s">
        <v>736</v>
      </c>
      <c r="Q109" t="s">
        <v>50</v>
      </c>
      <c r="R109" t="s">
        <v>336</v>
      </c>
      <c r="S109" t="s">
        <v>737</v>
      </c>
      <c r="T109">
        <v>1455.12</v>
      </c>
      <c r="U109">
        <v>4</v>
      </c>
      <c r="V109">
        <v>0</v>
      </c>
      <c r="W109">
        <v>116.4</v>
      </c>
      <c r="X109">
        <v>504.56</v>
      </c>
      <c r="Y109" t="s">
        <v>53</v>
      </c>
      <c r="Z109">
        <f>Superstore_Sales[[#This Row],[Sales]]*Superstore_Sales[[#This Row],[Quantity]]</f>
        <v>5820.48</v>
      </c>
      <c r="AA109" s="3">
        <f>Superstore_Sales[[#This Row],[TotalSales]]*Superstore_Sales[[#This Row],[Discount]]/100</f>
        <v>0</v>
      </c>
      <c r="AB109" s="2">
        <f>Superstore_Sales[[#This Row],[TotalSales]]-Superstore_Sales[[#This Row],[Dis_amt]]-Superstore_Sales[[#This Row],[Shipping Cost]]</f>
        <v>5315.9199999999992</v>
      </c>
    </row>
    <row r="110" spans="1:28" x14ac:dyDescent="0.35">
      <c r="A110">
        <v>21668</v>
      </c>
      <c r="B110" t="s">
        <v>738</v>
      </c>
      <c r="C110" s="1">
        <v>41913</v>
      </c>
      <c r="D110" s="1">
        <v>41914</v>
      </c>
      <c r="E110">
        <f>Superstore_Sales[[#This Row],[Ship Date]]-Superstore_Sales[[#This Row],[Order Date]]</f>
        <v>1</v>
      </c>
      <c r="F110" t="s">
        <v>25</v>
      </c>
      <c r="G110" t="s">
        <v>739</v>
      </c>
      <c r="H110" t="s">
        <v>740</v>
      </c>
      <c r="I110" t="s">
        <v>28</v>
      </c>
      <c r="K110" t="s">
        <v>741</v>
      </c>
      <c r="L110" t="s">
        <v>742</v>
      </c>
      <c r="M110" t="s">
        <v>46</v>
      </c>
      <c r="N110" t="s">
        <v>47</v>
      </c>
      <c r="O110" t="s">
        <v>48</v>
      </c>
      <c r="P110" t="s">
        <v>743</v>
      </c>
      <c r="Q110" t="s">
        <v>35</v>
      </c>
      <c r="R110" t="s">
        <v>81</v>
      </c>
      <c r="S110" t="s">
        <v>744</v>
      </c>
      <c r="T110">
        <v>1943.19</v>
      </c>
      <c r="U110">
        <v>6</v>
      </c>
      <c r="V110">
        <v>0.1</v>
      </c>
      <c r="W110">
        <v>258.93</v>
      </c>
      <c r="X110">
        <v>499.62</v>
      </c>
      <c r="Y110" t="s">
        <v>38</v>
      </c>
      <c r="Z110">
        <f>Superstore_Sales[[#This Row],[Sales]]*Superstore_Sales[[#This Row],[Quantity]]</f>
        <v>11659.14</v>
      </c>
      <c r="AA110" s="3">
        <f>Superstore_Sales[[#This Row],[TotalSales]]*Superstore_Sales[[#This Row],[Discount]]/100</f>
        <v>11.659140000000001</v>
      </c>
      <c r="AB110" s="2">
        <f>Superstore_Sales[[#This Row],[TotalSales]]-Superstore_Sales[[#This Row],[Dis_amt]]-Superstore_Sales[[#This Row],[Shipping Cost]]</f>
        <v>11147.860859999999</v>
      </c>
    </row>
    <row r="111" spans="1:28" x14ac:dyDescent="0.35">
      <c r="A111">
        <v>39465</v>
      </c>
      <c r="B111" t="s">
        <v>745</v>
      </c>
      <c r="C111" s="1">
        <v>42315</v>
      </c>
      <c r="D111" s="1">
        <v>42322</v>
      </c>
      <c r="E111">
        <f>Superstore_Sales[[#This Row],[Ship Date]]-Superstore_Sales[[#This Row],[Order Date]]</f>
        <v>7</v>
      </c>
      <c r="F111" t="s">
        <v>98</v>
      </c>
      <c r="G111" t="s">
        <v>746</v>
      </c>
      <c r="H111" t="s">
        <v>676</v>
      </c>
      <c r="I111" t="s">
        <v>65</v>
      </c>
      <c r="J111">
        <v>98105</v>
      </c>
      <c r="K111" t="s">
        <v>108</v>
      </c>
      <c r="L111" t="s">
        <v>109</v>
      </c>
      <c r="M111" t="s">
        <v>31</v>
      </c>
      <c r="N111" t="s">
        <v>110</v>
      </c>
      <c r="O111" t="s">
        <v>33</v>
      </c>
      <c r="P111" t="s">
        <v>747</v>
      </c>
      <c r="Q111" t="s">
        <v>50</v>
      </c>
      <c r="R111" t="s">
        <v>104</v>
      </c>
      <c r="S111" t="s">
        <v>748</v>
      </c>
      <c r="T111">
        <v>2036.86</v>
      </c>
      <c r="U111">
        <v>7</v>
      </c>
      <c r="V111">
        <v>0</v>
      </c>
      <c r="W111">
        <v>366.63</v>
      </c>
      <c r="X111">
        <v>524.76</v>
      </c>
      <c r="Y111" t="s">
        <v>164</v>
      </c>
      <c r="Z111">
        <f>Superstore_Sales[[#This Row],[Sales]]*Superstore_Sales[[#This Row],[Quantity]]</f>
        <v>14258.019999999999</v>
      </c>
      <c r="AA111" s="3">
        <f>Superstore_Sales[[#This Row],[TotalSales]]*Superstore_Sales[[#This Row],[Discount]]/100</f>
        <v>0</v>
      </c>
      <c r="AB111" s="2">
        <f>Superstore_Sales[[#This Row],[TotalSales]]-Superstore_Sales[[#This Row],[Dis_amt]]-Superstore_Sales[[#This Row],[Shipping Cost]]</f>
        <v>13733.259999999998</v>
      </c>
    </row>
    <row r="112" spans="1:28" x14ac:dyDescent="0.35">
      <c r="A112">
        <v>31650</v>
      </c>
      <c r="B112" t="s">
        <v>749</v>
      </c>
      <c r="C112" s="1">
        <v>41884</v>
      </c>
      <c r="D112" s="1">
        <v>41886</v>
      </c>
      <c r="E112">
        <f>Superstore_Sales[[#This Row],[Ship Date]]-Superstore_Sales[[#This Row],[Order Date]]</f>
        <v>2</v>
      </c>
      <c r="F112" t="s">
        <v>25</v>
      </c>
      <c r="G112" t="s">
        <v>750</v>
      </c>
      <c r="H112" t="s">
        <v>676</v>
      </c>
      <c r="I112" t="s">
        <v>65</v>
      </c>
      <c r="J112">
        <v>10009</v>
      </c>
      <c r="K112" t="s">
        <v>302</v>
      </c>
      <c r="L112" t="s">
        <v>248</v>
      </c>
      <c r="M112" t="s">
        <v>31</v>
      </c>
      <c r="N112" t="s">
        <v>249</v>
      </c>
      <c r="O112" t="s">
        <v>33</v>
      </c>
      <c r="P112" t="s">
        <v>751</v>
      </c>
      <c r="Q112" t="s">
        <v>147</v>
      </c>
      <c r="R112" t="s">
        <v>384</v>
      </c>
      <c r="S112" t="s">
        <v>752</v>
      </c>
      <c r="T112">
        <v>4355.17</v>
      </c>
      <c r="U112">
        <v>4</v>
      </c>
      <c r="V112">
        <v>0.2</v>
      </c>
      <c r="W112">
        <v>1415.43</v>
      </c>
      <c r="X112">
        <v>82.67</v>
      </c>
      <c r="Y112" t="s">
        <v>53</v>
      </c>
      <c r="Z112">
        <f>Superstore_Sales[[#This Row],[Sales]]*Superstore_Sales[[#This Row],[Quantity]]</f>
        <v>17420.68</v>
      </c>
      <c r="AA112" s="3">
        <f>Superstore_Sales[[#This Row],[TotalSales]]*Superstore_Sales[[#This Row],[Discount]]/100</f>
        <v>34.841360000000002</v>
      </c>
      <c r="AB112" s="2">
        <f>Superstore_Sales[[#This Row],[TotalSales]]-Superstore_Sales[[#This Row],[Dis_amt]]-Superstore_Sales[[#This Row],[Shipping Cost]]</f>
        <v>17303.168640000004</v>
      </c>
    </row>
    <row r="113" spans="1:28" x14ac:dyDescent="0.35">
      <c r="A113">
        <v>24260</v>
      </c>
      <c r="B113" t="s">
        <v>753</v>
      </c>
      <c r="C113" s="1">
        <v>41984</v>
      </c>
      <c r="D113" s="1">
        <v>41987</v>
      </c>
      <c r="E113">
        <f>Superstore_Sales[[#This Row],[Ship Date]]-Superstore_Sales[[#This Row],[Order Date]]</f>
        <v>3</v>
      </c>
      <c r="F113" t="s">
        <v>40</v>
      </c>
      <c r="G113" t="s">
        <v>754</v>
      </c>
      <c r="H113" t="s">
        <v>200</v>
      </c>
      <c r="I113" t="s">
        <v>43</v>
      </c>
      <c r="K113" t="s">
        <v>741</v>
      </c>
      <c r="L113" t="s">
        <v>742</v>
      </c>
      <c r="M113" t="s">
        <v>46</v>
      </c>
      <c r="N113" t="s">
        <v>47</v>
      </c>
      <c r="O113" t="s">
        <v>48</v>
      </c>
      <c r="P113" t="s">
        <v>755</v>
      </c>
      <c r="Q113" t="s">
        <v>35</v>
      </c>
      <c r="R113" t="s">
        <v>81</v>
      </c>
      <c r="S113" t="s">
        <v>756</v>
      </c>
      <c r="T113">
        <v>1695.87</v>
      </c>
      <c r="U113">
        <v>5</v>
      </c>
      <c r="V113">
        <v>0.1</v>
      </c>
      <c r="W113">
        <v>-37.83</v>
      </c>
      <c r="X113">
        <v>498.62</v>
      </c>
      <c r="Y113" t="s">
        <v>53</v>
      </c>
      <c r="Z113">
        <f>Superstore_Sales[[#This Row],[Sales]]*Superstore_Sales[[#This Row],[Quantity]]</f>
        <v>8479.3499999999985</v>
      </c>
      <c r="AA113" s="3">
        <f>Superstore_Sales[[#This Row],[TotalSales]]*Superstore_Sales[[#This Row],[Discount]]/100</f>
        <v>8.4793500000000002</v>
      </c>
      <c r="AB113" s="2">
        <f>Superstore_Sales[[#This Row],[TotalSales]]-Superstore_Sales[[#This Row],[Dis_amt]]-Superstore_Sales[[#This Row],[Shipping Cost]]</f>
        <v>7972.250649999999</v>
      </c>
    </row>
    <row r="114" spans="1:28" x14ac:dyDescent="0.35">
      <c r="A114">
        <v>13646</v>
      </c>
      <c r="B114" t="s">
        <v>757</v>
      </c>
      <c r="C114" s="1">
        <v>42081</v>
      </c>
      <c r="D114" s="1">
        <v>42084</v>
      </c>
      <c r="E114">
        <f>Superstore_Sales[[#This Row],[Ship Date]]-Superstore_Sales[[#This Row],[Order Date]]</f>
        <v>3</v>
      </c>
      <c r="F114" t="s">
        <v>40</v>
      </c>
      <c r="G114" t="s">
        <v>758</v>
      </c>
      <c r="H114" t="s">
        <v>585</v>
      </c>
      <c r="I114" t="s">
        <v>43</v>
      </c>
      <c r="K114" t="s">
        <v>759</v>
      </c>
      <c r="L114" t="s">
        <v>154</v>
      </c>
      <c r="M114" t="s">
        <v>155</v>
      </c>
      <c r="N114" t="s">
        <v>68</v>
      </c>
      <c r="O114" t="s">
        <v>69</v>
      </c>
      <c r="P114" t="s">
        <v>760</v>
      </c>
      <c r="Q114" t="s">
        <v>35</v>
      </c>
      <c r="R114" t="s">
        <v>81</v>
      </c>
      <c r="S114" t="s">
        <v>761</v>
      </c>
      <c r="T114">
        <v>1505.98</v>
      </c>
      <c r="U114">
        <v>6</v>
      </c>
      <c r="V114">
        <v>0.15</v>
      </c>
      <c r="W114">
        <v>-265.76</v>
      </c>
      <c r="X114">
        <v>498.52</v>
      </c>
      <c r="Y114" t="s">
        <v>53</v>
      </c>
      <c r="Z114">
        <f>Superstore_Sales[[#This Row],[Sales]]*Superstore_Sales[[#This Row],[Quantity]]</f>
        <v>9035.880000000001</v>
      </c>
      <c r="AA114" s="3">
        <f>Superstore_Sales[[#This Row],[TotalSales]]*Superstore_Sales[[#This Row],[Discount]]/100</f>
        <v>13.55382</v>
      </c>
      <c r="AB114" s="2">
        <f>Superstore_Sales[[#This Row],[TotalSales]]-Superstore_Sales[[#This Row],[Dis_amt]]-Superstore_Sales[[#This Row],[Shipping Cost]]</f>
        <v>8523.8061800000014</v>
      </c>
    </row>
    <row r="115" spans="1:28" x14ac:dyDescent="0.35">
      <c r="A115">
        <v>23708</v>
      </c>
      <c r="B115" t="s">
        <v>762</v>
      </c>
      <c r="C115" s="1">
        <v>42357</v>
      </c>
      <c r="D115" s="1">
        <v>42358</v>
      </c>
      <c r="E115">
        <f>Superstore_Sales[[#This Row],[Ship Date]]-Superstore_Sales[[#This Row],[Order Date]]</f>
        <v>1</v>
      </c>
      <c r="F115" t="s">
        <v>25</v>
      </c>
      <c r="G115" t="s">
        <v>763</v>
      </c>
      <c r="H115" t="s">
        <v>764</v>
      </c>
      <c r="I115" t="s">
        <v>28</v>
      </c>
      <c r="K115" t="s">
        <v>765</v>
      </c>
      <c r="L115" t="s">
        <v>766</v>
      </c>
      <c r="M115" t="s">
        <v>767</v>
      </c>
      <c r="N115" t="s">
        <v>322</v>
      </c>
      <c r="O115" t="s">
        <v>48</v>
      </c>
      <c r="P115" t="s">
        <v>645</v>
      </c>
      <c r="Q115" t="s">
        <v>35</v>
      </c>
      <c r="R115" t="s">
        <v>36</v>
      </c>
      <c r="S115" t="s">
        <v>646</v>
      </c>
      <c r="T115">
        <v>1954.17</v>
      </c>
      <c r="U115">
        <v>3</v>
      </c>
      <c r="V115">
        <v>0</v>
      </c>
      <c r="W115">
        <v>312.66000000000003</v>
      </c>
      <c r="X115">
        <v>498.38</v>
      </c>
      <c r="Y115" t="s">
        <v>53</v>
      </c>
      <c r="Z115">
        <f>Superstore_Sales[[#This Row],[Sales]]*Superstore_Sales[[#This Row],[Quantity]]</f>
        <v>5862.51</v>
      </c>
      <c r="AA115" s="3">
        <f>Superstore_Sales[[#This Row],[TotalSales]]*Superstore_Sales[[#This Row],[Discount]]/100</f>
        <v>0</v>
      </c>
      <c r="AB115" s="2">
        <f>Superstore_Sales[[#This Row],[TotalSales]]-Superstore_Sales[[#This Row],[Dis_amt]]-Superstore_Sales[[#This Row],[Shipping Cost]]</f>
        <v>5364.13</v>
      </c>
    </row>
    <row r="116" spans="1:28" x14ac:dyDescent="0.35">
      <c r="A116">
        <v>33661</v>
      </c>
      <c r="B116" t="s">
        <v>768</v>
      </c>
      <c r="C116" s="1">
        <v>41712</v>
      </c>
      <c r="D116" s="1">
        <v>41717</v>
      </c>
      <c r="E116">
        <f>Superstore_Sales[[#This Row],[Ship Date]]-Superstore_Sales[[#This Row],[Order Date]]</f>
        <v>5</v>
      </c>
      <c r="F116" t="s">
        <v>98</v>
      </c>
      <c r="G116" t="s">
        <v>769</v>
      </c>
      <c r="H116" t="s">
        <v>676</v>
      </c>
      <c r="I116" t="s">
        <v>65</v>
      </c>
      <c r="J116">
        <v>22980</v>
      </c>
      <c r="K116" t="s">
        <v>770</v>
      </c>
      <c r="L116" t="s">
        <v>694</v>
      </c>
      <c r="M116" t="s">
        <v>31</v>
      </c>
      <c r="N116" t="s">
        <v>351</v>
      </c>
      <c r="O116" t="s">
        <v>33</v>
      </c>
      <c r="P116" t="s">
        <v>771</v>
      </c>
      <c r="Q116" t="s">
        <v>147</v>
      </c>
      <c r="R116" t="s">
        <v>148</v>
      </c>
      <c r="S116" t="s">
        <v>772</v>
      </c>
      <c r="T116">
        <v>160.32</v>
      </c>
      <c r="U116">
        <v>2</v>
      </c>
      <c r="V116">
        <v>0</v>
      </c>
      <c r="W116">
        <v>44.89</v>
      </c>
      <c r="X116">
        <v>13.75</v>
      </c>
      <c r="Y116" t="s">
        <v>61</v>
      </c>
      <c r="Z116">
        <f>Superstore_Sales[[#This Row],[Sales]]*Superstore_Sales[[#This Row],[Quantity]]</f>
        <v>320.64</v>
      </c>
      <c r="AA116" s="3">
        <f>Superstore_Sales[[#This Row],[TotalSales]]*Superstore_Sales[[#This Row],[Discount]]/100</f>
        <v>0</v>
      </c>
      <c r="AB116" s="2">
        <f>Superstore_Sales[[#This Row],[TotalSales]]-Superstore_Sales[[#This Row],[Dis_amt]]-Superstore_Sales[[#This Row],[Shipping Cost]]</f>
        <v>306.89</v>
      </c>
    </row>
    <row r="117" spans="1:28" x14ac:dyDescent="0.35">
      <c r="A117">
        <v>1779</v>
      </c>
      <c r="B117" t="s">
        <v>773</v>
      </c>
      <c r="C117" s="1">
        <v>42265</v>
      </c>
      <c r="D117" s="1">
        <v>42265</v>
      </c>
      <c r="E117">
        <f>Superstore_Sales[[#This Row],[Ship Date]]-Superstore_Sales[[#This Row],[Order Date]]</f>
        <v>0</v>
      </c>
      <c r="F117" t="s">
        <v>73</v>
      </c>
      <c r="G117" t="s">
        <v>774</v>
      </c>
      <c r="H117" t="s">
        <v>775</v>
      </c>
      <c r="I117" t="s">
        <v>28</v>
      </c>
      <c r="K117" t="s">
        <v>776</v>
      </c>
      <c r="L117" t="s">
        <v>777</v>
      </c>
      <c r="M117" t="s">
        <v>778</v>
      </c>
      <c r="N117" t="s">
        <v>135</v>
      </c>
      <c r="O117" t="s">
        <v>136</v>
      </c>
      <c r="P117" t="s">
        <v>779</v>
      </c>
      <c r="Q117" t="s">
        <v>35</v>
      </c>
      <c r="R117" t="s">
        <v>81</v>
      </c>
      <c r="S117" t="s">
        <v>780</v>
      </c>
      <c r="T117">
        <v>1213.19</v>
      </c>
      <c r="U117">
        <v>7</v>
      </c>
      <c r="V117">
        <v>2E-3</v>
      </c>
      <c r="W117">
        <v>508.01</v>
      </c>
      <c r="X117">
        <v>493.40899999999999</v>
      </c>
      <c r="Y117" t="s">
        <v>53</v>
      </c>
      <c r="Z117">
        <f>Superstore_Sales[[#This Row],[Sales]]*Superstore_Sales[[#This Row],[Quantity]]</f>
        <v>8492.33</v>
      </c>
      <c r="AA117" s="3">
        <f>Superstore_Sales[[#This Row],[TotalSales]]*Superstore_Sales[[#This Row],[Discount]]/100</f>
        <v>0.16984660000000001</v>
      </c>
      <c r="AB117" s="2">
        <f>Superstore_Sales[[#This Row],[TotalSales]]-Superstore_Sales[[#This Row],[Dis_amt]]-Superstore_Sales[[#This Row],[Shipping Cost]]</f>
        <v>7998.7511534000005</v>
      </c>
    </row>
    <row r="118" spans="1:28" x14ac:dyDescent="0.35">
      <c r="A118">
        <v>23880</v>
      </c>
      <c r="B118" t="s">
        <v>781</v>
      </c>
      <c r="C118" s="1">
        <v>41968</v>
      </c>
      <c r="D118" s="1">
        <v>41970</v>
      </c>
      <c r="E118">
        <f>Superstore_Sales[[#This Row],[Ship Date]]-Superstore_Sales[[#This Row],[Order Date]]</f>
        <v>2</v>
      </c>
      <c r="F118" t="s">
        <v>25</v>
      </c>
      <c r="G118" t="s">
        <v>782</v>
      </c>
      <c r="H118" t="s">
        <v>783</v>
      </c>
      <c r="I118" t="s">
        <v>43</v>
      </c>
      <c r="K118" t="s">
        <v>784</v>
      </c>
      <c r="L118" t="s">
        <v>257</v>
      </c>
      <c r="M118" t="s">
        <v>258</v>
      </c>
      <c r="N118" t="s">
        <v>118</v>
      </c>
      <c r="O118" t="s">
        <v>48</v>
      </c>
      <c r="P118" t="s">
        <v>785</v>
      </c>
      <c r="Q118" t="s">
        <v>35</v>
      </c>
      <c r="R118" t="s">
        <v>81</v>
      </c>
      <c r="S118" t="s">
        <v>786</v>
      </c>
      <c r="T118">
        <v>1590.6</v>
      </c>
      <c r="U118">
        <v>5</v>
      </c>
      <c r="V118">
        <v>0</v>
      </c>
      <c r="W118">
        <v>572.54999999999995</v>
      </c>
      <c r="X118">
        <v>493.2</v>
      </c>
      <c r="Y118" t="s">
        <v>53</v>
      </c>
      <c r="Z118">
        <f>Superstore_Sales[[#This Row],[Sales]]*Superstore_Sales[[#This Row],[Quantity]]</f>
        <v>7953</v>
      </c>
      <c r="AA118" s="3">
        <f>Superstore_Sales[[#This Row],[TotalSales]]*Superstore_Sales[[#This Row],[Discount]]/100</f>
        <v>0</v>
      </c>
      <c r="AB118" s="2">
        <f>Superstore_Sales[[#This Row],[TotalSales]]-Superstore_Sales[[#This Row],[Dis_amt]]-Superstore_Sales[[#This Row],[Shipping Cost]]</f>
        <v>7459.8</v>
      </c>
    </row>
    <row r="119" spans="1:28" x14ac:dyDescent="0.35">
      <c r="A119">
        <v>27094</v>
      </c>
      <c r="B119" t="s">
        <v>787</v>
      </c>
      <c r="C119" s="1">
        <v>41950</v>
      </c>
      <c r="D119" s="1">
        <v>41953</v>
      </c>
      <c r="E119">
        <f>Superstore_Sales[[#This Row],[Ship Date]]-Superstore_Sales[[#This Row],[Order Date]]</f>
        <v>3</v>
      </c>
      <c r="F119" t="s">
        <v>25</v>
      </c>
      <c r="G119" t="s">
        <v>788</v>
      </c>
      <c r="H119" t="s">
        <v>789</v>
      </c>
      <c r="I119" t="s">
        <v>28</v>
      </c>
      <c r="K119" t="s">
        <v>790</v>
      </c>
      <c r="L119" t="s">
        <v>791</v>
      </c>
      <c r="M119" t="s">
        <v>144</v>
      </c>
      <c r="N119" t="s">
        <v>145</v>
      </c>
      <c r="O119" t="s">
        <v>48</v>
      </c>
      <c r="P119" t="s">
        <v>792</v>
      </c>
      <c r="Q119" t="s">
        <v>35</v>
      </c>
      <c r="R119" t="s">
        <v>304</v>
      </c>
      <c r="S119" t="s">
        <v>793</v>
      </c>
      <c r="T119">
        <v>2330.64</v>
      </c>
      <c r="U119">
        <v>9</v>
      </c>
      <c r="V119">
        <v>0</v>
      </c>
      <c r="W119">
        <v>1025.46</v>
      </c>
      <c r="X119">
        <v>492.79</v>
      </c>
      <c r="Y119" t="s">
        <v>53</v>
      </c>
      <c r="Z119">
        <f>Superstore_Sales[[#This Row],[Sales]]*Superstore_Sales[[#This Row],[Quantity]]</f>
        <v>20975.759999999998</v>
      </c>
      <c r="AA119" s="3">
        <f>Superstore_Sales[[#This Row],[TotalSales]]*Superstore_Sales[[#This Row],[Discount]]/100</f>
        <v>0</v>
      </c>
      <c r="AB119" s="2">
        <f>Superstore_Sales[[#This Row],[TotalSales]]-Superstore_Sales[[#This Row],[Dis_amt]]-Superstore_Sales[[#This Row],[Shipping Cost]]</f>
        <v>20482.969999999998</v>
      </c>
    </row>
    <row r="120" spans="1:28" x14ac:dyDescent="0.35">
      <c r="A120">
        <v>24424</v>
      </c>
      <c r="B120" t="s">
        <v>794</v>
      </c>
      <c r="C120" s="1">
        <v>42204</v>
      </c>
      <c r="D120" s="1">
        <v>42208</v>
      </c>
      <c r="E120">
        <f>Superstore_Sales[[#This Row],[Ship Date]]-Superstore_Sales[[#This Row],[Order Date]]</f>
        <v>4</v>
      </c>
      <c r="F120" t="s">
        <v>98</v>
      </c>
      <c r="G120" t="s">
        <v>795</v>
      </c>
      <c r="H120" t="s">
        <v>796</v>
      </c>
      <c r="I120" t="s">
        <v>65</v>
      </c>
      <c r="K120" t="s">
        <v>502</v>
      </c>
      <c r="L120" t="s">
        <v>503</v>
      </c>
      <c r="M120" t="s">
        <v>321</v>
      </c>
      <c r="N120" t="s">
        <v>322</v>
      </c>
      <c r="O120" t="s">
        <v>48</v>
      </c>
      <c r="P120" t="s">
        <v>797</v>
      </c>
      <c r="Q120" t="s">
        <v>50</v>
      </c>
      <c r="R120" t="s">
        <v>336</v>
      </c>
      <c r="S120" t="s">
        <v>798</v>
      </c>
      <c r="T120">
        <v>3278.58</v>
      </c>
      <c r="U120">
        <v>8</v>
      </c>
      <c r="V120">
        <v>7.0000000000000007E-2</v>
      </c>
      <c r="W120">
        <v>140.82</v>
      </c>
      <c r="X120">
        <v>492.28</v>
      </c>
      <c r="Y120" t="s">
        <v>38</v>
      </c>
      <c r="Z120">
        <f>Superstore_Sales[[#This Row],[Sales]]*Superstore_Sales[[#This Row],[Quantity]]</f>
        <v>26228.639999999999</v>
      </c>
      <c r="AA120" s="3">
        <f>Superstore_Sales[[#This Row],[TotalSales]]*Superstore_Sales[[#This Row],[Discount]]/100</f>
        <v>18.360048000000003</v>
      </c>
      <c r="AB120" s="2">
        <f>Superstore_Sales[[#This Row],[TotalSales]]-Superstore_Sales[[#This Row],[Dis_amt]]-Superstore_Sales[[#This Row],[Shipping Cost]]</f>
        <v>25717.999952000002</v>
      </c>
    </row>
    <row r="121" spans="1:28" x14ac:dyDescent="0.35">
      <c r="A121">
        <v>22049</v>
      </c>
      <c r="B121" t="s">
        <v>799</v>
      </c>
      <c r="C121" s="1">
        <v>41502</v>
      </c>
      <c r="D121" s="1">
        <v>41502</v>
      </c>
      <c r="E121">
        <f>Superstore_Sales[[#This Row],[Ship Date]]-Superstore_Sales[[#This Row],[Order Date]]</f>
        <v>0</v>
      </c>
      <c r="F121" t="s">
        <v>73</v>
      </c>
      <c r="G121" t="s">
        <v>800</v>
      </c>
      <c r="H121" t="s">
        <v>473</v>
      </c>
      <c r="I121" t="s">
        <v>65</v>
      </c>
      <c r="K121" t="s">
        <v>801</v>
      </c>
      <c r="L121" t="s">
        <v>801</v>
      </c>
      <c r="M121" t="s">
        <v>802</v>
      </c>
      <c r="N121" t="s">
        <v>322</v>
      </c>
      <c r="O121" t="s">
        <v>48</v>
      </c>
      <c r="P121" t="s">
        <v>221</v>
      </c>
      <c r="Q121" t="s">
        <v>35</v>
      </c>
      <c r="R121" t="s">
        <v>36</v>
      </c>
      <c r="S121" t="s">
        <v>222</v>
      </c>
      <c r="T121">
        <v>3741.52</v>
      </c>
      <c r="U121">
        <v>7</v>
      </c>
      <c r="V121">
        <v>0.17</v>
      </c>
      <c r="W121">
        <v>946.63</v>
      </c>
      <c r="X121">
        <v>491.91</v>
      </c>
      <c r="Y121" t="s">
        <v>38</v>
      </c>
      <c r="Z121">
        <f>Superstore_Sales[[#This Row],[Sales]]*Superstore_Sales[[#This Row],[Quantity]]</f>
        <v>26190.639999999999</v>
      </c>
      <c r="AA121" s="3">
        <f>Superstore_Sales[[#This Row],[TotalSales]]*Superstore_Sales[[#This Row],[Discount]]/100</f>
        <v>44.524087999999999</v>
      </c>
      <c r="AB121" s="2">
        <f>Superstore_Sales[[#This Row],[TotalSales]]-Superstore_Sales[[#This Row],[Dis_amt]]-Superstore_Sales[[#This Row],[Shipping Cost]]</f>
        <v>25654.205912000001</v>
      </c>
    </row>
    <row r="122" spans="1:28" x14ac:dyDescent="0.35">
      <c r="A122">
        <v>40796</v>
      </c>
      <c r="B122" t="s">
        <v>803</v>
      </c>
      <c r="C122" s="1">
        <v>42314</v>
      </c>
      <c r="D122" s="1">
        <v>42316</v>
      </c>
      <c r="E122">
        <f>Superstore_Sales[[#This Row],[Ship Date]]-Superstore_Sales[[#This Row],[Order Date]]</f>
        <v>2</v>
      </c>
      <c r="F122" t="s">
        <v>25</v>
      </c>
      <c r="G122" t="s">
        <v>804</v>
      </c>
      <c r="H122" t="s">
        <v>676</v>
      </c>
      <c r="I122" t="s">
        <v>65</v>
      </c>
      <c r="J122">
        <v>46142</v>
      </c>
      <c r="K122" t="s">
        <v>805</v>
      </c>
      <c r="L122" t="s">
        <v>806</v>
      </c>
      <c r="M122" t="s">
        <v>31</v>
      </c>
      <c r="N122" t="s">
        <v>32</v>
      </c>
      <c r="O122" t="s">
        <v>33</v>
      </c>
      <c r="P122" t="s">
        <v>807</v>
      </c>
      <c r="Q122" t="s">
        <v>147</v>
      </c>
      <c r="R122" t="s">
        <v>672</v>
      </c>
      <c r="S122" t="s">
        <v>808</v>
      </c>
      <c r="T122">
        <v>67.8</v>
      </c>
      <c r="U122">
        <v>10</v>
      </c>
      <c r="V122">
        <v>0</v>
      </c>
      <c r="W122">
        <v>31.19</v>
      </c>
      <c r="X122">
        <v>7.97</v>
      </c>
      <c r="Y122" t="s">
        <v>38</v>
      </c>
      <c r="Z122">
        <f>Superstore_Sales[[#This Row],[Sales]]*Superstore_Sales[[#This Row],[Quantity]]</f>
        <v>678</v>
      </c>
      <c r="AA122" s="3">
        <f>Superstore_Sales[[#This Row],[TotalSales]]*Superstore_Sales[[#This Row],[Discount]]/100</f>
        <v>0</v>
      </c>
      <c r="AB122" s="2">
        <f>Superstore_Sales[[#This Row],[TotalSales]]-Superstore_Sales[[#This Row],[Dis_amt]]-Superstore_Sales[[#This Row],[Shipping Cost]]</f>
        <v>670.03</v>
      </c>
    </row>
    <row r="123" spans="1:28" x14ac:dyDescent="0.35">
      <c r="A123">
        <v>23815</v>
      </c>
      <c r="B123" t="s">
        <v>809</v>
      </c>
      <c r="C123" s="1">
        <v>41284</v>
      </c>
      <c r="D123" s="1">
        <v>41288</v>
      </c>
      <c r="E123">
        <f>Superstore_Sales[[#This Row],[Ship Date]]-Superstore_Sales[[#This Row],[Order Date]]</f>
        <v>4</v>
      </c>
      <c r="F123" t="s">
        <v>98</v>
      </c>
      <c r="G123" t="s">
        <v>810</v>
      </c>
      <c r="H123" t="s">
        <v>627</v>
      </c>
      <c r="I123" t="s">
        <v>28</v>
      </c>
      <c r="K123" t="s">
        <v>811</v>
      </c>
      <c r="L123" t="s">
        <v>573</v>
      </c>
      <c r="M123" t="s">
        <v>321</v>
      </c>
      <c r="N123" t="s">
        <v>322</v>
      </c>
      <c r="O123" t="s">
        <v>48</v>
      </c>
      <c r="P123" t="s">
        <v>812</v>
      </c>
      <c r="Q123" t="s">
        <v>50</v>
      </c>
      <c r="R123" t="s">
        <v>336</v>
      </c>
      <c r="S123" t="s">
        <v>813</v>
      </c>
      <c r="T123">
        <v>3637.6</v>
      </c>
      <c r="U123">
        <v>10</v>
      </c>
      <c r="V123">
        <v>7.0000000000000007E-2</v>
      </c>
      <c r="W123">
        <v>156.4</v>
      </c>
      <c r="X123">
        <v>487.86</v>
      </c>
      <c r="Y123" t="s">
        <v>38</v>
      </c>
      <c r="Z123">
        <f>Superstore_Sales[[#This Row],[Sales]]*Superstore_Sales[[#This Row],[Quantity]]</f>
        <v>36376</v>
      </c>
      <c r="AA123" s="3">
        <f>Superstore_Sales[[#This Row],[TotalSales]]*Superstore_Sales[[#This Row],[Discount]]/100</f>
        <v>25.463200000000001</v>
      </c>
      <c r="AB123" s="2">
        <f>Superstore_Sales[[#This Row],[TotalSales]]-Superstore_Sales[[#This Row],[Dis_amt]]-Superstore_Sales[[#This Row],[Shipping Cost]]</f>
        <v>35862.676800000001</v>
      </c>
    </row>
    <row r="124" spans="1:28" x14ac:dyDescent="0.35">
      <c r="A124">
        <v>8009</v>
      </c>
      <c r="B124" t="s">
        <v>814</v>
      </c>
      <c r="C124" s="1">
        <v>41667</v>
      </c>
      <c r="D124" s="1">
        <v>41669</v>
      </c>
      <c r="E124">
        <f>Superstore_Sales[[#This Row],[Ship Date]]-Superstore_Sales[[#This Row],[Order Date]]</f>
        <v>2</v>
      </c>
      <c r="F124" t="s">
        <v>25</v>
      </c>
      <c r="G124" t="s">
        <v>815</v>
      </c>
      <c r="H124" t="s">
        <v>816</v>
      </c>
      <c r="I124" t="s">
        <v>65</v>
      </c>
      <c r="K124" t="s">
        <v>817</v>
      </c>
      <c r="L124" t="s">
        <v>818</v>
      </c>
      <c r="M124" t="s">
        <v>219</v>
      </c>
      <c r="N124" t="s">
        <v>220</v>
      </c>
      <c r="O124" t="s">
        <v>136</v>
      </c>
      <c r="P124" t="s">
        <v>819</v>
      </c>
      <c r="Q124" t="s">
        <v>147</v>
      </c>
      <c r="R124" t="s">
        <v>148</v>
      </c>
      <c r="S124" t="s">
        <v>820</v>
      </c>
      <c r="T124">
        <v>2455.88</v>
      </c>
      <c r="U124">
        <v>7</v>
      </c>
      <c r="V124">
        <v>0</v>
      </c>
      <c r="W124">
        <v>785.82</v>
      </c>
      <c r="X124">
        <v>487.476</v>
      </c>
      <c r="Y124" t="s">
        <v>61</v>
      </c>
      <c r="Z124">
        <f>Superstore_Sales[[#This Row],[Sales]]*Superstore_Sales[[#This Row],[Quantity]]</f>
        <v>17191.16</v>
      </c>
      <c r="AA124" s="3">
        <f>Superstore_Sales[[#This Row],[TotalSales]]*Superstore_Sales[[#This Row],[Discount]]/100</f>
        <v>0</v>
      </c>
      <c r="AB124" s="2">
        <f>Superstore_Sales[[#This Row],[TotalSales]]-Superstore_Sales[[#This Row],[Dis_amt]]-Superstore_Sales[[#This Row],[Shipping Cost]]</f>
        <v>16703.684000000001</v>
      </c>
    </row>
    <row r="125" spans="1:28" x14ac:dyDescent="0.35">
      <c r="A125">
        <v>30267</v>
      </c>
      <c r="B125" t="s">
        <v>821</v>
      </c>
      <c r="C125" s="1">
        <v>41439</v>
      </c>
      <c r="D125" s="1">
        <v>41442</v>
      </c>
      <c r="E125">
        <f>Superstore_Sales[[#This Row],[Ship Date]]-Superstore_Sales[[#This Row],[Order Date]]</f>
        <v>3</v>
      </c>
      <c r="F125" t="s">
        <v>25</v>
      </c>
      <c r="G125" t="s">
        <v>822</v>
      </c>
      <c r="H125" t="s">
        <v>27</v>
      </c>
      <c r="I125" t="s">
        <v>28</v>
      </c>
      <c r="K125" t="s">
        <v>823</v>
      </c>
      <c r="L125" t="s">
        <v>824</v>
      </c>
      <c r="M125" t="s">
        <v>144</v>
      </c>
      <c r="N125" t="s">
        <v>145</v>
      </c>
      <c r="O125" t="s">
        <v>48</v>
      </c>
      <c r="P125" t="s">
        <v>825</v>
      </c>
      <c r="Q125" t="s">
        <v>35</v>
      </c>
      <c r="R125" t="s">
        <v>275</v>
      </c>
      <c r="S125" t="s">
        <v>826</v>
      </c>
      <c r="T125">
        <v>1024.68</v>
      </c>
      <c r="U125">
        <v>8</v>
      </c>
      <c r="V125">
        <v>0.5</v>
      </c>
      <c r="W125">
        <v>-286.92</v>
      </c>
      <c r="X125">
        <v>487.32</v>
      </c>
      <c r="Y125" t="s">
        <v>53</v>
      </c>
      <c r="Z125">
        <f>Superstore_Sales[[#This Row],[Sales]]*Superstore_Sales[[#This Row],[Quantity]]</f>
        <v>8197.44</v>
      </c>
      <c r="AA125" s="3">
        <f>Superstore_Sales[[#This Row],[TotalSales]]*Superstore_Sales[[#This Row],[Discount]]/100</f>
        <v>40.987200000000001</v>
      </c>
      <c r="AB125" s="2">
        <f>Superstore_Sales[[#This Row],[TotalSales]]-Superstore_Sales[[#This Row],[Dis_amt]]-Superstore_Sales[[#This Row],[Shipping Cost]]</f>
        <v>7669.1328000000012</v>
      </c>
    </row>
    <row r="126" spans="1:28" x14ac:dyDescent="0.35">
      <c r="A126">
        <v>2283</v>
      </c>
      <c r="B126" t="s">
        <v>827</v>
      </c>
      <c r="C126" s="1">
        <v>41614</v>
      </c>
      <c r="D126" s="1">
        <v>41616</v>
      </c>
      <c r="E126">
        <f>Superstore_Sales[[#This Row],[Ship Date]]-Superstore_Sales[[#This Row],[Order Date]]</f>
        <v>2</v>
      </c>
      <c r="F126" t="s">
        <v>25</v>
      </c>
      <c r="G126" t="s">
        <v>828</v>
      </c>
      <c r="H126" t="s">
        <v>829</v>
      </c>
      <c r="I126" t="s">
        <v>65</v>
      </c>
      <c r="K126" t="s">
        <v>830</v>
      </c>
      <c r="L126" t="s">
        <v>831</v>
      </c>
      <c r="M126" t="s">
        <v>134</v>
      </c>
      <c r="N126" t="s">
        <v>135</v>
      </c>
      <c r="O126" t="s">
        <v>136</v>
      </c>
      <c r="P126" t="s">
        <v>832</v>
      </c>
      <c r="Q126" t="s">
        <v>35</v>
      </c>
      <c r="R126" t="s">
        <v>304</v>
      </c>
      <c r="S126" t="s">
        <v>833</v>
      </c>
      <c r="T126">
        <v>2297.96</v>
      </c>
      <c r="U126">
        <v>14</v>
      </c>
      <c r="V126">
        <v>0</v>
      </c>
      <c r="W126">
        <v>988.12</v>
      </c>
      <c r="X126">
        <v>483.25700000000001</v>
      </c>
      <c r="Y126" t="s">
        <v>38</v>
      </c>
      <c r="Z126">
        <f>Superstore_Sales[[#This Row],[Sales]]*Superstore_Sales[[#This Row],[Quantity]]</f>
        <v>32171.440000000002</v>
      </c>
      <c r="AA126" s="3">
        <f>Superstore_Sales[[#This Row],[TotalSales]]*Superstore_Sales[[#This Row],[Discount]]/100</f>
        <v>0</v>
      </c>
      <c r="AB126" s="2">
        <f>Superstore_Sales[[#This Row],[TotalSales]]-Superstore_Sales[[#This Row],[Dis_amt]]-Superstore_Sales[[#This Row],[Shipping Cost]]</f>
        <v>31688.183000000001</v>
      </c>
    </row>
    <row r="127" spans="1:28" x14ac:dyDescent="0.35">
      <c r="A127">
        <v>17765</v>
      </c>
      <c r="B127" t="s">
        <v>834</v>
      </c>
      <c r="C127" s="1">
        <v>41887</v>
      </c>
      <c r="D127" s="1">
        <v>41889</v>
      </c>
      <c r="E127">
        <f>Superstore_Sales[[#This Row],[Ship Date]]-Superstore_Sales[[#This Row],[Order Date]]</f>
        <v>2</v>
      </c>
      <c r="F127" t="s">
        <v>40</v>
      </c>
      <c r="G127" t="s">
        <v>835</v>
      </c>
      <c r="H127" t="s">
        <v>836</v>
      </c>
      <c r="I127" t="s">
        <v>43</v>
      </c>
      <c r="K127" t="s">
        <v>837</v>
      </c>
      <c r="L127" t="s">
        <v>838</v>
      </c>
      <c r="M127" t="s">
        <v>170</v>
      </c>
      <c r="N127" t="s">
        <v>171</v>
      </c>
      <c r="O127" t="s">
        <v>69</v>
      </c>
      <c r="P127" t="s">
        <v>405</v>
      </c>
      <c r="Q127" t="s">
        <v>35</v>
      </c>
      <c r="R127" t="s">
        <v>81</v>
      </c>
      <c r="S127" t="s">
        <v>406</v>
      </c>
      <c r="T127">
        <v>2671.41</v>
      </c>
      <c r="U127">
        <v>7</v>
      </c>
      <c r="V127">
        <v>0</v>
      </c>
      <c r="W127">
        <v>534.24</v>
      </c>
      <c r="X127">
        <v>483.04</v>
      </c>
      <c r="Y127" t="s">
        <v>38</v>
      </c>
      <c r="Z127">
        <f>Superstore_Sales[[#This Row],[Sales]]*Superstore_Sales[[#This Row],[Quantity]]</f>
        <v>18699.87</v>
      </c>
      <c r="AA127" s="3">
        <f>Superstore_Sales[[#This Row],[TotalSales]]*Superstore_Sales[[#This Row],[Discount]]/100</f>
        <v>0</v>
      </c>
      <c r="AB127" s="2">
        <f>Superstore_Sales[[#This Row],[TotalSales]]-Superstore_Sales[[#This Row],[Dis_amt]]-Superstore_Sales[[#This Row],[Shipping Cost]]</f>
        <v>18216.829999999998</v>
      </c>
    </row>
    <row r="128" spans="1:28" x14ac:dyDescent="0.35">
      <c r="A128">
        <v>47783</v>
      </c>
      <c r="B128" t="s">
        <v>839</v>
      </c>
      <c r="C128" s="1">
        <v>42265</v>
      </c>
      <c r="D128" s="1">
        <v>42267</v>
      </c>
      <c r="E128">
        <f>Superstore_Sales[[#This Row],[Ship Date]]-Superstore_Sales[[#This Row],[Order Date]]</f>
        <v>2</v>
      </c>
      <c r="F128" t="s">
        <v>25</v>
      </c>
      <c r="G128" t="s">
        <v>840</v>
      </c>
      <c r="H128" t="s">
        <v>841</v>
      </c>
      <c r="I128" t="s">
        <v>28</v>
      </c>
      <c r="K128" t="s">
        <v>842</v>
      </c>
      <c r="L128" t="s">
        <v>843</v>
      </c>
      <c r="M128" t="s">
        <v>844</v>
      </c>
      <c r="N128" t="s">
        <v>186</v>
      </c>
      <c r="O128" t="s">
        <v>79</v>
      </c>
      <c r="P128" t="s">
        <v>438</v>
      </c>
      <c r="Q128" t="s">
        <v>35</v>
      </c>
      <c r="R128" t="s">
        <v>36</v>
      </c>
      <c r="S128" t="s">
        <v>439</v>
      </c>
      <c r="T128">
        <v>3834</v>
      </c>
      <c r="U128">
        <v>6</v>
      </c>
      <c r="V128">
        <v>0</v>
      </c>
      <c r="W128">
        <v>268.38</v>
      </c>
      <c r="X128">
        <v>481.04</v>
      </c>
      <c r="Y128" t="s">
        <v>38</v>
      </c>
      <c r="Z128">
        <f>Superstore_Sales[[#This Row],[Sales]]*Superstore_Sales[[#This Row],[Quantity]]</f>
        <v>23004</v>
      </c>
      <c r="AA128" s="3">
        <f>Superstore_Sales[[#This Row],[TotalSales]]*Superstore_Sales[[#This Row],[Discount]]/100</f>
        <v>0</v>
      </c>
      <c r="AB128" s="2">
        <f>Superstore_Sales[[#This Row],[TotalSales]]-Superstore_Sales[[#This Row],[Dis_amt]]-Superstore_Sales[[#This Row],[Shipping Cost]]</f>
        <v>22522.959999999999</v>
      </c>
    </row>
    <row r="129" spans="1:28" x14ac:dyDescent="0.35">
      <c r="A129">
        <v>23175</v>
      </c>
      <c r="B129" t="s">
        <v>845</v>
      </c>
      <c r="C129" s="1">
        <v>41489</v>
      </c>
      <c r="D129" s="1">
        <v>41494</v>
      </c>
      <c r="E129">
        <f>Superstore_Sales[[#This Row],[Ship Date]]-Superstore_Sales[[#This Row],[Order Date]]</f>
        <v>5</v>
      </c>
      <c r="F129" t="s">
        <v>98</v>
      </c>
      <c r="G129" t="s">
        <v>846</v>
      </c>
      <c r="H129" t="s">
        <v>847</v>
      </c>
      <c r="I129" t="s">
        <v>43</v>
      </c>
      <c r="K129" t="s">
        <v>848</v>
      </c>
      <c r="L129" t="s">
        <v>848</v>
      </c>
      <c r="M129" t="s">
        <v>321</v>
      </c>
      <c r="N129" t="s">
        <v>322</v>
      </c>
      <c r="O129" t="s">
        <v>48</v>
      </c>
      <c r="P129" t="s">
        <v>212</v>
      </c>
      <c r="Q129" t="s">
        <v>147</v>
      </c>
      <c r="R129" t="s">
        <v>148</v>
      </c>
      <c r="S129" t="s">
        <v>213</v>
      </c>
      <c r="T129">
        <v>3501.74</v>
      </c>
      <c r="U129">
        <v>8</v>
      </c>
      <c r="V129">
        <v>0.17</v>
      </c>
      <c r="W129">
        <v>210.86</v>
      </c>
      <c r="X129">
        <v>479.96</v>
      </c>
      <c r="Y129" t="s">
        <v>38</v>
      </c>
      <c r="Z129">
        <f>Superstore_Sales[[#This Row],[Sales]]*Superstore_Sales[[#This Row],[Quantity]]</f>
        <v>28013.919999999998</v>
      </c>
      <c r="AA129" s="3">
        <f>Superstore_Sales[[#This Row],[TotalSales]]*Superstore_Sales[[#This Row],[Discount]]/100</f>
        <v>47.623663999999998</v>
      </c>
      <c r="AB129" s="2">
        <f>Superstore_Sales[[#This Row],[TotalSales]]-Superstore_Sales[[#This Row],[Dis_amt]]-Superstore_Sales[[#This Row],[Shipping Cost]]</f>
        <v>27486.336336</v>
      </c>
    </row>
    <row r="130" spans="1:28" x14ac:dyDescent="0.35">
      <c r="A130">
        <v>27693</v>
      </c>
      <c r="B130" t="s">
        <v>849</v>
      </c>
      <c r="C130" s="1">
        <v>42347</v>
      </c>
      <c r="D130" s="1">
        <v>42349</v>
      </c>
      <c r="E130">
        <f>Superstore_Sales[[#This Row],[Ship Date]]-Superstore_Sales[[#This Row],[Order Date]]</f>
        <v>2</v>
      </c>
      <c r="F130" t="s">
        <v>25</v>
      </c>
      <c r="G130" t="s">
        <v>850</v>
      </c>
      <c r="H130" t="s">
        <v>851</v>
      </c>
      <c r="I130" t="s">
        <v>65</v>
      </c>
      <c r="K130" t="s">
        <v>644</v>
      </c>
      <c r="L130" t="s">
        <v>417</v>
      </c>
      <c r="M130" t="s">
        <v>46</v>
      </c>
      <c r="N130" t="s">
        <v>47</v>
      </c>
      <c r="O130" t="s">
        <v>48</v>
      </c>
      <c r="P130" t="s">
        <v>701</v>
      </c>
      <c r="Q130" t="s">
        <v>35</v>
      </c>
      <c r="R130" t="s">
        <v>36</v>
      </c>
      <c r="S130" t="s">
        <v>702</v>
      </c>
      <c r="T130">
        <v>1725.46</v>
      </c>
      <c r="U130">
        <v>3</v>
      </c>
      <c r="V130">
        <v>0.1</v>
      </c>
      <c r="W130">
        <v>747.61</v>
      </c>
      <c r="X130">
        <v>479.94</v>
      </c>
      <c r="Y130" t="s">
        <v>38</v>
      </c>
      <c r="Z130">
        <f>Superstore_Sales[[#This Row],[Sales]]*Superstore_Sales[[#This Row],[Quantity]]</f>
        <v>5176.38</v>
      </c>
      <c r="AA130" s="3">
        <f>Superstore_Sales[[#This Row],[TotalSales]]*Superstore_Sales[[#This Row],[Discount]]/100</f>
        <v>5.17638</v>
      </c>
      <c r="AB130" s="2">
        <f>Superstore_Sales[[#This Row],[TotalSales]]-Superstore_Sales[[#This Row],[Dis_amt]]-Superstore_Sales[[#This Row],[Shipping Cost]]</f>
        <v>4691.2636200000006</v>
      </c>
    </row>
    <row r="131" spans="1:28" x14ac:dyDescent="0.35">
      <c r="A131">
        <v>22134</v>
      </c>
      <c r="B131" t="s">
        <v>852</v>
      </c>
      <c r="C131" s="1">
        <v>41572</v>
      </c>
      <c r="D131" s="1">
        <v>41575</v>
      </c>
      <c r="E131">
        <f>Superstore_Sales[[#This Row],[Ship Date]]-Superstore_Sales[[#This Row],[Order Date]]</f>
        <v>3</v>
      </c>
      <c r="F131" t="s">
        <v>25</v>
      </c>
      <c r="G131" t="s">
        <v>853</v>
      </c>
      <c r="H131" t="s">
        <v>854</v>
      </c>
      <c r="I131" t="s">
        <v>28</v>
      </c>
      <c r="K131" t="s">
        <v>855</v>
      </c>
      <c r="L131" t="s">
        <v>856</v>
      </c>
      <c r="M131" t="s">
        <v>144</v>
      </c>
      <c r="N131" t="s">
        <v>145</v>
      </c>
      <c r="O131" t="s">
        <v>48</v>
      </c>
      <c r="P131" t="s">
        <v>178</v>
      </c>
      <c r="Q131" t="s">
        <v>35</v>
      </c>
      <c r="R131" t="s">
        <v>81</v>
      </c>
      <c r="S131" t="s">
        <v>179</v>
      </c>
      <c r="T131">
        <v>1583.7</v>
      </c>
      <c r="U131">
        <v>5</v>
      </c>
      <c r="V131">
        <v>0</v>
      </c>
      <c r="W131">
        <v>174.15</v>
      </c>
      <c r="X131">
        <v>479.67</v>
      </c>
      <c r="Y131" t="s">
        <v>53</v>
      </c>
      <c r="Z131">
        <f>Superstore_Sales[[#This Row],[Sales]]*Superstore_Sales[[#This Row],[Quantity]]</f>
        <v>7918.5</v>
      </c>
      <c r="AA131" s="3">
        <f>Superstore_Sales[[#This Row],[TotalSales]]*Superstore_Sales[[#This Row],[Discount]]/100</f>
        <v>0</v>
      </c>
      <c r="AB131" s="2">
        <f>Superstore_Sales[[#This Row],[TotalSales]]-Superstore_Sales[[#This Row],[Dis_amt]]-Superstore_Sales[[#This Row],[Shipping Cost]]</f>
        <v>7438.83</v>
      </c>
    </row>
    <row r="132" spans="1:28" x14ac:dyDescent="0.35">
      <c r="A132">
        <v>36297</v>
      </c>
      <c r="B132" t="s">
        <v>857</v>
      </c>
      <c r="C132" s="1">
        <v>42132</v>
      </c>
      <c r="D132" s="1">
        <v>42137</v>
      </c>
      <c r="E132">
        <f>Superstore_Sales[[#This Row],[Ship Date]]-Superstore_Sales[[#This Row],[Order Date]]</f>
        <v>5</v>
      </c>
      <c r="F132" t="s">
        <v>98</v>
      </c>
      <c r="G132" t="s">
        <v>746</v>
      </c>
      <c r="H132" t="s">
        <v>676</v>
      </c>
      <c r="I132" t="s">
        <v>65</v>
      </c>
      <c r="J132">
        <v>90004</v>
      </c>
      <c r="K132" t="s">
        <v>298</v>
      </c>
      <c r="L132" t="s">
        <v>280</v>
      </c>
      <c r="M132" t="s">
        <v>31</v>
      </c>
      <c r="N132" t="s">
        <v>110</v>
      </c>
      <c r="O132" t="s">
        <v>33</v>
      </c>
      <c r="P132" t="s">
        <v>858</v>
      </c>
      <c r="Q132" t="s">
        <v>35</v>
      </c>
      <c r="R132" t="s">
        <v>304</v>
      </c>
      <c r="S132" t="s">
        <v>859</v>
      </c>
      <c r="T132">
        <v>79.989999999999995</v>
      </c>
      <c r="U132">
        <v>1</v>
      </c>
      <c r="V132">
        <v>0</v>
      </c>
      <c r="W132">
        <v>28.8</v>
      </c>
      <c r="X132">
        <v>5.44</v>
      </c>
      <c r="Y132" t="s">
        <v>61</v>
      </c>
      <c r="Z132">
        <f>Superstore_Sales[[#This Row],[Sales]]*Superstore_Sales[[#This Row],[Quantity]]</f>
        <v>79.989999999999995</v>
      </c>
      <c r="AA132" s="3">
        <f>Superstore_Sales[[#This Row],[TotalSales]]*Superstore_Sales[[#This Row],[Discount]]/100</f>
        <v>0</v>
      </c>
      <c r="AB132" s="2">
        <f>Superstore_Sales[[#This Row],[TotalSales]]-Superstore_Sales[[#This Row],[Dis_amt]]-Superstore_Sales[[#This Row],[Shipping Cost]]</f>
        <v>74.55</v>
      </c>
    </row>
    <row r="133" spans="1:28" x14ac:dyDescent="0.35">
      <c r="A133">
        <v>22488</v>
      </c>
      <c r="B133" t="s">
        <v>860</v>
      </c>
      <c r="C133" s="1">
        <v>41878</v>
      </c>
      <c r="D133" s="1">
        <v>41880</v>
      </c>
      <c r="E133">
        <f>Superstore_Sales[[#This Row],[Ship Date]]-Superstore_Sales[[#This Row],[Order Date]]</f>
        <v>2</v>
      </c>
      <c r="F133" t="s">
        <v>40</v>
      </c>
      <c r="G133" t="s">
        <v>861</v>
      </c>
      <c r="H133" t="s">
        <v>862</v>
      </c>
      <c r="I133" t="s">
        <v>65</v>
      </c>
      <c r="K133" t="s">
        <v>57</v>
      </c>
      <c r="L133" t="s">
        <v>58</v>
      </c>
      <c r="M133" t="s">
        <v>46</v>
      </c>
      <c r="N133" t="s">
        <v>47</v>
      </c>
      <c r="O133" t="s">
        <v>48</v>
      </c>
      <c r="P133" t="s">
        <v>863</v>
      </c>
      <c r="Q133" t="s">
        <v>50</v>
      </c>
      <c r="R133" t="s">
        <v>336</v>
      </c>
      <c r="S133" t="s">
        <v>864</v>
      </c>
      <c r="T133">
        <v>2760.35</v>
      </c>
      <c r="U133">
        <v>7</v>
      </c>
      <c r="V133">
        <v>0.1</v>
      </c>
      <c r="W133">
        <v>-214.73</v>
      </c>
      <c r="X133">
        <v>475.34</v>
      </c>
      <c r="Y133" t="s">
        <v>38</v>
      </c>
      <c r="Z133">
        <f>Superstore_Sales[[#This Row],[Sales]]*Superstore_Sales[[#This Row],[Quantity]]</f>
        <v>19322.45</v>
      </c>
      <c r="AA133" s="3">
        <f>Superstore_Sales[[#This Row],[TotalSales]]*Superstore_Sales[[#This Row],[Discount]]/100</f>
        <v>19.32245</v>
      </c>
      <c r="AB133" s="2">
        <f>Superstore_Sales[[#This Row],[TotalSales]]-Superstore_Sales[[#This Row],[Dis_amt]]-Superstore_Sales[[#This Row],[Shipping Cost]]</f>
        <v>18827.787550000001</v>
      </c>
    </row>
    <row r="134" spans="1:28" x14ac:dyDescent="0.35">
      <c r="A134">
        <v>25678</v>
      </c>
      <c r="B134" t="s">
        <v>865</v>
      </c>
      <c r="C134" s="1">
        <v>41041</v>
      </c>
      <c r="D134" s="1">
        <v>41045</v>
      </c>
      <c r="E134">
        <f>Superstore_Sales[[#This Row],[Ship Date]]-Superstore_Sales[[#This Row],[Order Date]]</f>
        <v>4</v>
      </c>
      <c r="F134" t="s">
        <v>98</v>
      </c>
      <c r="G134" t="s">
        <v>866</v>
      </c>
      <c r="H134" t="s">
        <v>614</v>
      </c>
      <c r="I134" t="s">
        <v>43</v>
      </c>
      <c r="K134" t="s">
        <v>423</v>
      </c>
      <c r="L134" t="s">
        <v>423</v>
      </c>
      <c r="M134" t="s">
        <v>424</v>
      </c>
      <c r="N134" t="s">
        <v>118</v>
      </c>
      <c r="O134" t="s">
        <v>48</v>
      </c>
      <c r="P134" t="s">
        <v>867</v>
      </c>
      <c r="Q134" t="s">
        <v>35</v>
      </c>
      <c r="R134" t="s">
        <v>304</v>
      </c>
      <c r="S134" t="s">
        <v>868</v>
      </c>
      <c r="T134">
        <v>3078.72</v>
      </c>
      <c r="U134">
        <v>12</v>
      </c>
      <c r="V134">
        <v>0</v>
      </c>
      <c r="W134">
        <v>523.08000000000004</v>
      </c>
      <c r="X134">
        <v>474.44</v>
      </c>
      <c r="Y134" t="s">
        <v>38</v>
      </c>
      <c r="Z134">
        <f>Superstore_Sales[[#This Row],[Sales]]*Superstore_Sales[[#This Row],[Quantity]]</f>
        <v>36944.639999999999</v>
      </c>
      <c r="AA134" s="3">
        <f>Superstore_Sales[[#This Row],[TotalSales]]*Superstore_Sales[[#This Row],[Discount]]/100</f>
        <v>0</v>
      </c>
      <c r="AB134" s="2">
        <f>Superstore_Sales[[#This Row],[TotalSales]]-Superstore_Sales[[#This Row],[Dis_amt]]-Superstore_Sales[[#This Row],[Shipping Cost]]</f>
        <v>36470.199999999997</v>
      </c>
    </row>
    <row r="135" spans="1:28" x14ac:dyDescent="0.35">
      <c r="A135">
        <v>15376</v>
      </c>
      <c r="B135" t="s">
        <v>869</v>
      </c>
      <c r="C135" s="1">
        <v>41215</v>
      </c>
      <c r="D135" s="1">
        <v>41218</v>
      </c>
      <c r="E135">
        <f>Superstore_Sales[[#This Row],[Ship Date]]-Superstore_Sales[[#This Row],[Order Date]]</f>
        <v>3</v>
      </c>
      <c r="F135" t="s">
        <v>25</v>
      </c>
      <c r="G135" t="s">
        <v>870</v>
      </c>
      <c r="H135" t="s">
        <v>871</v>
      </c>
      <c r="I135" t="s">
        <v>28</v>
      </c>
      <c r="K135" t="s">
        <v>872</v>
      </c>
      <c r="L135" t="s">
        <v>873</v>
      </c>
      <c r="M135" t="s">
        <v>690</v>
      </c>
      <c r="N135" t="s">
        <v>68</v>
      </c>
      <c r="O135" t="s">
        <v>69</v>
      </c>
      <c r="P135" t="s">
        <v>581</v>
      </c>
      <c r="Q135" t="s">
        <v>147</v>
      </c>
      <c r="R135" t="s">
        <v>148</v>
      </c>
      <c r="S135" t="s">
        <v>582</v>
      </c>
      <c r="T135">
        <v>1983.14</v>
      </c>
      <c r="U135">
        <v>7</v>
      </c>
      <c r="V135">
        <v>0.5</v>
      </c>
      <c r="W135">
        <v>-1784.9</v>
      </c>
      <c r="X135">
        <v>473.27</v>
      </c>
      <c r="Y135" t="s">
        <v>38</v>
      </c>
      <c r="Z135">
        <f>Superstore_Sales[[#This Row],[Sales]]*Superstore_Sales[[#This Row],[Quantity]]</f>
        <v>13881.980000000001</v>
      </c>
      <c r="AA135" s="3">
        <f>Superstore_Sales[[#This Row],[TotalSales]]*Superstore_Sales[[#This Row],[Discount]]/100</f>
        <v>69.409900000000007</v>
      </c>
      <c r="AB135" s="2">
        <f>Superstore_Sales[[#This Row],[TotalSales]]-Superstore_Sales[[#This Row],[Dis_amt]]-Superstore_Sales[[#This Row],[Shipping Cost]]</f>
        <v>13339.3001</v>
      </c>
    </row>
    <row r="136" spans="1:28" x14ac:dyDescent="0.35">
      <c r="A136">
        <v>15162</v>
      </c>
      <c r="B136" t="s">
        <v>874</v>
      </c>
      <c r="C136" s="1">
        <v>42218</v>
      </c>
      <c r="D136" s="1">
        <v>42219</v>
      </c>
      <c r="E136">
        <f>Superstore_Sales[[#This Row],[Ship Date]]-Superstore_Sales[[#This Row],[Order Date]]</f>
        <v>1</v>
      </c>
      <c r="F136" t="s">
        <v>25</v>
      </c>
      <c r="G136" t="s">
        <v>875</v>
      </c>
      <c r="H136" t="s">
        <v>876</v>
      </c>
      <c r="I136" t="s">
        <v>28</v>
      </c>
      <c r="K136" t="s">
        <v>877</v>
      </c>
      <c r="L136" t="s">
        <v>878</v>
      </c>
      <c r="M136" t="s">
        <v>155</v>
      </c>
      <c r="N136" t="s">
        <v>68</v>
      </c>
      <c r="O136" t="s">
        <v>69</v>
      </c>
      <c r="P136" t="s">
        <v>879</v>
      </c>
      <c r="Q136" t="s">
        <v>50</v>
      </c>
      <c r="R136" t="s">
        <v>336</v>
      </c>
      <c r="S136" t="s">
        <v>880</v>
      </c>
      <c r="T136">
        <v>1112.78</v>
      </c>
      <c r="U136">
        <v>3</v>
      </c>
      <c r="V136">
        <v>0.1</v>
      </c>
      <c r="W136">
        <v>296.66000000000003</v>
      </c>
      <c r="X136">
        <v>472</v>
      </c>
      <c r="Y136" t="s">
        <v>53</v>
      </c>
      <c r="Z136">
        <f>Superstore_Sales[[#This Row],[Sales]]*Superstore_Sales[[#This Row],[Quantity]]</f>
        <v>3338.34</v>
      </c>
      <c r="AA136" s="3">
        <f>Superstore_Sales[[#This Row],[TotalSales]]*Superstore_Sales[[#This Row],[Discount]]/100</f>
        <v>3.3383400000000005</v>
      </c>
      <c r="AB136" s="2">
        <f>Superstore_Sales[[#This Row],[TotalSales]]-Superstore_Sales[[#This Row],[Dis_amt]]-Superstore_Sales[[#This Row],[Shipping Cost]]</f>
        <v>2863.0016600000004</v>
      </c>
    </row>
    <row r="137" spans="1:28" x14ac:dyDescent="0.35">
      <c r="A137">
        <v>18899</v>
      </c>
      <c r="B137" t="s">
        <v>881</v>
      </c>
      <c r="C137" s="1">
        <v>41171</v>
      </c>
      <c r="D137" s="1">
        <v>41173</v>
      </c>
      <c r="E137">
        <f>Superstore_Sales[[#This Row],[Ship Date]]-Superstore_Sales[[#This Row],[Order Date]]</f>
        <v>2</v>
      </c>
      <c r="F137" t="s">
        <v>40</v>
      </c>
      <c r="G137" t="s">
        <v>882</v>
      </c>
      <c r="H137" t="s">
        <v>684</v>
      </c>
      <c r="I137" t="s">
        <v>28</v>
      </c>
      <c r="K137" t="s">
        <v>883</v>
      </c>
      <c r="L137" t="s">
        <v>527</v>
      </c>
      <c r="M137" t="s">
        <v>67</v>
      </c>
      <c r="N137" t="s">
        <v>68</v>
      </c>
      <c r="O137" t="s">
        <v>69</v>
      </c>
      <c r="P137" t="s">
        <v>884</v>
      </c>
      <c r="Q137" t="s">
        <v>35</v>
      </c>
      <c r="R137" t="s">
        <v>81</v>
      </c>
      <c r="S137" t="s">
        <v>885</v>
      </c>
      <c r="T137">
        <v>3616.5</v>
      </c>
      <c r="U137">
        <v>10</v>
      </c>
      <c r="V137">
        <v>0</v>
      </c>
      <c r="W137">
        <v>36</v>
      </c>
      <c r="X137">
        <v>471.92</v>
      </c>
      <c r="Y137" t="s">
        <v>53</v>
      </c>
      <c r="Z137">
        <f>Superstore_Sales[[#This Row],[Sales]]*Superstore_Sales[[#This Row],[Quantity]]</f>
        <v>36165</v>
      </c>
      <c r="AA137" s="3">
        <f>Superstore_Sales[[#This Row],[TotalSales]]*Superstore_Sales[[#This Row],[Discount]]/100</f>
        <v>0</v>
      </c>
      <c r="AB137" s="2">
        <f>Superstore_Sales[[#This Row],[TotalSales]]-Superstore_Sales[[#This Row],[Dis_amt]]-Superstore_Sales[[#This Row],[Shipping Cost]]</f>
        <v>35693.08</v>
      </c>
    </row>
    <row r="138" spans="1:28" x14ac:dyDescent="0.35">
      <c r="A138">
        <v>24160</v>
      </c>
      <c r="B138" t="s">
        <v>886</v>
      </c>
      <c r="C138" s="1">
        <v>41709</v>
      </c>
      <c r="D138" s="1">
        <v>41713</v>
      </c>
      <c r="E138">
        <f>Superstore_Sales[[#This Row],[Ship Date]]-Superstore_Sales[[#This Row],[Order Date]]</f>
        <v>4</v>
      </c>
      <c r="F138" t="s">
        <v>98</v>
      </c>
      <c r="G138" t="s">
        <v>887</v>
      </c>
      <c r="H138" t="s">
        <v>888</v>
      </c>
      <c r="I138" t="s">
        <v>28</v>
      </c>
      <c r="K138" t="s">
        <v>644</v>
      </c>
      <c r="L138" t="s">
        <v>417</v>
      </c>
      <c r="M138" t="s">
        <v>46</v>
      </c>
      <c r="N138" t="s">
        <v>47</v>
      </c>
      <c r="O138" t="s">
        <v>48</v>
      </c>
      <c r="P138" t="s">
        <v>221</v>
      </c>
      <c r="Q138" t="s">
        <v>35</v>
      </c>
      <c r="R138" t="s">
        <v>36</v>
      </c>
      <c r="S138" t="s">
        <v>222</v>
      </c>
      <c r="T138">
        <v>2892.11</v>
      </c>
      <c r="U138">
        <v>5</v>
      </c>
      <c r="V138">
        <v>0.1</v>
      </c>
      <c r="W138">
        <v>160.61000000000001</v>
      </c>
      <c r="X138">
        <v>470.29</v>
      </c>
      <c r="Y138" t="s">
        <v>38</v>
      </c>
      <c r="Z138">
        <f>Superstore_Sales[[#This Row],[Sales]]*Superstore_Sales[[#This Row],[Quantity]]</f>
        <v>14460.550000000001</v>
      </c>
      <c r="AA138" s="3">
        <f>Superstore_Sales[[#This Row],[TotalSales]]*Superstore_Sales[[#This Row],[Discount]]/100</f>
        <v>14.460550000000003</v>
      </c>
      <c r="AB138" s="2">
        <f>Superstore_Sales[[#This Row],[TotalSales]]-Superstore_Sales[[#This Row],[Dis_amt]]-Superstore_Sales[[#This Row],[Shipping Cost]]</f>
        <v>13975.79945</v>
      </c>
    </row>
    <row r="139" spans="1:28" x14ac:dyDescent="0.35">
      <c r="A139">
        <v>15812</v>
      </c>
      <c r="B139" t="s">
        <v>889</v>
      </c>
      <c r="C139" s="1">
        <v>41306</v>
      </c>
      <c r="D139" s="1">
        <v>41309</v>
      </c>
      <c r="E139">
        <f>Superstore_Sales[[#This Row],[Ship Date]]-Superstore_Sales[[#This Row],[Order Date]]</f>
        <v>3</v>
      </c>
      <c r="F139" t="s">
        <v>25</v>
      </c>
      <c r="G139" t="s">
        <v>890</v>
      </c>
      <c r="H139" t="s">
        <v>377</v>
      </c>
      <c r="I139" t="s">
        <v>28</v>
      </c>
      <c r="K139" t="s">
        <v>891</v>
      </c>
      <c r="L139" t="s">
        <v>891</v>
      </c>
      <c r="M139" t="s">
        <v>67</v>
      </c>
      <c r="N139" t="s">
        <v>68</v>
      </c>
      <c r="O139" t="s">
        <v>69</v>
      </c>
      <c r="P139" t="s">
        <v>645</v>
      </c>
      <c r="Q139" t="s">
        <v>35</v>
      </c>
      <c r="R139" t="s">
        <v>36</v>
      </c>
      <c r="S139" t="s">
        <v>646</v>
      </c>
      <c r="T139">
        <v>3263.4</v>
      </c>
      <c r="U139">
        <v>5</v>
      </c>
      <c r="V139">
        <v>0</v>
      </c>
      <c r="W139">
        <v>848.4</v>
      </c>
      <c r="X139">
        <v>469.29</v>
      </c>
      <c r="Y139" t="s">
        <v>38</v>
      </c>
      <c r="Z139">
        <f>Superstore_Sales[[#This Row],[Sales]]*Superstore_Sales[[#This Row],[Quantity]]</f>
        <v>16317</v>
      </c>
      <c r="AA139" s="3">
        <f>Superstore_Sales[[#This Row],[TotalSales]]*Superstore_Sales[[#This Row],[Discount]]/100</f>
        <v>0</v>
      </c>
      <c r="AB139" s="2">
        <f>Superstore_Sales[[#This Row],[TotalSales]]-Superstore_Sales[[#This Row],[Dis_amt]]-Superstore_Sales[[#This Row],[Shipping Cost]]</f>
        <v>15847.71</v>
      </c>
    </row>
    <row r="140" spans="1:28" x14ac:dyDescent="0.35">
      <c r="A140">
        <v>6449</v>
      </c>
      <c r="B140" t="s">
        <v>892</v>
      </c>
      <c r="C140" s="1">
        <v>42103</v>
      </c>
      <c r="D140" s="1">
        <v>42107</v>
      </c>
      <c r="E140">
        <f>Superstore_Sales[[#This Row],[Ship Date]]-Superstore_Sales[[#This Row],[Order Date]]</f>
        <v>4</v>
      </c>
      <c r="F140" t="s">
        <v>98</v>
      </c>
      <c r="G140" t="s">
        <v>893</v>
      </c>
      <c r="H140" t="s">
        <v>894</v>
      </c>
      <c r="I140" t="s">
        <v>43</v>
      </c>
      <c r="K140" t="s">
        <v>895</v>
      </c>
      <c r="L140" t="s">
        <v>896</v>
      </c>
      <c r="M140" t="s">
        <v>896</v>
      </c>
      <c r="N140" t="s">
        <v>220</v>
      </c>
      <c r="O140" t="s">
        <v>136</v>
      </c>
      <c r="P140" t="s">
        <v>897</v>
      </c>
      <c r="Q140" t="s">
        <v>50</v>
      </c>
      <c r="R140" t="s">
        <v>104</v>
      </c>
      <c r="S140" t="s">
        <v>898</v>
      </c>
      <c r="T140">
        <v>3117.09</v>
      </c>
      <c r="U140">
        <v>13</v>
      </c>
      <c r="V140">
        <v>0.2</v>
      </c>
      <c r="W140">
        <v>38.950000000000003</v>
      </c>
      <c r="X140">
        <v>466.70299999999997</v>
      </c>
      <c r="Y140" t="s">
        <v>38</v>
      </c>
      <c r="Z140">
        <f>Superstore_Sales[[#This Row],[Sales]]*Superstore_Sales[[#This Row],[Quantity]]</f>
        <v>40522.17</v>
      </c>
      <c r="AA140" s="3">
        <f>Superstore_Sales[[#This Row],[TotalSales]]*Superstore_Sales[[#This Row],[Discount]]/100</f>
        <v>81.044340000000005</v>
      </c>
      <c r="AB140" s="2">
        <f>Superstore_Sales[[#This Row],[TotalSales]]-Superstore_Sales[[#This Row],[Dis_amt]]-Superstore_Sales[[#This Row],[Shipping Cost]]</f>
        <v>39974.422659999997</v>
      </c>
    </row>
    <row r="141" spans="1:28" x14ac:dyDescent="0.35">
      <c r="A141">
        <v>32472</v>
      </c>
      <c r="B141" t="s">
        <v>899</v>
      </c>
      <c r="C141" s="1">
        <v>41881</v>
      </c>
      <c r="D141" s="1">
        <v>41886</v>
      </c>
      <c r="E141">
        <f>Superstore_Sales[[#This Row],[Ship Date]]-Superstore_Sales[[#This Row],[Order Date]]</f>
        <v>5</v>
      </c>
      <c r="F141" t="s">
        <v>98</v>
      </c>
      <c r="G141" t="s">
        <v>750</v>
      </c>
      <c r="H141" t="s">
        <v>676</v>
      </c>
      <c r="I141" t="s">
        <v>65</v>
      </c>
      <c r="J141">
        <v>3301</v>
      </c>
      <c r="K141" t="s">
        <v>900</v>
      </c>
      <c r="L141" t="s">
        <v>901</v>
      </c>
      <c r="M141" t="s">
        <v>31</v>
      </c>
      <c r="N141" t="s">
        <v>249</v>
      </c>
      <c r="O141" t="s">
        <v>33</v>
      </c>
      <c r="P141" t="s">
        <v>902</v>
      </c>
      <c r="Q141" t="s">
        <v>147</v>
      </c>
      <c r="R141" t="s">
        <v>903</v>
      </c>
      <c r="S141" t="s">
        <v>904</v>
      </c>
      <c r="T141">
        <v>27.93</v>
      </c>
      <c r="U141">
        <v>3</v>
      </c>
      <c r="V141">
        <v>0</v>
      </c>
      <c r="W141">
        <v>8.1</v>
      </c>
      <c r="X141">
        <v>2.16</v>
      </c>
      <c r="Y141" t="s">
        <v>61</v>
      </c>
      <c r="Z141">
        <f>Superstore_Sales[[#This Row],[Sales]]*Superstore_Sales[[#This Row],[Quantity]]</f>
        <v>83.789999999999992</v>
      </c>
      <c r="AA141" s="3">
        <f>Superstore_Sales[[#This Row],[TotalSales]]*Superstore_Sales[[#This Row],[Discount]]/100</f>
        <v>0</v>
      </c>
      <c r="AB141" s="2">
        <f>Superstore_Sales[[#This Row],[TotalSales]]-Superstore_Sales[[#This Row],[Dis_amt]]-Superstore_Sales[[#This Row],[Shipping Cost]]</f>
        <v>81.63</v>
      </c>
    </row>
    <row r="142" spans="1:28" x14ac:dyDescent="0.35">
      <c r="A142">
        <v>4394</v>
      </c>
      <c r="B142" t="s">
        <v>905</v>
      </c>
      <c r="C142" s="1">
        <v>42082</v>
      </c>
      <c r="D142" s="1">
        <v>42084</v>
      </c>
      <c r="E142">
        <f>Superstore_Sales[[#This Row],[Ship Date]]-Superstore_Sales[[#This Row],[Order Date]]</f>
        <v>2</v>
      </c>
      <c r="F142" t="s">
        <v>25</v>
      </c>
      <c r="G142" t="s">
        <v>906</v>
      </c>
      <c r="H142" t="s">
        <v>907</v>
      </c>
      <c r="I142" t="s">
        <v>65</v>
      </c>
      <c r="K142" t="s">
        <v>908</v>
      </c>
      <c r="L142" t="s">
        <v>909</v>
      </c>
      <c r="M142" t="s">
        <v>219</v>
      </c>
      <c r="N142" t="s">
        <v>220</v>
      </c>
      <c r="O142" t="s">
        <v>136</v>
      </c>
      <c r="P142" t="s">
        <v>581</v>
      </c>
      <c r="Q142" t="s">
        <v>147</v>
      </c>
      <c r="R142" t="s">
        <v>148</v>
      </c>
      <c r="S142" t="s">
        <v>582</v>
      </c>
      <c r="T142">
        <v>1888.7</v>
      </c>
      <c r="U142">
        <v>5</v>
      </c>
      <c r="V142">
        <v>0</v>
      </c>
      <c r="W142">
        <v>887.6</v>
      </c>
      <c r="X142">
        <v>465.91800000000001</v>
      </c>
      <c r="Y142" t="s">
        <v>38</v>
      </c>
      <c r="Z142">
        <f>Superstore_Sales[[#This Row],[Sales]]*Superstore_Sales[[#This Row],[Quantity]]</f>
        <v>9443.5</v>
      </c>
      <c r="AA142" s="3">
        <f>Superstore_Sales[[#This Row],[TotalSales]]*Superstore_Sales[[#This Row],[Discount]]/100</f>
        <v>0</v>
      </c>
      <c r="AB142" s="2">
        <f>Superstore_Sales[[#This Row],[TotalSales]]-Superstore_Sales[[#This Row],[Dis_amt]]-Superstore_Sales[[#This Row],[Shipping Cost]]</f>
        <v>8977.5820000000003</v>
      </c>
    </row>
    <row r="143" spans="1:28" x14ac:dyDescent="0.35">
      <c r="A143">
        <v>22058</v>
      </c>
      <c r="B143" t="s">
        <v>910</v>
      </c>
      <c r="C143" s="1">
        <v>41914</v>
      </c>
      <c r="D143" s="1">
        <v>41916</v>
      </c>
      <c r="E143">
        <f>Superstore_Sales[[#This Row],[Ship Date]]-Superstore_Sales[[#This Row],[Order Date]]</f>
        <v>2</v>
      </c>
      <c r="F143" t="s">
        <v>25</v>
      </c>
      <c r="G143" t="s">
        <v>911</v>
      </c>
      <c r="H143" t="s">
        <v>912</v>
      </c>
      <c r="I143" t="s">
        <v>28</v>
      </c>
      <c r="K143" t="s">
        <v>913</v>
      </c>
      <c r="L143" t="s">
        <v>914</v>
      </c>
      <c r="M143" t="s">
        <v>144</v>
      </c>
      <c r="N143" t="s">
        <v>145</v>
      </c>
      <c r="O143" t="s">
        <v>48</v>
      </c>
      <c r="P143" t="s">
        <v>915</v>
      </c>
      <c r="Q143" t="s">
        <v>147</v>
      </c>
      <c r="R143" t="s">
        <v>148</v>
      </c>
      <c r="S143" t="s">
        <v>916</v>
      </c>
      <c r="T143">
        <v>3000.78</v>
      </c>
      <c r="U143">
        <v>6</v>
      </c>
      <c r="V143">
        <v>0</v>
      </c>
      <c r="W143">
        <v>1080.18</v>
      </c>
      <c r="X143">
        <v>465.63</v>
      </c>
      <c r="Y143" t="s">
        <v>38</v>
      </c>
      <c r="Z143">
        <f>Superstore_Sales[[#This Row],[Sales]]*Superstore_Sales[[#This Row],[Quantity]]</f>
        <v>18004.68</v>
      </c>
      <c r="AA143" s="3">
        <f>Superstore_Sales[[#This Row],[TotalSales]]*Superstore_Sales[[#This Row],[Discount]]/100</f>
        <v>0</v>
      </c>
      <c r="AB143" s="2">
        <f>Superstore_Sales[[#This Row],[TotalSales]]-Superstore_Sales[[#This Row],[Dis_amt]]-Superstore_Sales[[#This Row],[Shipping Cost]]</f>
        <v>17539.05</v>
      </c>
    </row>
    <row r="144" spans="1:28" x14ac:dyDescent="0.35">
      <c r="A144">
        <v>19833</v>
      </c>
      <c r="B144" t="s">
        <v>917</v>
      </c>
      <c r="C144" s="1">
        <v>41651</v>
      </c>
      <c r="D144" s="1">
        <v>41654</v>
      </c>
      <c r="E144">
        <f>Superstore_Sales[[#This Row],[Ship Date]]-Superstore_Sales[[#This Row],[Order Date]]</f>
        <v>3</v>
      </c>
      <c r="F144" t="s">
        <v>25</v>
      </c>
      <c r="G144" t="s">
        <v>918</v>
      </c>
      <c r="H144" t="s">
        <v>919</v>
      </c>
      <c r="I144" t="s">
        <v>43</v>
      </c>
      <c r="K144" t="s">
        <v>920</v>
      </c>
      <c r="L144" t="s">
        <v>920</v>
      </c>
      <c r="M144" t="s">
        <v>463</v>
      </c>
      <c r="N144" t="s">
        <v>171</v>
      </c>
      <c r="O144" t="s">
        <v>69</v>
      </c>
      <c r="P144" t="s">
        <v>921</v>
      </c>
      <c r="Q144" t="s">
        <v>147</v>
      </c>
      <c r="R144" t="s">
        <v>148</v>
      </c>
      <c r="S144" t="s">
        <v>922</v>
      </c>
      <c r="T144">
        <v>3801.63</v>
      </c>
      <c r="U144">
        <v>7</v>
      </c>
      <c r="V144">
        <v>0</v>
      </c>
      <c r="W144">
        <v>1444.59</v>
      </c>
      <c r="X144">
        <v>465.02</v>
      </c>
      <c r="Y144" t="s">
        <v>61</v>
      </c>
      <c r="Z144">
        <f>Superstore_Sales[[#This Row],[Sales]]*Superstore_Sales[[#This Row],[Quantity]]</f>
        <v>26611.41</v>
      </c>
      <c r="AA144" s="3">
        <f>Superstore_Sales[[#This Row],[TotalSales]]*Superstore_Sales[[#This Row],[Discount]]/100</f>
        <v>0</v>
      </c>
      <c r="AB144" s="2">
        <f>Superstore_Sales[[#This Row],[TotalSales]]-Superstore_Sales[[#This Row],[Dis_amt]]-Superstore_Sales[[#This Row],[Shipping Cost]]</f>
        <v>26146.39</v>
      </c>
    </row>
    <row r="145" spans="1:28" x14ac:dyDescent="0.35">
      <c r="A145">
        <v>45807</v>
      </c>
      <c r="B145" t="s">
        <v>923</v>
      </c>
      <c r="C145" s="1">
        <v>42236</v>
      </c>
      <c r="D145" s="1">
        <v>42241</v>
      </c>
      <c r="E145">
        <f>Superstore_Sales[[#This Row],[Ship Date]]-Superstore_Sales[[#This Row],[Order Date]]</f>
        <v>5</v>
      </c>
      <c r="F145" t="s">
        <v>98</v>
      </c>
      <c r="G145" t="s">
        <v>924</v>
      </c>
      <c r="H145" t="s">
        <v>925</v>
      </c>
      <c r="I145" t="s">
        <v>28</v>
      </c>
      <c r="K145" t="s">
        <v>926</v>
      </c>
      <c r="L145" t="s">
        <v>927</v>
      </c>
      <c r="M145" t="s">
        <v>125</v>
      </c>
      <c r="N145" t="s">
        <v>126</v>
      </c>
      <c r="O145" t="s">
        <v>48</v>
      </c>
      <c r="P145" t="s">
        <v>645</v>
      </c>
      <c r="Q145" t="s">
        <v>35</v>
      </c>
      <c r="R145" t="s">
        <v>36</v>
      </c>
      <c r="S145" t="s">
        <v>646</v>
      </c>
      <c r="T145">
        <v>5211.12</v>
      </c>
      <c r="U145">
        <v>8</v>
      </c>
      <c r="V145">
        <v>0</v>
      </c>
      <c r="W145">
        <v>1146.24</v>
      </c>
      <c r="X145">
        <v>463.98</v>
      </c>
      <c r="Y145" t="s">
        <v>61</v>
      </c>
      <c r="Z145">
        <f>Superstore_Sales[[#This Row],[Sales]]*Superstore_Sales[[#This Row],[Quantity]]</f>
        <v>41688.959999999999</v>
      </c>
      <c r="AA145" s="3">
        <f>Superstore_Sales[[#This Row],[TotalSales]]*Superstore_Sales[[#This Row],[Discount]]/100</f>
        <v>0</v>
      </c>
      <c r="AB145" s="2">
        <f>Superstore_Sales[[#This Row],[TotalSales]]-Superstore_Sales[[#This Row],[Dis_amt]]-Superstore_Sales[[#This Row],[Shipping Cost]]</f>
        <v>41224.979999999996</v>
      </c>
    </row>
    <row r="146" spans="1:28" x14ac:dyDescent="0.35">
      <c r="A146">
        <v>29484</v>
      </c>
      <c r="B146" t="s">
        <v>928</v>
      </c>
      <c r="C146" s="1">
        <v>42077</v>
      </c>
      <c r="D146" s="1">
        <v>42081</v>
      </c>
      <c r="E146">
        <f>Superstore_Sales[[#This Row],[Ship Date]]-Superstore_Sales[[#This Row],[Order Date]]</f>
        <v>4</v>
      </c>
      <c r="F146" t="s">
        <v>98</v>
      </c>
      <c r="G146" t="s">
        <v>929</v>
      </c>
      <c r="H146" t="s">
        <v>930</v>
      </c>
      <c r="I146" t="s">
        <v>28</v>
      </c>
      <c r="K146" t="s">
        <v>741</v>
      </c>
      <c r="L146" t="s">
        <v>742</v>
      </c>
      <c r="M146" t="s">
        <v>46</v>
      </c>
      <c r="N146" t="s">
        <v>47</v>
      </c>
      <c r="O146" t="s">
        <v>48</v>
      </c>
      <c r="P146" t="s">
        <v>581</v>
      </c>
      <c r="Q146" t="s">
        <v>147</v>
      </c>
      <c r="R146" t="s">
        <v>148</v>
      </c>
      <c r="S146" t="s">
        <v>582</v>
      </c>
      <c r="T146">
        <v>3569.64</v>
      </c>
      <c r="U146">
        <v>7</v>
      </c>
      <c r="V146">
        <v>0.1</v>
      </c>
      <c r="W146">
        <v>674.16</v>
      </c>
      <c r="X146">
        <v>458.54</v>
      </c>
      <c r="Y146" t="s">
        <v>38</v>
      </c>
      <c r="Z146">
        <f>Superstore_Sales[[#This Row],[Sales]]*Superstore_Sales[[#This Row],[Quantity]]</f>
        <v>24987.48</v>
      </c>
      <c r="AA146" s="3">
        <f>Superstore_Sales[[#This Row],[TotalSales]]*Superstore_Sales[[#This Row],[Discount]]/100</f>
        <v>24.987480000000001</v>
      </c>
      <c r="AB146" s="2">
        <f>Superstore_Sales[[#This Row],[TotalSales]]-Superstore_Sales[[#This Row],[Dis_amt]]-Superstore_Sales[[#This Row],[Shipping Cost]]</f>
        <v>24503.952519999999</v>
      </c>
    </row>
    <row r="147" spans="1:28" x14ac:dyDescent="0.35">
      <c r="A147">
        <v>36347</v>
      </c>
      <c r="B147" t="s">
        <v>931</v>
      </c>
      <c r="C147" s="1">
        <v>41535</v>
      </c>
      <c r="D147" s="1">
        <v>41541</v>
      </c>
      <c r="E147">
        <f>Superstore_Sales[[#This Row],[Ship Date]]-Superstore_Sales[[#This Row],[Order Date]]</f>
        <v>6</v>
      </c>
      <c r="F147" t="s">
        <v>98</v>
      </c>
      <c r="G147" t="s">
        <v>746</v>
      </c>
      <c r="H147" t="s">
        <v>676</v>
      </c>
      <c r="I147" t="s">
        <v>65</v>
      </c>
      <c r="J147">
        <v>98198</v>
      </c>
      <c r="K147" t="s">
        <v>932</v>
      </c>
      <c r="L147" t="s">
        <v>109</v>
      </c>
      <c r="M147" t="s">
        <v>31</v>
      </c>
      <c r="N147" t="s">
        <v>110</v>
      </c>
      <c r="O147" t="s">
        <v>33</v>
      </c>
      <c r="P147" t="s">
        <v>933</v>
      </c>
      <c r="Q147" t="s">
        <v>147</v>
      </c>
      <c r="R147" t="s">
        <v>672</v>
      </c>
      <c r="S147" t="s">
        <v>934</v>
      </c>
      <c r="T147">
        <v>18.54</v>
      </c>
      <c r="U147">
        <v>2</v>
      </c>
      <c r="V147">
        <v>0</v>
      </c>
      <c r="W147">
        <v>8.7100000000000009</v>
      </c>
      <c r="X147">
        <v>1.69</v>
      </c>
      <c r="Y147" t="s">
        <v>61</v>
      </c>
      <c r="Z147">
        <f>Superstore_Sales[[#This Row],[Sales]]*Superstore_Sales[[#This Row],[Quantity]]</f>
        <v>37.08</v>
      </c>
      <c r="AA147" s="3">
        <f>Superstore_Sales[[#This Row],[TotalSales]]*Superstore_Sales[[#This Row],[Discount]]/100</f>
        <v>0</v>
      </c>
      <c r="AB147" s="2">
        <f>Superstore_Sales[[#This Row],[TotalSales]]-Superstore_Sales[[#This Row],[Dis_amt]]-Superstore_Sales[[#This Row],[Shipping Cost]]</f>
        <v>35.39</v>
      </c>
    </row>
    <row r="148" spans="1:28" x14ac:dyDescent="0.35">
      <c r="A148">
        <v>24015</v>
      </c>
      <c r="B148" t="s">
        <v>935</v>
      </c>
      <c r="C148" s="1">
        <v>42194</v>
      </c>
      <c r="D148" s="1">
        <v>42198</v>
      </c>
      <c r="E148">
        <f>Superstore_Sales[[#This Row],[Ship Date]]-Superstore_Sales[[#This Row],[Order Date]]</f>
        <v>4</v>
      </c>
      <c r="F148" t="s">
        <v>98</v>
      </c>
      <c r="G148" t="s">
        <v>936</v>
      </c>
      <c r="H148" t="s">
        <v>937</v>
      </c>
      <c r="I148" t="s">
        <v>28</v>
      </c>
      <c r="K148" t="s">
        <v>938</v>
      </c>
      <c r="L148" t="s">
        <v>939</v>
      </c>
      <c r="M148" t="s">
        <v>321</v>
      </c>
      <c r="N148" t="s">
        <v>322</v>
      </c>
      <c r="O148" t="s">
        <v>48</v>
      </c>
      <c r="P148" t="s">
        <v>812</v>
      </c>
      <c r="Q148" t="s">
        <v>50</v>
      </c>
      <c r="R148" t="s">
        <v>336</v>
      </c>
      <c r="S148" t="s">
        <v>813</v>
      </c>
      <c r="T148">
        <v>2910.08</v>
      </c>
      <c r="U148">
        <v>8</v>
      </c>
      <c r="V148">
        <v>7.0000000000000007E-2</v>
      </c>
      <c r="W148">
        <v>125.12</v>
      </c>
      <c r="X148">
        <v>456.32</v>
      </c>
      <c r="Y148" t="s">
        <v>38</v>
      </c>
      <c r="Z148">
        <f>Superstore_Sales[[#This Row],[Sales]]*Superstore_Sales[[#This Row],[Quantity]]</f>
        <v>23280.639999999999</v>
      </c>
      <c r="AA148" s="3">
        <f>Superstore_Sales[[#This Row],[TotalSales]]*Superstore_Sales[[#This Row],[Discount]]/100</f>
        <v>16.296448000000002</v>
      </c>
      <c r="AB148" s="2">
        <f>Superstore_Sales[[#This Row],[TotalSales]]-Superstore_Sales[[#This Row],[Dis_amt]]-Superstore_Sales[[#This Row],[Shipping Cost]]</f>
        <v>22808.023551999999</v>
      </c>
    </row>
    <row r="149" spans="1:28" x14ac:dyDescent="0.35">
      <c r="A149">
        <v>20601</v>
      </c>
      <c r="B149" t="s">
        <v>940</v>
      </c>
      <c r="C149" s="1">
        <v>41801</v>
      </c>
      <c r="D149" s="1">
        <v>41805</v>
      </c>
      <c r="E149">
        <f>Superstore_Sales[[#This Row],[Ship Date]]-Superstore_Sales[[#This Row],[Order Date]]</f>
        <v>4</v>
      </c>
      <c r="F149" t="s">
        <v>98</v>
      </c>
      <c r="G149" t="s">
        <v>941</v>
      </c>
      <c r="H149" t="s">
        <v>942</v>
      </c>
      <c r="I149" t="s">
        <v>65</v>
      </c>
      <c r="K149" t="s">
        <v>943</v>
      </c>
      <c r="L149" t="s">
        <v>943</v>
      </c>
      <c r="M149" t="s">
        <v>321</v>
      </c>
      <c r="N149" t="s">
        <v>322</v>
      </c>
      <c r="O149" t="s">
        <v>48</v>
      </c>
      <c r="P149" t="s">
        <v>944</v>
      </c>
      <c r="Q149" t="s">
        <v>50</v>
      </c>
      <c r="R149" t="s">
        <v>51</v>
      </c>
      <c r="S149" t="s">
        <v>945</v>
      </c>
      <c r="T149">
        <v>3126.4</v>
      </c>
      <c r="U149">
        <v>9</v>
      </c>
      <c r="V149">
        <v>0.27</v>
      </c>
      <c r="W149">
        <v>-128.72</v>
      </c>
      <c r="X149">
        <v>455.71</v>
      </c>
      <c r="Y149" t="s">
        <v>38</v>
      </c>
      <c r="Z149">
        <f>Superstore_Sales[[#This Row],[Sales]]*Superstore_Sales[[#This Row],[Quantity]]</f>
        <v>28137.600000000002</v>
      </c>
      <c r="AA149" s="3">
        <f>Superstore_Sales[[#This Row],[TotalSales]]*Superstore_Sales[[#This Row],[Discount]]/100</f>
        <v>75.971520000000012</v>
      </c>
      <c r="AB149" s="2">
        <f>Superstore_Sales[[#This Row],[TotalSales]]-Superstore_Sales[[#This Row],[Dis_amt]]-Superstore_Sales[[#This Row],[Shipping Cost]]</f>
        <v>27605.918480000004</v>
      </c>
    </row>
    <row r="150" spans="1:28" x14ac:dyDescent="0.35">
      <c r="A150">
        <v>12051</v>
      </c>
      <c r="B150" t="s">
        <v>946</v>
      </c>
      <c r="C150" s="1">
        <v>41130</v>
      </c>
      <c r="D150" s="1">
        <v>41137</v>
      </c>
      <c r="E150">
        <f>Superstore_Sales[[#This Row],[Ship Date]]-Superstore_Sales[[#This Row],[Order Date]]</f>
        <v>7</v>
      </c>
      <c r="F150" t="s">
        <v>98</v>
      </c>
      <c r="G150" t="s">
        <v>947</v>
      </c>
      <c r="H150" t="s">
        <v>948</v>
      </c>
      <c r="I150" t="s">
        <v>28</v>
      </c>
      <c r="K150" t="s">
        <v>509</v>
      </c>
      <c r="L150" t="s">
        <v>310</v>
      </c>
      <c r="M150" t="s">
        <v>210</v>
      </c>
      <c r="N150" t="s">
        <v>211</v>
      </c>
      <c r="O150" t="s">
        <v>69</v>
      </c>
      <c r="P150" t="s">
        <v>949</v>
      </c>
      <c r="Q150" t="s">
        <v>35</v>
      </c>
      <c r="R150" t="s">
        <v>36</v>
      </c>
      <c r="S150" t="s">
        <v>950</v>
      </c>
      <c r="T150">
        <v>5276.99</v>
      </c>
      <c r="U150">
        <v>9</v>
      </c>
      <c r="V150">
        <v>0.1</v>
      </c>
      <c r="W150">
        <v>1758.89</v>
      </c>
      <c r="X150">
        <v>454.81</v>
      </c>
      <c r="Y150" t="s">
        <v>61</v>
      </c>
      <c r="Z150">
        <f>Superstore_Sales[[#This Row],[Sales]]*Superstore_Sales[[#This Row],[Quantity]]</f>
        <v>47492.909999999996</v>
      </c>
      <c r="AA150" s="3">
        <f>Superstore_Sales[[#This Row],[TotalSales]]*Superstore_Sales[[#This Row],[Discount]]/100</f>
        <v>47.492910000000002</v>
      </c>
      <c r="AB150" s="2">
        <f>Superstore_Sales[[#This Row],[TotalSales]]-Superstore_Sales[[#This Row],[Dis_amt]]-Superstore_Sales[[#This Row],[Shipping Cost]]</f>
        <v>46990.607089999998</v>
      </c>
    </row>
    <row r="151" spans="1:28" x14ac:dyDescent="0.35">
      <c r="A151">
        <v>25915</v>
      </c>
      <c r="B151" t="s">
        <v>951</v>
      </c>
      <c r="C151" s="1">
        <v>42080</v>
      </c>
      <c r="D151" s="1">
        <v>42084</v>
      </c>
      <c r="E151">
        <f>Superstore_Sales[[#This Row],[Ship Date]]-Superstore_Sales[[#This Row],[Order Date]]</f>
        <v>4</v>
      </c>
      <c r="F151" t="s">
        <v>98</v>
      </c>
      <c r="G151" t="s">
        <v>952</v>
      </c>
      <c r="H151" t="s">
        <v>953</v>
      </c>
      <c r="I151" t="s">
        <v>28</v>
      </c>
      <c r="K151" t="s">
        <v>801</v>
      </c>
      <c r="L151" t="s">
        <v>801</v>
      </c>
      <c r="M151" t="s">
        <v>802</v>
      </c>
      <c r="N151" t="s">
        <v>322</v>
      </c>
      <c r="O151" t="s">
        <v>48</v>
      </c>
      <c r="P151" t="s">
        <v>652</v>
      </c>
      <c r="Q151" t="s">
        <v>35</v>
      </c>
      <c r="R151" t="s">
        <v>36</v>
      </c>
      <c r="S151" t="s">
        <v>653</v>
      </c>
      <c r="T151">
        <v>2645.38</v>
      </c>
      <c r="U151">
        <v>5</v>
      </c>
      <c r="V151">
        <v>0.17</v>
      </c>
      <c r="W151">
        <v>-0.02</v>
      </c>
      <c r="X151">
        <v>452.6</v>
      </c>
      <c r="Y151" t="s">
        <v>38</v>
      </c>
      <c r="Z151">
        <f>Superstore_Sales[[#This Row],[Sales]]*Superstore_Sales[[#This Row],[Quantity]]</f>
        <v>13226.900000000001</v>
      </c>
      <c r="AA151" s="3">
        <f>Superstore_Sales[[#This Row],[TotalSales]]*Superstore_Sales[[#This Row],[Discount]]/100</f>
        <v>22.485730000000004</v>
      </c>
      <c r="AB151" s="2">
        <f>Superstore_Sales[[#This Row],[TotalSales]]-Superstore_Sales[[#This Row],[Dis_amt]]-Superstore_Sales[[#This Row],[Shipping Cost]]</f>
        <v>12751.814270000001</v>
      </c>
    </row>
    <row r="152" spans="1:28" x14ac:dyDescent="0.35">
      <c r="A152">
        <v>21639</v>
      </c>
      <c r="B152" t="s">
        <v>954</v>
      </c>
      <c r="C152" s="1">
        <v>41641</v>
      </c>
      <c r="D152" s="1">
        <v>41642</v>
      </c>
      <c r="E152">
        <f>Superstore_Sales[[#This Row],[Ship Date]]-Superstore_Sales[[#This Row],[Order Date]]</f>
        <v>1</v>
      </c>
      <c r="F152" t="s">
        <v>25</v>
      </c>
      <c r="G152" t="s">
        <v>955</v>
      </c>
      <c r="H152" t="s">
        <v>956</v>
      </c>
      <c r="I152" t="s">
        <v>28</v>
      </c>
      <c r="K152" t="s">
        <v>615</v>
      </c>
      <c r="L152" t="s">
        <v>45</v>
      </c>
      <c r="M152" t="s">
        <v>46</v>
      </c>
      <c r="N152" t="s">
        <v>47</v>
      </c>
      <c r="O152" t="s">
        <v>48</v>
      </c>
      <c r="P152" t="s">
        <v>736</v>
      </c>
      <c r="Q152" t="s">
        <v>50</v>
      </c>
      <c r="R152" t="s">
        <v>336</v>
      </c>
      <c r="S152" t="s">
        <v>737</v>
      </c>
      <c r="T152">
        <v>1637.01</v>
      </c>
      <c r="U152">
        <v>5</v>
      </c>
      <c r="V152">
        <v>0.1</v>
      </c>
      <c r="W152">
        <v>-36.39</v>
      </c>
      <c r="X152">
        <v>452.28</v>
      </c>
      <c r="Y152" t="s">
        <v>61</v>
      </c>
      <c r="Z152">
        <f>Superstore_Sales[[#This Row],[Sales]]*Superstore_Sales[[#This Row],[Quantity]]</f>
        <v>8185.05</v>
      </c>
      <c r="AA152" s="3">
        <f>Superstore_Sales[[#This Row],[TotalSales]]*Superstore_Sales[[#This Row],[Discount]]/100</f>
        <v>8.1850500000000004</v>
      </c>
      <c r="AB152" s="2">
        <f>Superstore_Sales[[#This Row],[TotalSales]]-Superstore_Sales[[#This Row],[Dis_amt]]-Superstore_Sales[[#This Row],[Shipping Cost]]</f>
        <v>7724.5849500000004</v>
      </c>
    </row>
    <row r="153" spans="1:28" x14ac:dyDescent="0.35">
      <c r="A153">
        <v>23229</v>
      </c>
      <c r="B153" t="s">
        <v>957</v>
      </c>
      <c r="C153" s="1">
        <v>41557</v>
      </c>
      <c r="D153" s="1">
        <v>41558</v>
      </c>
      <c r="E153">
        <f>Superstore_Sales[[#This Row],[Ship Date]]-Superstore_Sales[[#This Row],[Order Date]]</f>
        <v>1</v>
      </c>
      <c r="F153" t="s">
        <v>25</v>
      </c>
      <c r="G153" t="s">
        <v>958</v>
      </c>
      <c r="H153" t="s">
        <v>959</v>
      </c>
      <c r="I153" t="s">
        <v>28</v>
      </c>
      <c r="K153" t="s">
        <v>960</v>
      </c>
      <c r="L153" t="s">
        <v>961</v>
      </c>
      <c r="M153" t="s">
        <v>321</v>
      </c>
      <c r="N153" t="s">
        <v>322</v>
      </c>
      <c r="O153" t="s">
        <v>48</v>
      </c>
      <c r="P153" t="s">
        <v>652</v>
      </c>
      <c r="Q153" t="s">
        <v>35</v>
      </c>
      <c r="R153" t="s">
        <v>36</v>
      </c>
      <c r="S153" t="s">
        <v>653</v>
      </c>
      <c r="T153">
        <v>2645.38</v>
      </c>
      <c r="U153">
        <v>5</v>
      </c>
      <c r="V153">
        <v>0.17</v>
      </c>
      <c r="W153">
        <v>-0.02</v>
      </c>
      <c r="X153">
        <v>451.03</v>
      </c>
      <c r="Y153" t="s">
        <v>38</v>
      </c>
      <c r="Z153">
        <f>Superstore_Sales[[#This Row],[Sales]]*Superstore_Sales[[#This Row],[Quantity]]</f>
        <v>13226.900000000001</v>
      </c>
      <c r="AA153" s="3">
        <f>Superstore_Sales[[#This Row],[TotalSales]]*Superstore_Sales[[#This Row],[Discount]]/100</f>
        <v>22.485730000000004</v>
      </c>
      <c r="AB153" s="2">
        <f>Superstore_Sales[[#This Row],[TotalSales]]-Superstore_Sales[[#This Row],[Dis_amt]]-Superstore_Sales[[#This Row],[Shipping Cost]]</f>
        <v>12753.38427</v>
      </c>
    </row>
    <row r="154" spans="1:28" x14ac:dyDescent="0.35">
      <c r="A154">
        <v>20674</v>
      </c>
      <c r="B154" t="s">
        <v>962</v>
      </c>
      <c r="C154" s="1">
        <v>41076</v>
      </c>
      <c r="D154" s="1">
        <v>41078</v>
      </c>
      <c r="E154">
        <f>Superstore_Sales[[#This Row],[Ship Date]]-Superstore_Sales[[#This Row],[Order Date]]</f>
        <v>2</v>
      </c>
      <c r="F154" t="s">
        <v>25</v>
      </c>
      <c r="G154" t="s">
        <v>963</v>
      </c>
      <c r="H154" t="s">
        <v>964</v>
      </c>
      <c r="I154" t="s">
        <v>43</v>
      </c>
      <c r="K154" t="s">
        <v>965</v>
      </c>
      <c r="L154" t="s">
        <v>965</v>
      </c>
      <c r="M154" t="s">
        <v>144</v>
      </c>
      <c r="N154" t="s">
        <v>145</v>
      </c>
      <c r="O154" t="s">
        <v>48</v>
      </c>
      <c r="P154" t="s">
        <v>119</v>
      </c>
      <c r="Q154" t="s">
        <v>50</v>
      </c>
      <c r="R154" t="s">
        <v>104</v>
      </c>
      <c r="S154" t="s">
        <v>120</v>
      </c>
      <c r="T154">
        <v>3238.31</v>
      </c>
      <c r="U154">
        <v>5</v>
      </c>
      <c r="V154">
        <v>0.3</v>
      </c>
      <c r="W154">
        <v>-740.3</v>
      </c>
      <c r="X154">
        <v>449.18</v>
      </c>
      <c r="Y154" t="s">
        <v>38</v>
      </c>
      <c r="Z154">
        <f>Superstore_Sales[[#This Row],[Sales]]*Superstore_Sales[[#This Row],[Quantity]]</f>
        <v>16191.55</v>
      </c>
      <c r="AA154" s="3">
        <f>Superstore_Sales[[#This Row],[TotalSales]]*Superstore_Sales[[#This Row],[Discount]]/100</f>
        <v>48.574649999999991</v>
      </c>
      <c r="AB154" s="2">
        <f>Superstore_Sales[[#This Row],[TotalSales]]-Superstore_Sales[[#This Row],[Dis_amt]]-Superstore_Sales[[#This Row],[Shipping Cost]]</f>
        <v>15693.795349999999</v>
      </c>
    </row>
    <row r="155" spans="1:28" x14ac:dyDescent="0.35">
      <c r="A155">
        <v>11331</v>
      </c>
      <c r="B155" t="s">
        <v>966</v>
      </c>
      <c r="C155" s="1">
        <v>42097</v>
      </c>
      <c r="D155" s="1">
        <v>42099</v>
      </c>
      <c r="E155">
        <f>Superstore_Sales[[#This Row],[Ship Date]]-Superstore_Sales[[#This Row],[Order Date]]</f>
        <v>2</v>
      </c>
      <c r="F155" t="s">
        <v>25</v>
      </c>
      <c r="G155" t="s">
        <v>967</v>
      </c>
      <c r="H155" t="s">
        <v>968</v>
      </c>
      <c r="I155" t="s">
        <v>43</v>
      </c>
      <c r="K155" t="s">
        <v>509</v>
      </c>
      <c r="L155" t="s">
        <v>310</v>
      </c>
      <c r="M155" t="s">
        <v>210</v>
      </c>
      <c r="N155" t="s">
        <v>211</v>
      </c>
      <c r="O155" t="s">
        <v>69</v>
      </c>
      <c r="P155" t="s">
        <v>736</v>
      </c>
      <c r="Q155" t="s">
        <v>50</v>
      </c>
      <c r="R155" t="s">
        <v>336</v>
      </c>
      <c r="S155" t="s">
        <v>737</v>
      </c>
      <c r="T155">
        <v>2291.81</v>
      </c>
      <c r="U155">
        <v>7</v>
      </c>
      <c r="V155">
        <v>0.1</v>
      </c>
      <c r="W155">
        <v>127.13</v>
      </c>
      <c r="X155">
        <v>448.91</v>
      </c>
      <c r="Y155" t="s">
        <v>38</v>
      </c>
      <c r="Z155">
        <f>Superstore_Sales[[#This Row],[Sales]]*Superstore_Sales[[#This Row],[Quantity]]</f>
        <v>16042.67</v>
      </c>
      <c r="AA155" s="3">
        <f>Superstore_Sales[[#This Row],[TotalSales]]*Superstore_Sales[[#This Row],[Discount]]/100</f>
        <v>16.042670000000001</v>
      </c>
      <c r="AB155" s="2">
        <f>Superstore_Sales[[#This Row],[TotalSales]]-Superstore_Sales[[#This Row],[Dis_amt]]-Superstore_Sales[[#This Row],[Shipping Cost]]</f>
        <v>15577.717329999999</v>
      </c>
    </row>
    <row r="156" spans="1:28" x14ac:dyDescent="0.35">
      <c r="A156">
        <v>58</v>
      </c>
      <c r="B156" t="s">
        <v>969</v>
      </c>
      <c r="C156" s="1">
        <v>41045</v>
      </c>
      <c r="D156" s="1">
        <v>41048</v>
      </c>
      <c r="E156">
        <f>Superstore_Sales[[#This Row],[Ship Date]]-Superstore_Sales[[#This Row],[Order Date]]</f>
        <v>3</v>
      </c>
      <c r="F156" t="s">
        <v>40</v>
      </c>
      <c r="G156" t="s">
        <v>970</v>
      </c>
      <c r="H156" t="s">
        <v>971</v>
      </c>
      <c r="I156" t="s">
        <v>28</v>
      </c>
      <c r="K156" t="s">
        <v>972</v>
      </c>
      <c r="L156" t="s">
        <v>973</v>
      </c>
      <c r="M156" t="s">
        <v>219</v>
      </c>
      <c r="N156" t="s">
        <v>220</v>
      </c>
      <c r="O156" t="s">
        <v>136</v>
      </c>
      <c r="P156" t="s">
        <v>510</v>
      </c>
      <c r="Q156" t="s">
        <v>35</v>
      </c>
      <c r="R156" t="s">
        <v>36</v>
      </c>
      <c r="S156" t="s">
        <v>511</v>
      </c>
      <c r="T156">
        <v>2124.5</v>
      </c>
      <c r="U156">
        <v>5</v>
      </c>
      <c r="V156">
        <v>0</v>
      </c>
      <c r="W156">
        <v>488.6</v>
      </c>
      <c r="X156">
        <v>447.65699999999998</v>
      </c>
      <c r="Y156" t="s">
        <v>38</v>
      </c>
      <c r="Z156">
        <f>Superstore_Sales[[#This Row],[Sales]]*Superstore_Sales[[#This Row],[Quantity]]</f>
        <v>10622.5</v>
      </c>
      <c r="AA156" s="3">
        <f>Superstore_Sales[[#This Row],[TotalSales]]*Superstore_Sales[[#This Row],[Discount]]/100</f>
        <v>0</v>
      </c>
      <c r="AB156" s="2">
        <f>Superstore_Sales[[#This Row],[TotalSales]]-Superstore_Sales[[#This Row],[Dis_amt]]-Superstore_Sales[[#This Row],[Shipping Cost]]</f>
        <v>10174.843000000001</v>
      </c>
    </row>
    <row r="157" spans="1:28" x14ac:dyDescent="0.35">
      <c r="A157">
        <v>45091</v>
      </c>
      <c r="B157" t="s">
        <v>974</v>
      </c>
      <c r="C157" s="1">
        <v>42046</v>
      </c>
      <c r="D157" s="1">
        <v>42050</v>
      </c>
      <c r="E157">
        <f>Superstore_Sales[[#This Row],[Ship Date]]-Superstore_Sales[[#This Row],[Order Date]]</f>
        <v>4</v>
      </c>
      <c r="F157" t="s">
        <v>40</v>
      </c>
      <c r="G157" t="s">
        <v>975</v>
      </c>
      <c r="H157" t="s">
        <v>633</v>
      </c>
      <c r="I157" t="s">
        <v>65</v>
      </c>
      <c r="K157" t="s">
        <v>976</v>
      </c>
      <c r="L157" t="s">
        <v>976</v>
      </c>
      <c r="M157" t="s">
        <v>977</v>
      </c>
      <c r="N157" t="s">
        <v>195</v>
      </c>
      <c r="O157" t="s">
        <v>69</v>
      </c>
      <c r="P157" t="s">
        <v>547</v>
      </c>
      <c r="Q157" t="s">
        <v>50</v>
      </c>
      <c r="R157" t="s">
        <v>51</v>
      </c>
      <c r="S157" t="s">
        <v>548</v>
      </c>
      <c r="T157">
        <v>2757.78</v>
      </c>
      <c r="U157">
        <v>6</v>
      </c>
      <c r="V157">
        <v>0</v>
      </c>
      <c r="W157">
        <v>744.48</v>
      </c>
      <c r="X157">
        <v>446.33</v>
      </c>
      <c r="Y157" t="s">
        <v>38</v>
      </c>
      <c r="Z157">
        <f>Superstore_Sales[[#This Row],[Sales]]*Superstore_Sales[[#This Row],[Quantity]]</f>
        <v>16546.68</v>
      </c>
      <c r="AA157" s="3">
        <f>Superstore_Sales[[#This Row],[TotalSales]]*Superstore_Sales[[#This Row],[Discount]]/100</f>
        <v>0</v>
      </c>
      <c r="AB157" s="2">
        <f>Superstore_Sales[[#This Row],[TotalSales]]-Superstore_Sales[[#This Row],[Dis_amt]]-Superstore_Sales[[#This Row],[Shipping Cost]]</f>
        <v>16100.35</v>
      </c>
    </row>
    <row r="158" spans="1:28" x14ac:dyDescent="0.35">
      <c r="A158">
        <v>18990</v>
      </c>
      <c r="B158" t="s">
        <v>978</v>
      </c>
      <c r="C158" s="1">
        <v>41924</v>
      </c>
      <c r="D158" s="1">
        <v>41924</v>
      </c>
      <c r="E158">
        <f>Superstore_Sales[[#This Row],[Ship Date]]-Superstore_Sales[[#This Row],[Order Date]]</f>
        <v>0</v>
      </c>
      <c r="F158" t="s">
        <v>73</v>
      </c>
      <c r="G158" t="s">
        <v>979</v>
      </c>
      <c r="H158" t="s">
        <v>980</v>
      </c>
      <c r="I158" t="s">
        <v>28</v>
      </c>
      <c r="K158" t="s">
        <v>981</v>
      </c>
      <c r="L158" t="s">
        <v>982</v>
      </c>
      <c r="M158" t="s">
        <v>463</v>
      </c>
      <c r="N158" t="s">
        <v>171</v>
      </c>
      <c r="O158" t="s">
        <v>69</v>
      </c>
      <c r="P158" t="s">
        <v>983</v>
      </c>
      <c r="Q158" t="s">
        <v>35</v>
      </c>
      <c r="R158" t="s">
        <v>304</v>
      </c>
      <c r="S158" t="s">
        <v>984</v>
      </c>
      <c r="T158">
        <v>1549.98</v>
      </c>
      <c r="U158">
        <v>6</v>
      </c>
      <c r="V158">
        <v>0</v>
      </c>
      <c r="W158">
        <v>139.32</v>
      </c>
      <c r="X158">
        <v>443.92</v>
      </c>
      <c r="Y158" t="s">
        <v>53</v>
      </c>
      <c r="Z158">
        <f>Superstore_Sales[[#This Row],[Sales]]*Superstore_Sales[[#This Row],[Quantity]]</f>
        <v>9299.880000000001</v>
      </c>
      <c r="AA158" s="3">
        <f>Superstore_Sales[[#This Row],[TotalSales]]*Superstore_Sales[[#This Row],[Discount]]/100</f>
        <v>0</v>
      </c>
      <c r="AB158" s="2">
        <f>Superstore_Sales[[#This Row],[TotalSales]]-Superstore_Sales[[#This Row],[Dis_amt]]-Superstore_Sales[[#This Row],[Shipping Cost]]</f>
        <v>8855.9600000000009</v>
      </c>
    </row>
    <row r="159" spans="1:28" x14ac:dyDescent="0.35">
      <c r="A159">
        <v>34330</v>
      </c>
      <c r="B159" t="s">
        <v>985</v>
      </c>
      <c r="C159" s="1">
        <v>42264</v>
      </c>
      <c r="D159" s="1">
        <v>42269</v>
      </c>
      <c r="E159">
        <f>Superstore_Sales[[#This Row],[Ship Date]]-Superstore_Sales[[#This Row],[Order Date]]</f>
        <v>5</v>
      </c>
      <c r="F159" t="s">
        <v>98</v>
      </c>
      <c r="G159" t="s">
        <v>750</v>
      </c>
      <c r="H159" t="s">
        <v>676</v>
      </c>
      <c r="I159" t="s">
        <v>65</v>
      </c>
      <c r="J159">
        <v>19143</v>
      </c>
      <c r="K159" t="s">
        <v>428</v>
      </c>
      <c r="L159" t="s">
        <v>429</v>
      </c>
      <c r="M159" t="s">
        <v>31</v>
      </c>
      <c r="N159" t="s">
        <v>249</v>
      </c>
      <c r="O159" t="s">
        <v>33</v>
      </c>
      <c r="P159" t="s">
        <v>986</v>
      </c>
      <c r="Q159" t="s">
        <v>147</v>
      </c>
      <c r="R159" t="s">
        <v>672</v>
      </c>
      <c r="S159" t="s">
        <v>987</v>
      </c>
      <c r="T159">
        <v>20.74</v>
      </c>
      <c r="U159">
        <v>4</v>
      </c>
      <c r="V159">
        <v>0.2</v>
      </c>
      <c r="W159">
        <v>7.26</v>
      </c>
      <c r="X159">
        <v>1.23</v>
      </c>
      <c r="Y159" t="s">
        <v>38</v>
      </c>
      <c r="Z159">
        <f>Superstore_Sales[[#This Row],[Sales]]*Superstore_Sales[[#This Row],[Quantity]]</f>
        <v>82.96</v>
      </c>
      <c r="AA159" s="3">
        <f>Superstore_Sales[[#This Row],[TotalSales]]*Superstore_Sales[[#This Row],[Discount]]/100</f>
        <v>0.16591999999999998</v>
      </c>
      <c r="AB159" s="2">
        <f>Superstore_Sales[[#This Row],[TotalSales]]-Superstore_Sales[[#This Row],[Dis_amt]]-Superstore_Sales[[#This Row],[Shipping Cost]]</f>
        <v>81.56407999999999</v>
      </c>
    </row>
    <row r="160" spans="1:28" x14ac:dyDescent="0.35">
      <c r="A160">
        <v>51130</v>
      </c>
      <c r="B160" t="s">
        <v>988</v>
      </c>
      <c r="C160" s="1">
        <v>42202</v>
      </c>
      <c r="D160" s="1">
        <v>42204</v>
      </c>
      <c r="E160">
        <f>Superstore_Sales[[#This Row],[Ship Date]]-Superstore_Sales[[#This Row],[Order Date]]</f>
        <v>2</v>
      </c>
      <c r="F160" t="s">
        <v>40</v>
      </c>
      <c r="G160" t="s">
        <v>989</v>
      </c>
      <c r="H160" t="s">
        <v>990</v>
      </c>
      <c r="I160" t="s">
        <v>43</v>
      </c>
      <c r="K160" t="s">
        <v>991</v>
      </c>
      <c r="L160" t="s">
        <v>991</v>
      </c>
      <c r="M160" t="s">
        <v>480</v>
      </c>
      <c r="N160" t="s">
        <v>195</v>
      </c>
      <c r="O160" t="s">
        <v>69</v>
      </c>
      <c r="P160" t="s">
        <v>719</v>
      </c>
      <c r="Q160" t="s">
        <v>147</v>
      </c>
      <c r="R160" t="s">
        <v>148</v>
      </c>
      <c r="S160" t="s">
        <v>720</v>
      </c>
      <c r="T160">
        <v>3146.4</v>
      </c>
      <c r="U160">
        <v>6</v>
      </c>
      <c r="V160">
        <v>0</v>
      </c>
      <c r="W160">
        <v>629.28</v>
      </c>
      <c r="X160">
        <v>443.55</v>
      </c>
      <c r="Y160" t="s">
        <v>53</v>
      </c>
      <c r="Z160">
        <f>Superstore_Sales[[#This Row],[Sales]]*Superstore_Sales[[#This Row],[Quantity]]</f>
        <v>18878.400000000001</v>
      </c>
      <c r="AA160" s="3">
        <f>Superstore_Sales[[#This Row],[TotalSales]]*Superstore_Sales[[#This Row],[Discount]]/100</f>
        <v>0</v>
      </c>
      <c r="AB160" s="2">
        <f>Superstore_Sales[[#This Row],[TotalSales]]-Superstore_Sales[[#This Row],[Dis_amt]]-Superstore_Sales[[#This Row],[Shipping Cost]]</f>
        <v>18434.850000000002</v>
      </c>
    </row>
    <row r="161" spans="1:28" x14ac:dyDescent="0.35">
      <c r="A161">
        <v>14405</v>
      </c>
      <c r="B161" t="s">
        <v>992</v>
      </c>
      <c r="C161" s="1">
        <v>42330</v>
      </c>
      <c r="D161" s="1">
        <v>42336</v>
      </c>
      <c r="E161">
        <f>Superstore_Sales[[#This Row],[Ship Date]]-Superstore_Sales[[#This Row],[Order Date]]</f>
        <v>6</v>
      </c>
      <c r="F161" t="s">
        <v>98</v>
      </c>
      <c r="G161" t="s">
        <v>993</v>
      </c>
      <c r="H161" t="s">
        <v>994</v>
      </c>
      <c r="I161" t="s">
        <v>43</v>
      </c>
      <c r="K161" t="s">
        <v>995</v>
      </c>
      <c r="L161" t="s">
        <v>154</v>
      </c>
      <c r="M161" t="s">
        <v>155</v>
      </c>
      <c r="N161" t="s">
        <v>68</v>
      </c>
      <c r="O161" t="s">
        <v>69</v>
      </c>
      <c r="P161" t="s">
        <v>996</v>
      </c>
      <c r="Q161" t="s">
        <v>35</v>
      </c>
      <c r="R161" t="s">
        <v>275</v>
      </c>
      <c r="S161" t="s">
        <v>997</v>
      </c>
      <c r="T161">
        <v>2456.62</v>
      </c>
      <c r="U161">
        <v>11</v>
      </c>
      <c r="V161">
        <v>0.15</v>
      </c>
      <c r="W161">
        <v>664.72</v>
      </c>
      <c r="X161">
        <v>442.49</v>
      </c>
      <c r="Y161" t="s">
        <v>164</v>
      </c>
      <c r="Z161">
        <f>Superstore_Sales[[#This Row],[Sales]]*Superstore_Sales[[#This Row],[Quantity]]</f>
        <v>27022.82</v>
      </c>
      <c r="AA161" s="3">
        <f>Superstore_Sales[[#This Row],[TotalSales]]*Superstore_Sales[[#This Row],[Discount]]/100</f>
        <v>40.534230000000001</v>
      </c>
      <c r="AB161" s="2">
        <f>Superstore_Sales[[#This Row],[TotalSales]]-Superstore_Sales[[#This Row],[Dis_amt]]-Superstore_Sales[[#This Row],[Shipping Cost]]</f>
        <v>26539.795769999997</v>
      </c>
    </row>
    <row r="162" spans="1:28" x14ac:dyDescent="0.35">
      <c r="A162">
        <v>10745</v>
      </c>
      <c r="B162" t="s">
        <v>998</v>
      </c>
      <c r="C162" s="1">
        <v>41058</v>
      </c>
      <c r="D162" s="1">
        <v>41061</v>
      </c>
      <c r="E162">
        <f>Superstore_Sales[[#This Row],[Ship Date]]-Superstore_Sales[[#This Row],[Order Date]]</f>
        <v>3</v>
      </c>
      <c r="F162" t="s">
        <v>25</v>
      </c>
      <c r="G162" t="s">
        <v>999</v>
      </c>
      <c r="H162" t="s">
        <v>1000</v>
      </c>
      <c r="I162" t="s">
        <v>28</v>
      </c>
      <c r="K162" t="s">
        <v>1001</v>
      </c>
      <c r="L162" t="s">
        <v>651</v>
      </c>
      <c r="M162" t="s">
        <v>155</v>
      </c>
      <c r="N162" t="s">
        <v>68</v>
      </c>
      <c r="O162" t="s">
        <v>69</v>
      </c>
      <c r="P162" t="s">
        <v>1002</v>
      </c>
      <c r="Q162" t="s">
        <v>50</v>
      </c>
      <c r="R162" t="s">
        <v>104</v>
      </c>
      <c r="S162" t="s">
        <v>1003</v>
      </c>
      <c r="T162">
        <v>2228.64</v>
      </c>
      <c r="U162">
        <v>7</v>
      </c>
      <c r="V162">
        <v>0.35</v>
      </c>
      <c r="W162">
        <v>-754.41</v>
      </c>
      <c r="X162">
        <v>440.25</v>
      </c>
      <c r="Y162" t="s">
        <v>53</v>
      </c>
      <c r="Z162">
        <f>Superstore_Sales[[#This Row],[Sales]]*Superstore_Sales[[#This Row],[Quantity]]</f>
        <v>15600.48</v>
      </c>
      <c r="AA162" s="3">
        <f>Superstore_Sales[[#This Row],[TotalSales]]*Superstore_Sales[[#This Row],[Discount]]/100</f>
        <v>54.601679999999995</v>
      </c>
      <c r="AB162" s="2">
        <f>Superstore_Sales[[#This Row],[TotalSales]]-Superstore_Sales[[#This Row],[Dis_amt]]-Superstore_Sales[[#This Row],[Shipping Cost]]</f>
        <v>15105.62832</v>
      </c>
    </row>
    <row r="163" spans="1:28" x14ac:dyDescent="0.35">
      <c r="A163">
        <v>25850</v>
      </c>
      <c r="B163" t="s">
        <v>1004</v>
      </c>
      <c r="C163" s="1">
        <v>42202</v>
      </c>
      <c r="D163" s="1">
        <v>42205</v>
      </c>
      <c r="E163">
        <f>Superstore_Sales[[#This Row],[Ship Date]]-Superstore_Sales[[#This Row],[Order Date]]</f>
        <v>3</v>
      </c>
      <c r="F163" t="s">
        <v>25</v>
      </c>
      <c r="G163" t="s">
        <v>1005</v>
      </c>
      <c r="H163" t="s">
        <v>1006</v>
      </c>
      <c r="I163" t="s">
        <v>43</v>
      </c>
      <c r="K163" t="s">
        <v>1007</v>
      </c>
      <c r="L163" t="s">
        <v>1008</v>
      </c>
      <c r="M163" t="s">
        <v>258</v>
      </c>
      <c r="N163" t="s">
        <v>118</v>
      </c>
      <c r="O163" t="s">
        <v>48</v>
      </c>
      <c r="P163" t="s">
        <v>915</v>
      </c>
      <c r="Q163" t="s">
        <v>147</v>
      </c>
      <c r="R163" t="s">
        <v>148</v>
      </c>
      <c r="S163" t="s">
        <v>916</v>
      </c>
      <c r="T163">
        <v>4001.04</v>
      </c>
      <c r="U163">
        <v>8</v>
      </c>
      <c r="V163">
        <v>0</v>
      </c>
      <c r="W163">
        <v>1440.24</v>
      </c>
      <c r="X163">
        <v>439.65</v>
      </c>
      <c r="Y163" t="s">
        <v>61</v>
      </c>
      <c r="Z163">
        <f>Superstore_Sales[[#This Row],[Sales]]*Superstore_Sales[[#This Row],[Quantity]]</f>
        <v>32008.32</v>
      </c>
      <c r="AA163" s="3">
        <f>Superstore_Sales[[#This Row],[TotalSales]]*Superstore_Sales[[#This Row],[Discount]]/100</f>
        <v>0</v>
      </c>
      <c r="AB163" s="2">
        <f>Superstore_Sales[[#This Row],[TotalSales]]-Superstore_Sales[[#This Row],[Dis_amt]]-Superstore_Sales[[#This Row],[Shipping Cost]]</f>
        <v>31568.67</v>
      </c>
    </row>
    <row r="164" spans="1:28" x14ac:dyDescent="0.35">
      <c r="A164">
        <v>16109</v>
      </c>
      <c r="B164" t="s">
        <v>1009</v>
      </c>
      <c r="C164" s="1">
        <v>42245</v>
      </c>
      <c r="D164" s="1">
        <v>42250</v>
      </c>
      <c r="E164">
        <f>Superstore_Sales[[#This Row],[Ship Date]]-Superstore_Sales[[#This Row],[Order Date]]</f>
        <v>5</v>
      </c>
      <c r="F164" t="s">
        <v>98</v>
      </c>
      <c r="G164" t="s">
        <v>1010</v>
      </c>
      <c r="H164" t="s">
        <v>1011</v>
      </c>
      <c r="I164" t="s">
        <v>65</v>
      </c>
      <c r="K164" t="s">
        <v>1012</v>
      </c>
      <c r="L164" t="s">
        <v>154</v>
      </c>
      <c r="M164" t="s">
        <v>155</v>
      </c>
      <c r="N164" t="s">
        <v>68</v>
      </c>
      <c r="O164" t="s">
        <v>69</v>
      </c>
      <c r="P164" t="s">
        <v>295</v>
      </c>
      <c r="Q164" t="s">
        <v>35</v>
      </c>
      <c r="R164" t="s">
        <v>36</v>
      </c>
      <c r="S164" t="s">
        <v>296</v>
      </c>
      <c r="T164">
        <v>4876.88</v>
      </c>
      <c r="U164">
        <v>9</v>
      </c>
      <c r="V164">
        <v>0.15</v>
      </c>
      <c r="W164">
        <v>745.88</v>
      </c>
      <c r="X164">
        <v>439.41</v>
      </c>
      <c r="Y164" t="s">
        <v>61</v>
      </c>
      <c r="Z164">
        <f>Superstore_Sales[[#This Row],[Sales]]*Superstore_Sales[[#This Row],[Quantity]]</f>
        <v>43891.92</v>
      </c>
      <c r="AA164" s="3">
        <f>Superstore_Sales[[#This Row],[TotalSales]]*Superstore_Sales[[#This Row],[Discount]]/100</f>
        <v>65.837879999999998</v>
      </c>
      <c r="AB164" s="2">
        <f>Superstore_Sales[[#This Row],[TotalSales]]-Superstore_Sales[[#This Row],[Dis_amt]]-Superstore_Sales[[#This Row],[Shipping Cost]]</f>
        <v>43386.672119999996</v>
      </c>
    </row>
    <row r="165" spans="1:28" x14ac:dyDescent="0.35">
      <c r="A165">
        <v>22515</v>
      </c>
      <c r="B165" t="s">
        <v>1013</v>
      </c>
      <c r="C165" s="1">
        <v>41634</v>
      </c>
      <c r="D165" s="1">
        <v>41634</v>
      </c>
      <c r="E165">
        <f>Superstore_Sales[[#This Row],[Ship Date]]-Superstore_Sales[[#This Row],[Order Date]]</f>
        <v>0</v>
      </c>
      <c r="F165" t="s">
        <v>73</v>
      </c>
      <c r="G165" t="s">
        <v>1014</v>
      </c>
      <c r="H165" t="s">
        <v>1015</v>
      </c>
      <c r="I165" t="s">
        <v>28</v>
      </c>
      <c r="K165" t="s">
        <v>514</v>
      </c>
      <c r="L165" t="s">
        <v>515</v>
      </c>
      <c r="M165" t="s">
        <v>46</v>
      </c>
      <c r="N165" t="s">
        <v>47</v>
      </c>
      <c r="O165" t="s">
        <v>48</v>
      </c>
      <c r="P165" t="s">
        <v>1016</v>
      </c>
      <c r="Q165" t="s">
        <v>50</v>
      </c>
      <c r="R165" t="s">
        <v>104</v>
      </c>
      <c r="S165" t="s">
        <v>1017</v>
      </c>
      <c r="T165">
        <v>1788.82</v>
      </c>
      <c r="U165">
        <v>6</v>
      </c>
      <c r="V165">
        <v>0.3</v>
      </c>
      <c r="W165">
        <v>204.28</v>
      </c>
      <c r="X165">
        <v>439.03</v>
      </c>
      <c r="Y165" t="s">
        <v>53</v>
      </c>
      <c r="Z165">
        <f>Superstore_Sales[[#This Row],[Sales]]*Superstore_Sales[[#This Row],[Quantity]]</f>
        <v>10732.92</v>
      </c>
      <c r="AA165" s="3">
        <f>Superstore_Sales[[#This Row],[TotalSales]]*Superstore_Sales[[#This Row],[Discount]]/100</f>
        <v>32.19876</v>
      </c>
      <c r="AB165" s="2">
        <f>Superstore_Sales[[#This Row],[TotalSales]]-Superstore_Sales[[#This Row],[Dis_amt]]-Superstore_Sales[[#This Row],[Shipping Cost]]</f>
        <v>10261.69124</v>
      </c>
    </row>
    <row r="166" spans="1:28" x14ac:dyDescent="0.35">
      <c r="A166">
        <v>29651</v>
      </c>
      <c r="B166" t="s">
        <v>1018</v>
      </c>
      <c r="C166" s="1">
        <v>41760</v>
      </c>
      <c r="D166" s="1">
        <v>41763</v>
      </c>
      <c r="E166">
        <f>Superstore_Sales[[#This Row],[Ship Date]]-Superstore_Sales[[#This Row],[Order Date]]</f>
        <v>3</v>
      </c>
      <c r="F166" t="s">
        <v>40</v>
      </c>
      <c r="G166" t="s">
        <v>1019</v>
      </c>
      <c r="H166" t="s">
        <v>1020</v>
      </c>
      <c r="I166" t="s">
        <v>28</v>
      </c>
      <c r="K166" t="s">
        <v>938</v>
      </c>
      <c r="L166" t="s">
        <v>939</v>
      </c>
      <c r="M166" t="s">
        <v>321</v>
      </c>
      <c r="N166" t="s">
        <v>322</v>
      </c>
      <c r="O166" t="s">
        <v>48</v>
      </c>
      <c r="P166" t="s">
        <v>1021</v>
      </c>
      <c r="Q166" t="s">
        <v>50</v>
      </c>
      <c r="R166" t="s">
        <v>104</v>
      </c>
      <c r="S166" t="s">
        <v>1022</v>
      </c>
      <c r="T166">
        <v>1242.5899999999999</v>
      </c>
      <c r="U166">
        <v>5</v>
      </c>
      <c r="V166">
        <v>0.47</v>
      </c>
      <c r="W166">
        <v>-140.72</v>
      </c>
      <c r="X166">
        <v>437.85</v>
      </c>
      <c r="Y166" t="s">
        <v>53</v>
      </c>
      <c r="Z166">
        <f>Superstore_Sales[[#This Row],[Sales]]*Superstore_Sales[[#This Row],[Quantity]]</f>
        <v>6212.95</v>
      </c>
      <c r="AA166" s="3">
        <f>Superstore_Sales[[#This Row],[TotalSales]]*Superstore_Sales[[#This Row],[Discount]]/100</f>
        <v>29.200865</v>
      </c>
      <c r="AB166" s="2">
        <f>Superstore_Sales[[#This Row],[TotalSales]]-Superstore_Sales[[#This Row],[Dis_amt]]-Superstore_Sales[[#This Row],[Shipping Cost]]</f>
        <v>5745.8991349999997</v>
      </c>
    </row>
    <row r="167" spans="1:28" x14ac:dyDescent="0.35">
      <c r="A167">
        <v>10670</v>
      </c>
      <c r="B167" t="s">
        <v>1023</v>
      </c>
      <c r="C167" s="1">
        <v>41136</v>
      </c>
      <c r="D167" s="1">
        <v>41141</v>
      </c>
      <c r="E167">
        <f>Superstore_Sales[[#This Row],[Ship Date]]-Superstore_Sales[[#This Row],[Order Date]]</f>
        <v>5</v>
      </c>
      <c r="F167" t="s">
        <v>98</v>
      </c>
      <c r="G167" t="s">
        <v>1024</v>
      </c>
      <c r="H167" t="s">
        <v>1025</v>
      </c>
      <c r="I167" t="s">
        <v>43</v>
      </c>
      <c r="K167" t="s">
        <v>1026</v>
      </c>
      <c r="L167" t="s">
        <v>310</v>
      </c>
      <c r="M167" t="s">
        <v>210</v>
      </c>
      <c r="N167" t="s">
        <v>211</v>
      </c>
      <c r="O167" t="s">
        <v>69</v>
      </c>
      <c r="P167" t="s">
        <v>1027</v>
      </c>
      <c r="Q167" t="s">
        <v>35</v>
      </c>
      <c r="R167" t="s">
        <v>36</v>
      </c>
      <c r="S167" t="s">
        <v>1028</v>
      </c>
      <c r="T167">
        <v>4453.05</v>
      </c>
      <c r="U167">
        <v>7</v>
      </c>
      <c r="V167">
        <v>0</v>
      </c>
      <c r="W167">
        <v>1424.85</v>
      </c>
      <c r="X167">
        <v>433.41</v>
      </c>
      <c r="Y167" t="s">
        <v>61</v>
      </c>
      <c r="Z167">
        <f>Superstore_Sales[[#This Row],[Sales]]*Superstore_Sales[[#This Row],[Quantity]]</f>
        <v>31171.350000000002</v>
      </c>
      <c r="AA167" s="3">
        <f>Superstore_Sales[[#This Row],[TotalSales]]*Superstore_Sales[[#This Row],[Discount]]/100</f>
        <v>0</v>
      </c>
      <c r="AB167" s="2">
        <f>Superstore_Sales[[#This Row],[TotalSales]]-Superstore_Sales[[#This Row],[Dis_amt]]-Superstore_Sales[[#This Row],[Shipping Cost]]</f>
        <v>30737.940000000002</v>
      </c>
    </row>
    <row r="168" spans="1:28" x14ac:dyDescent="0.35">
      <c r="A168">
        <v>24859</v>
      </c>
      <c r="B168" t="s">
        <v>1029</v>
      </c>
      <c r="C168" s="1">
        <v>42341</v>
      </c>
      <c r="D168" s="1">
        <v>42345</v>
      </c>
      <c r="E168">
        <f>Superstore_Sales[[#This Row],[Ship Date]]-Superstore_Sales[[#This Row],[Order Date]]</f>
        <v>4</v>
      </c>
      <c r="F168" t="s">
        <v>98</v>
      </c>
      <c r="G168" t="s">
        <v>1030</v>
      </c>
      <c r="H168" t="s">
        <v>1031</v>
      </c>
      <c r="I168" t="s">
        <v>28</v>
      </c>
      <c r="K168" t="s">
        <v>1032</v>
      </c>
      <c r="L168" t="s">
        <v>1032</v>
      </c>
      <c r="M168" t="s">
        <v>1033</v>
      </c>
      <c r="N168" t="s">
        <v>322</v>
      </c>
      <c r="O168" t="s">
        <v>48</v>
      </c>
      <c r="P168" t="s">
        <v>1034</v>
      </c>
      <c r="Q168" t="s">
        <v>50</v>
      </c>
      <c r="R168" t="s">
        <v>104</v>
      </c>
      <c r="S168" t="s">
        <v>1035</v>
      </c>
      <c r="T168">
        <v>2673.36</v>
      </c>
      <c r="U168">
        <v>8</v>
      </c>
      <c r="V168">
        <v>0</v>
      </c>
      <c r="W168">
        <v>1069.2</v>
      </c>
      <c r="X168">
        <v>432.57</v>
      </c>
      <c r="Y168" t="s">
        <v>38</v>
      </c>
      <c r="Z168">
        <f>Superstore_Sales[[#This Row],[Sales]]*Superstore_Sales[[#This Row],[Quantity]]</f>
        <v>21386.880000000001</v>
      </c>
      <c r="AA168" s="3">
        <f>Superstore_Sales[[#This Row],[TotalSales]]*Superstore_Sales[[#This Row],[Discount]]/100</f>
        <v>0</v>
      </c>
      <c r="AB168" s="2">
        <f>Superstore_Sales[[#This Row],[TotalSales]]-Superstore_Sales[[#This Row],[Dis_amt]]-Superstore_Sales[[#This Row],[Shipping Cost]]</f>
        <v>20954.310000000001</v>
      </c>
    </row>
    <row r="169" spans="1:28" x14ac:dyDescent="0.35">
      <c r="A169">
        <v>24466</v>
      </c>
      <c r="B169" t="s">
        <v>1036</v>
      </c>
      <c r="C169" s="1">
        <v>41815</v>
      </c>
      <c r="D169" s="1">
        <v>41819</v>
      </c>
      <c r="E169">
        <f>Superstore_Sales[[#This Row],[Ship Date]]-Superstore_Sales[[#This Row],[Order Date]]</f>
        <v>4</v>
      </c>
      <c r="F169" t="s">
        <v>98</v>
      </c>
      <c r="G169" t="s">
        <v>1037</v>
      </c>
      <c r="H169" t="s">
        <v>27</v>
      </c>
      <c r="I169" t="s">
        <v>28</v>
      </c>
      <c r="K169" t="s">
        <v>1038</v>
      </c>
      <c r="L169" t="s">
        <v>58</v>
      </c>
      <c r="M169" t="s">
        <v>46</v>
      </c>
      <c r="N169" t="s">
        <v>47</v>
      </c>
      <c r="O169" t="s">
        <v>48</v>
      </c>
      <c r="P169" t="s">
        <v>547</v>
      </c>
      <c r="Q169" t="s">
        <v>50</v>
      </c>
      <c r="R169" t="s">
        <v>51</v>
      </c>
      <c r="S169" t="s">
        <v>548</v>
      </c>
      <c r="T169">
        <v>2046.2</v>
      </c>
      <c r="U169">
        <v>5</v>
      </c>
      <c r="V169">
        <v>0.1</v>
      </c>
      <c r="W169">
        <v>591.04999999999995</v>
      </c>
      <c r="X169">
        <v>432.15</v>
      </c>
      <c r="Y169" t="s">
        <v>38</v>
      </c>
      <c r="Z169">
        <f>Superstore_Sales[[#This Row],[Sales]]*Superstore_Sales[[#This Row],[Quantity]]</f>
        <v>10231</v>
      </c>
      <c r="AA169" s="3">
        <f>Superstore_Sales[[#This Row],[TotalSales]]*Superstore_Sales[[#This Row],[Discount]]/100</f>
        <v>10.231</v>
      </c>
      <c r="AB169" s="2">
        <f>Superstore_Sales[[#This Row],[TotalSales]]-Superstore_Sales[[#This Row],[Dis_amt]]-Superstore_Sales[[#This Row],[Shipping Cost]]</f>
        <v>9788.6190000000006</v>
      </c>
    </row>
    <row r="170" spans="1:28" x14ac:dyDescent="0.35">
      <c r="A170">
        <v>15359</v>
      </c>
      <c r="B170" t="s">
        <v>1039</v>
      </c>
      <c r="C170" s="1">
        <v>41660</v>
      </c>
      <c r="D170" s="1">
        <v>41663</v>
      </c>
      <c r="E170">
        <f>Superstore_Sales[[#This Row],[Ship Date]]-Superstore_Sales[[#This Row],[Order Date]]</f>
        <v>3</v>
      </c>
      <c r="F170" t="s">
        <v>40</v>
      </c>
      <c r="G170" t="s">
        <v>1040</v>
      </c>
      <c r="H170" t="s">
        <v>1041</v>
      </c>
      <c r="I170" t="s">
        <v>28</v>
      </c>
      <c r="K170" t="s">
        <v>309</v>
      </c>
      <c r="L170" t="s">
        <v>310</v>
      </c>
      <c r="M170" t="s">
        <v>210</v>
      </c>
      <c r="N170" t="s">
        <v>211</v>
      </c>
      <c r="O170" t="s">
        <v>69</v>
      </c>
      <c r="P170" t="s">
        <v>1042</v>
      </c>
      <c r="Q170" t="s">
        <v>50</v>
      </c>
      <c r="R170" t="s">
        <v>104</v>
      </c>
      <c r="S170" t="s">
        <v>1043</v>
      </c>
      <c r="T170">
        <v>5451.3</v>
      </c>
      <c r="U170">
        <v>6</v>
      </c>
      <c r="V170">
        <v>0</v>
      </c>
      <c r="W170">
        <v>2071.44</v>
      </c>
      <c r="X170">
        <v>432.13</v>
      </c>
      <c r="Y170" t="s">
        <v>61</v>
      </c>
      <c r="Z170">
        <f>Superstore_Sales[[#This Row],[Sales]]*Superstore_Sales[[#This Row],[Quantity]]</f>
        <v>32707.800000000003</v>
      </c>
      <c r="AA170" s="3">
        <f>Superstore_Sales[[#This Row],[TotalSales]]*Superstore_Sales[[#This Row],[Discount]]/100</f>
        <v>0</v>
      </c>
      <c r="AB170" s="2">
        <f>Superstore_Sales[[#This Row],[TotalSales]]-Superstore_Sales[[#This Row],[Dis_amt]]-Superstore_Sales[[#This Row],[Shipping Cost]]</f>
        <v>32275.670000000002</v>
      </c>
    </row>
    <row r="171" spans="1:28" x14ac:dyDescent="0.35">
      <c r="A171">
        <v>39745</v>
      </c>
      <c r="B171" t="s">
        <v>1044</v>
      </c>
      <c r="C171" s="1">
        <v>42301</v>
      </c>
      <c r="D171" s="1">
        <v>42302</v>
      </c>
      <c r="E171">
        <f>Superstore_Sales[[#This Row],[Ship Date]]-Superstore_Sales[[#This Row],[Order Date]]</f>
        <v>1</v>
      </c>
      <c r="F171" t="s">
        <v>25</v>
      </c>
      <c r="G171" t="s">
        <v>1045</v>
      </c>
      <c r="H171" t="s">
        <v>1046</v>
      </c>
      <c r="I171" t="s">
        <v>43</v>
      </c>
      <c r="J171">
        <v>2920</v>
      </c>
      <c r="K171" t="s">
        <v>1047</v>
      </c>
      <c r="L171" t="s">
        <v>1048</v>
      </c>
      <c r="M171" t="s">
        <v>31</v>
      </c>
      <c r="N171" t="s">
        <v>249</v>
      </c>
      <c r="O171" t="s">
        <v>33</v>
      </c>
      <c r="P171" t="s">
        <v>1049</v>
      </c>
      <c r="Q171" t="s">
        <v>50</v>
      </c>
      <c r="R171" t="s">
        <v>104</v>
      </c>
      <c r="S171" t="s">
        <v>1050</v>
      </c>
      <c r="T171">
        <v>637.9</v>
      </c>
      <c r="U171">
        <v>3</v>
      </c>
      <c r="V171">
        <v>0.3</v>
      </c>
      <c r="W171">
        <v>-127.58</v>
      </c>
      <c r="X171">
        <v>188.95</v>
      </c>
      <c r="Y171" t="s">
        <v>53</v>
      </c>
      <c r="Z171">
        <f>Superstore_Sales[[#This Row],[Sales]]*Superstore_Sales[[#This Row],[Quantity]]</f>
        <v>1913.6999999999998</v>
      </c>
      <c r="AA171" s="3">
        <f>Superstore_Sales[[#This Row],[TotalSales]]*Superstore_Sales[[#This Row],[Discount]]/100</f>
        <v>5.7410999999999994</v>
      </c>
      <c r="AB171" s="2">
        <f>Superstore_Sales[[#This Row],[TotalSales]]-Superstore_Sales[[#This Row],[Dis_amt]]-Superstore_Sales[[#This Row],[Shipping Cost]]</f>
        <v>1719.0088999999998</v>
      </c>
    </row>
    <row r="172" spans="1:28" x14ac:dyDescent="0.35">
      <c r="A172">
        <v>21670</v>
      </c>
      <c r="B172" t="s">
        <v>1051</v>
      </c>
      <c r="C172" s="1">
        <v>42197</v>
      </c>
      <c r="D172" s="1">
        <v>42199</v>
      </c>
      <c r="E172">
        <f>Superstore_Sales[[#This Row],[Ship Date]]-Superstore_Sales[[#This Row],[Order Date]]</f>
        <v>2</v>
      </c>
      <c r="F172" t="s">
        <v>40</v>
      </c>
      <c r="G172" t="s">
        <v>1052</v>
      </c>
      <c r="H172" t="s">
        <v>1053</v>
      </c>
      <c r="I172" t="s">
        <v>28</v>
      </c>
      <c r="K172" t="s">
        <v>1054</v>
      </c>
      <c r="L172" t="s">
        <v>1054</v>
      </c>
      <c r="M172" t="s">
        <v>321</v>
      </c>
      <c r="N172" t="s">
        <v>322</v>
      </c>
      <c r="O172" t="s">
        <v>48</v>
      </c>
      <c r="P172" t="s">
        <v>1055</v>
      </c>
      <c r="Q172" t="s">
        <v>147</v>
      </c>
      <c r="R172" t="s">
        <v>148</v>
      </c>
      <c r="S172" t="s">
        <v>1056</v>
      </c>
      <c r="T172">
        <v>1722.28</v>
      </c>
      <c r="U172">
        <v>4</v>
      </c>
      <c r="V172">
        <v>0.17</v>
      </c>
      <c r="W172">
        <v>539.44000000000005</v>
      </c>
      <c r="X172">
        <v>430.04</v>
      </c>
      <c r="Y172" t="s">
        <v>53</v>
      </c>
      <c r="Z172">
        <f>Superstore_Sales[[#This Row],[Sales]]*Superstore_Sales[[#This Row],[Quantity]]</f>
        <v>6889.12</v>
      </c>
      <c r="AA172" s="3">
        <f>Superstore_Sales[[#This Row],[TotalSales]]*Superstore_Sales[[#This Row],[Discount]]/100</f>
        <v>11.711504</v>
      </c>
      <c r="AB172" s="2">
        <f>Superstore_Sales[[#This Row],[TotalSales]]-Superstore_Sales[[#This Row],[Dis_amt]]-Superstore_Sales[[#This Row],[Shipping Cost]]</f>
        <v>6447.3684960000001</v>
      </c>
    </row>
    <row r="173" spans="1:28" x14ac:dyDescent="0.35">
      <c r="A173">
        <v>17548</v>
      </c>
      <c r="B173" t="s">
        <v>1057</v>
      </c>
      <c r="C173" s="1">
        <v>42248</v>
      </c>
      <c r="D173" s="1">
        <v>42248</v>
      </c>
      <c r="E173">
        <f>Superstore_Sales[[#This Row],[Ship Date]]-Superstore_Sales[[#This Row],[Order Date]]</f>
        <v>0</v>
      </c>
      <c r="F173" t="s">
        <v>73</v>
      </c>
      <c r="G173" t="s">
        <v>1058</v>
      </c>
      <c r="H173" t="s">
        <v>1059</v>
      </c>
      <c r="I173" t="s">
        <v>65</v>
      </c>
      <c r="K173" t="s">
        <v>1060</v>
      </c>
      <c r="L173" t="s">
        <v>527</v>
      </c>
      <c r="M173" t="s">
        <v>67</v>
      </c>
      <c r="N173" t="s">
        <v>68</v>
      </c>
      <c r="O173" t="s">
        <v>69</v>
      </c>
      <c r="P173" t="s">
        <v>1061</v>
      </c>
      <c r="Q173" t="s">
        <v>147</v>
      </c>
      <c r="R173" t="s">
        <v>148</v>
      </c>
      <c r="S173" t="s">
        <v>1062</v>
      </c>
      <c r="T173">
        <v>1007.42</v>
      </c>
      <c r="U173">
        <v>2</v>
      </c>
      <c r="V173">
        <v>0.1</v>
      </c>
      <c r="W173">
        <v>134.30000000000001</v>
      </c>
      <c r="X173">
        <v>428.83</v>
      </c>
      <c r="Y173" t="s">
        <v>53</v>
      </c>
      <c r="Z173">
        <f>Superstore_Sales[[#This Row],[Sales]]*Superstore_Sales[[#This Row],[Quantity]]</f>
        <v>2014.84</v>
      </c>
      <c r="AA173" s="3">
        <f>Superstore_Sales[[#This Row],[TotalSales]]*Superstore_Sales[[#This Row],[Discount]]/100</f>
        <v>2.01484</v>
      </c>
      <c r="AB173" s="2">
        <f>Superstore_Sales[[#This Row],[TotalSales]]-Superstore_Sales[[#This Row],[Dis_amt]]-Superstore_Sales[[#This Row],[Shipping Cost]]</f>
        <v>1583.9951599999999</v>
      </c>
    </row>
    <row r="174" spans="1:28" x14ac:dyDescent="0.35">
      <c r="A174">
        <v>20861</v>
      </c>
      <c r="B174" t="s">
        <v>1063</v>
      </c>
      <c r="C174" s="1">
        <v>41066</v>
      </c>
      <c r="D174" s="1">
        <v>41070</v>
      </c>
      <c r="E174">
        <f>Superstore_Sales[[#This Row],[Ship Date]]-Superstore_Sales[[#This Row],[Order Date]]</f>
        <v>4</v>
      </c>
      <c r="F174" t="s">
        <v>40</v>
      </c>
      <c r="G174" t="s">
        <v>1064</v>
      </c>
      <c r="H174" t="s">
        <v>1065</v>
      </c>
      <c r="I174" t="s">
        <v>65</v>
      </c>
      <c r="K174" t="s">
        <v>177</v>
      </c>
      <c r="L174" t="s">
        <v>58</v>
      </c>
      <c r="M174" t="s">
        <v>46</v>
      </c>
      <c r="N174" t="s">
        <v>47</v>
      </c>
      <c r="O174" t="s">
        <v>48</v>
      </c>
      <c r="P174" t="s">
        <v>1066</v>
      </c>
      <c r="Q174" t="s">
        <v>147</v>
      </c>
      <c r="R174" t="s">
        <v>148</v>
      </c>
      <c r="S174" t="s">
        <v>1067</v>
      </c>
      <c r="T174">
        <v>4624.29</v>
      </c>
      <c r="U174">
        <v>9</v>
      </c>
      <c r="V174">
        <v>0.1</v>
      </c>
      <c r="W174">
        <v>1644.03</v>
      </c>
      <c r="X174">
        <v>427.46</v>
      </c>
      <c r="Y174" t="s">
        <v>61</v>
      </c>
      <c r="Z174">
        <f>Superstore_Sales[[#This Row],[Sales]]*Superstore_Sales[[#This Row],[Quantity]]</f>
        <v>41618.61</v>
      </c>
      <c r="AA174" s="3">
        <f>Superstore_Sales[[#This Row],[TotalSales]]*Superstore_Sales[[#This Row],[Discount]]/100</f>
        <v>41.618609999999997</v>
      </c>
      <c r="AB174" s="2">
        <f>Superstore_Sales[[#This Row],[TotalSales]]-Superstore_Sales[[#This Row],[Dis_amt]]-Superstore_Sales[[#This Row],[Shipping Cost]]</f>
        <v>41149.531390000004</v>
      </c>
    </row>
    <row r="175" spans="1:28" x14ac:dyDescent="0.35">
      <c r="A175">
        <v>17907</v>
      </c>
      <c r="B175" t="s">
        <v>1068</v>
      </c>
      <c r="C175" s="1">
        <v>41194</v>
      </c>
      <c r="D175" s="1">
        <v>41194</v>
      </c>
      <c r="E175">
        <f>Superstore_Sales[[#This Row],[Ship Date]]-Superstore_Sales[[#This Row],[Order Date]]</f>
        <v>0</v>
      </c>
      <c r="F175" t="s">
        <v>73</v>
      </c>
      <c r="G175" t="s">
        <v>1069</v>
      </c>
      <c r="H175" t="s">
        <v>1070</v>
      </c>
      <c r="I175" t="s">
        <v>43</v>
      </c>
      <c r="K175" t="s">
        <v>891</v>
      </c>
      <c r="L175" t="s">
        <v>891</v>
      </c>
      <c r="M175" t="s">
        <v>67</v>
      </c>
      <c r="N175" t="s">
        <v>68</v>
      </c>
      <c r="O175" t="s">
        <v>69</v>
      </c>
      <c r="P175" t="s">
        <v>1071</v>
      </c>
      <c r="Q175" t="s">
        <v>147</v>
      </c>
      <c r="R175" t="s">
        <v>162</v>
      </c>
      <c r="S175" t="s">
        <v>1072</v>
      </c>
      <c r="T175">
        <v>1066.45</v>
      </c>
      <c r="U175">
        <v>6</v>
      </c>
      <c r="V175">
        <v>0.1</v>
      </c>
      <c r="W175">
        <v>-11.93</v>
      </c>
      <c r="X175">
        <v>427.24</v>
      </c>
      <c r="Y175" t="s">
        <v>53</v>
      </c>
      <c r="Z175">
        <f>Superstore_Sales[[#This Row],[Sales]]*Superstore_Sales[[#This Row],[Quantity]]</f>
        <v>6398.7000000000007</v>
      </c>
      <c r="AA175" s="3">
        <f>Superstore_Sales[[#This Row],[TotalSales]]*Superstore_Sales[[#This Row],[Discount]]/100</f>
        <v>6.3987000000000016</v>
      </c>
      <c r="AB175" s="2">
        <f>Superstore_Sales[[#This Row],[TotalSales]]-Superstore_Sales[[#This Row],[Dis_amt]]-Superstore_Sales[[#This Row],[Shipping Cost]]</f>
        <v>5965.0613000000012</v>
      </c>
    </row>
    <row r="176" spans="1:28" x14ac:dyDescent="0.35">
      <c r="A176">
        <v>24361</v>
      </c>
      <c r="B176" t="s">
        <v>1073</v>
      </c>
      <c r="C176" s="1">
        <v>41800</v>
      </c>
      <c r="D176" s="1">
        <v>41800</v>
      </c>
      <c r="E176">
        <f>Superstore_Sales[[#This Row],[Ship Date]]-Superstore_Sales[[#This Row],[Order Date]]</f>
        <v>0</v>
      </c>
      <c r="F176" t="s">
        <v>73</v>
      </c>
      <c r="G176" t="s">
        <v>1074</v>
      </c>
      <c r="H176" t="s">
        <v>1075</v>
      </c>
      <c r="I176" t="s">
        <v>65</v>
      </c>
      <c r="K176" t="s">
        <v>1076</v>
      </c>
      <c r="L176" t="s">
        <v>1077</v>
      </c>
      <c r="M176" t="s">
        <v>144</v>
      </c>
      <c r="N176" t="s">
        <v>145</v>
      </c>
      <c r="O176" t="s">
        <v>48</v>
      </c>
      <c r="P176" t="s">
        <v>1078</v>
      </c>
      <c r="Q176" t="s">
        <v>35</v>
      </c>
      <c r="R176" t="s">
        <v>81</v>
      </c>
      <c r="S176" t="s">
        <v>1079</v>
      </c>
      <c r="T176">
        <v>957.6</v>
      </c>
      <c r="U176">
        <v>4</v>
      </c>
      <c r="V176">
        <v>0</v>
      </c>
      <c r="W176">
        <v>0</v>
      </c>
      <c r="X176">
        <v>427.1</v>
      </c>
      <c r="Y176" t="s">
        <v>53</v>
      </c>
      <c r="Z176">
        <f>Superstore_Sales[[#This Row],[Sales]]*Superstore_Sales[[#This Row],[Quantity]]</f>
        <v>3830.4</v>
      </c>
      <c r="AA176" s="3">
        <f>Superstore_Sales[[#This Row],[TotalSales]]*Superstore_Sales[[#This Row],[Discount]]/100</f>
        <v>0</v>
      </c>
      <c r="AB176" s="2">
        <f>Superstore_Sales[[#This Row],[TotalSales]]-Superstore_Sales[[#This Row],[Dis_amt]]-Superstore_Sales[[#This Row],[Shipping Cost]]</f>
        <v>3403.3</v>
      </c>
    </row>
    <row r="177" spans="1:28" x14ac:dyDescent="0.35">
      <c r="A177">
        <v>29968</v>
      </c>
      <c r="B177" t="s">
        <v>1080</v>
      </c>
      <c r="C177" s="1">
        <v>42351</v>
      </c>
      <c r="D177" s="1">
        <v>42355</v>
      </c>
      <c r="E177">
        <f>Superstore_Sales[[#This Row],[Ship Date]]-Superstore_Sales[[#This Row],[Order Date]]</f>
        <v>4</v>
      </c>
      <c r="F177" t="s">
        <v>98</v>
      </c>
      <c r="G177" t="s">
        <v>1081</v>
      </c>
      <c r="H177" t="s">
        <v>1082</v>
      </c>
      <c r="I177" t="s">
        <v>65</v>
      </c>
      <c r="K177" t="s">
        <v>1083</v>
      </c>
      <c r="L177" t="s">
        <v>1084</v>
      </c>
      <c r="M177" t="s">
        <v>46</v>
      </c>
      <c r="N177" t="s">
        <v>47</v>
      </c>
      <c r="O177" t="s">
        <v>48</v>
      </c>
      <c r="P177" t="s">
        <v>604</v>
      </c>
      <c r="Q177" t="s">
        <v>147</v>
      </c>
      <c r="R177" t="s">
        <v>148</v>
      </c>
      <c r="S177" t="s">
        <v>605</v>
      </c>
      <c r="T177">
        <v>4864.32</v>
      </c>
      <c r="U177">
        <v>10</v>
      </c>
      <c r="V177">
        <v>0.1</v>
      </c>
      <c r="W177">
        <v>162.12</v>
      </c>
      <c r="X177">
        <v>426.09</v>
      </c>
      <c r="Y177" t="s">
        <v>61</v>
      </c>
      <c r="Z177">
        <f>Superstore_Sales[[#This Row],[Sales]]*Superstore_Sales[[#This Row],[Quantity]]</f>
        <v>48643.199999999997</v>
      </c>
      <c r="AA177" s="3">
        <f>Superstore_Sales[[#This Row],[TotalSales]]*Superstore_Sales[[#This Row],[Discount]]/100</f>
        <v>48.6432</v>
      </c>
      <c r="AB177" s="2">
        <f>Superstore_Sales[[#This Row],[TotalSales]]-Superstore_Sales[[#This Row],[Dis_amt]]-Superstore_Sales[[#This Row],[Shipping Cost]]</f>
        <v>48168.466800000002</v>
      </c>
    </row>
    <row r="178" spans="1:28" x14ac:dyDescent="0.35">
      <c r="A178">
        <v>32221</v>
      </c>
      <c r="B178" t="s">
        <v>1085</v>
      </c>
      <c r="C178" s="1">
        <v>41898</v>
      </c>
      <c r="D178" s="1">
        <v>41903</v>
      </c>
      <c r="E178">
        <f>Superstore_Sales[[#This Row],[Ship Date]]-Superstore_Sales[[#This Row],[Order Date]]</f>
        <v>5</v>
      </c>
      <c r="F178" t="s">
        <v>98</v>
      </c>
      <c r="G178" t="s">
        <v>1045</v>
      </c>
      <c r="H178" t="s">
        <v>1046</v>
      </c>
      <c r="I178" t="s">
        <v>43</v>
      </c>
      <c r="J178">
        <v>10011</v>
      </c>
      <c r="K178" t="s">
        <v>302</v>
      </c>
      <c r="L178" t="s">
        <v>248</v>
      </c>
      <c r="M178" t="s">
        <v>31</v>
      </c>
      <c r="N178" t="s">
        <v>249</v>
      </c>
      <c r="O178" t="s">
        <v>33</v>
      </c>
      <c r="P178" t="s">
        <v>1086</v>
      </c>
      <c r="Q178" t="s">
        <v>147</v>
      </c>
      <c r="R178" t="s">
        <v>384</v>
      </c>
      <c r="S178" t="s">
        <v>1087</v>
      </c>
      <c r="T178">
        <v>841.57</v>
      </c>
      <c r="U178">
        <v>2</v>
      </c>
      <c r="V178">
        <v>0.2</v>
      </c>
      <c r="W178">
        <v>294.55</v>
      </c>
      <c r="X178">
        <v>57.49</v>
      </c>
      <c r="Y178" t="s">
        <v>61</v>
      </c>
      <c r="Z178">
        <f>Superstore_Sales[[#This Row],[Sales]]*Superstore_Sales[[#This Row],[Quantity]]</f>
        <v>1683.14</v>
      </c>
      <c r="AA178" s="3">
        <f>Superstore_Sales[[#This Row],[TotalSales]]*Superstore_Sales[[#This Row],[Discount]]/100</f>
        <v>3.3662800000000006</v>
      </c>
      <c r="AB178" s="2">
        <f>Superstore_Sales[[#This Row],[TotalSales]]-Superstore_Sales[[#This Row],[Dis_amt]]-Superstore_Sales[[#This Row],[Shipping Cost]]</f>
        <v>1622.2837200000001</v>
      </c>
    </row>
    <row r="179" spans="1:28" x14ac:dyDescent="0.35">
      <c r="A179">
        <v>28875</v>
      </c>
      <c r="B179" t="s">
        <v>1088</v>
      </c>
      <c r="C179" s="1">
        <v>42165</v>
      </c>
      <c r="D179" s="1">
        <v>42166</v>
      </c>
      <c r="E179">
        <f>Superstore_Sales[[#This Row],[Ship Date]]-Superstore_Sales[[#This Row],[Order Date]]</f>
        <v>1</v>
      </c>
      <c r="F179" t="s">
        <v>25</v>
      </c>
      <c r="G179" t="s">
        <v>1089</v>
      </c>
      <c r="H179" t="s">
        <v>1090</v>
      </c>
      <c r="I179" t="s">
        <v>28</v>
      </c>
      <c r="K179" t="s">
        <v>1091</v>
      </c>
      <c r="L179" t="s">
        <v>610</v>
      </c>
      <c r="M179" t="s">
        <v>611</v>
      </c>
      <c r="N179" t="s">
        <v>322</v>
      </c>
      <c r="O179" t="s">
        <v>48</v>
      </c>
      <c r="P179" t="s">
        <v>1092</v>
      </c>
      <c r="Q179" t="s">
        <v>147</v>
      </c>
      <c r="R179" t="s">
        <v>148</v>
      </c>
      <c r="S179" t="s">
        <v>1093</v>
      </c>
      <c r="T179">
        <v>1433.84</v>
      </c>
      <c r="U179">
        <v>3</v>
      </c>
      <c r="V179">
        <v>0.15</v>
      </c>
      <c r="W179">
        <v>-84.37</v>
      </c>
      <c r="X179">
        <v>424.81</v>
      </c>
      <c r="Y179" t="s">
        <v>38</v>
      </c>
      <c r="Z179">
        <f>Superstore_Sales[[#This Row],[Sales]]*Superstore_Sales[[#This Row],[Quantity]]</f>
        <v>4301.5199999999995</v>
      </c>
      <c r="AA179" s="3">
        <f>Superstore_Sales[[#This Row],[TotalSales]]*Superstore_Sales[[#This Row],[Discount]]/100</f>
        <v>6.4522799999999991</v>
      </c>
      <c r="AB179" s="2">
        <f>Superstore_Sales[[#This Row],[TotalSales]]-Superstore_Sales[[#This Row],[Dis_amt]]-Superstore_Sales[[#This Row],[Shipping Cost]]</f>
        <v>3870.2577199999992</v>
      </c>
    </row>
    <row r="180" spans="1:28" x14ac:dyDescent="0.35">
      <c r="A180">
        <v>48781</v>
      </c>
      <c r="B180" t="s">
        <v>1094</v>
      </c>
      <c r="C180" s="1">
        <v>40954</v>
      </c>
      <c r="D180" s="1">
        <v>40955</v>
      </c>
      <c r="E180">
        <f>Superstore_Sales[[#This Row],[Ship Date]]-Superstore_Sales[[#This Row],[Order Date]]</f>
        <v>1</v>
      </c>
      <c r="F180" t="s">
        <v>25</v>
      </c>
      <c r="G180" t="s">
        <v>1095</v>
      </c>
      <c r="H180" t="s">
        <v>1096</v>
      </c>
      <c r="I180" t="s">
        <v>65</v>
      </c>
      <c r="K180" t="s">
        <v>1097</v>
      </c>
      <c r="L180" t="s">
        <v>1098</v>
      </c>
      <c r="M180" t="s">
        <v>1099</v>
      </c>
      <c r="N180" t="s">
        <v>1100</v>
      </c>
      <c r="O180" t="s">
        <v>79</v>
      </c>
      <c r="P180" t="s">
        <v>1101</v>
      </c>
      <c r="Q180" t="s">
        <v>147</v>
      </c>
      <c r="R180" t="s">
        <v>162</v>
      </c>
      <c r="S180" t="s">
        <v>1102</v>
      </c>
      <c r="T180">
        <v>2784.6</v>
      </c>
      <c r="U180">
        <v>14</v>
      </c>
      <c r="V180">
        <v>0</v>
      </c>
      <c r="W180">
        <v>779.52</v>
      </c>
      <c r="X180">
        <v>422.25</v>
      </c>
      <c r="Y180" t="s">
        <v>53</v>
      </c>
      <c r="Z180">
        <f>Superstore_Sales[[#This Row],[Sales]]*Superstore_Sales[[#This Row],[Quantity]]</f>
        <v>38984.400000000001</v>
      </c>
      <c r="AA180" s="3">
        <f>Superstore_Sales[[#This Row],[TotalSales]]*Superstore_Sales[[#This Row],[Discount]]/100</f>
        <v>0</v>
      </c>
      <c r="AB180" s="2">
        <f>Superstore_Sales[[#This Row],[TotalSales]]-Superstore_Sales[[#This Row],[Dis_amt]]-Superstore_Sales[[#This Row],[Shipping Cost]]</f>
        <v>38562.15</v>
      </c>
    </row>
    <row r="181" spans="1:28" x14ac:dyDescent="0.35">
      <c r="A181">
        <v>15922</v>
      </c>
      <c r="B181" t="s">
        <v>1103</v>
      </c>
      <c r="C181" s="1">
        <v>41971</v>
      </c>
      <c r="D181" s="1">
        <v>41977</v>
      </c>
      <c r="E181">
        <f>Superstore_Sales[[#This Row],[Ship Date]]-Superstore_Sales[[#This Row],[Order Date]]</f>
        <v>6</v>
      </c>
      <c r="F181" t="s">
        <v>98</v>
      </c>
      <c r="G181" t="s">
        <v>1104</v>
      </c>
      <c r="H181" t="s">
        <v>1105</v>
      </c>
      <c r="I181" t="s">
        <v>28</v>
      </c>
      <c r="K181" t="s">
        <v>1106</v>
      </c>
      <c r="L181" t="s">
        <v>1107</v>
      </c>
      <c r="M181" t="s">
        <v>463</v>
      </c>
      <c r="N181" t="s">
        <v>171</v>
      </c>
      <c r="O181" t="s">
        <v>69</v>
      </c>
      <c r="P181" t="s">
        <v>425</v>
      </c>
      <c r="Q181" t="s">
        <v>50</v>
      </c>
      <c r="R181" t="s">
        <v>336</v>
      </c>
      <c r="S181" t="s">
        <v>426</v>
      </c>
      <c r="T181">
        <v>3063.27</v>
      </c>
      <c r="U181">
        <v>7</v>
      </c>
      <c r="V181">
        <v>0</v>
      </c>
      <c r="W181">
        <v>1470.21</v>
      </c>
      <c r="X181">
        <v>419.38</v>
      </c>
      <c r="Y181" t="s">
        <v>164</v>
      </c>
      <c r="Z181">
        <f>Superstore_Sales[[#This Row],[Sales]]*Superstore_Sales[[#This Row],[Quantity]]</f>
        <v>21442.89</v>
      </c>
      <c r="AA181" s="3">
        <f>Superstore_Sales[[#This Row],[TotalSales]]*Superstore_Sales[[#This Row],[Discount]]/100</f>
        <v>0</v>
      </c>
      <c r="AB181" s="2">
        <f>Superstore_Sales[[#This Row],[TotalSales]]-Superstore_Sales[[#This Row],[Dis_amt]]-Superstore_Sales[[#This Row],[Shipping Cost]]</f>
        <v>21023.51</v>
      </c>
    </row>
    <row r="182" spans="1:28" x14ac:dyDescent="0.35">
      <c r="A182">
        <v>39983</v>
      </c>
      <c r="B182" t="s">
        <v>1108</v>
      </c>
      <c r="C182" s="1">
        <v>41817</v>
      </c>
      <c r="D182" s="1">
        <v>41817</v>
      </c>
      <c r="E182">
        <f>Superstore_Sales[[#This Row],[Ship Date]]-Superstore_Sales[[#This Row],[Order Date]]</f>
        <v>0</v>
      </c>
      <c r="F182" t="s">
        <v>73</v>
      </c>
      <c r="G182" t="s">
        <v>1109</v>
      </c>
      <c r="H182" t="s">
        <v>1046</v>
      </c>
      <c r="I182" t="s">
        <v>43</v>
      </c>
      <c r="J182">
        <v>90036</v>
      </c>
      <c r="K182" t="s">
        <v>298</v>
      </c>
      <c r="L182" t="s">
        <v>280</v>
      </c>
      <c r="M182" t="s">
        <v>31</v>
      </c>
      <c r="N182" t="s">
        <v>110</v>
      </c>
      <c r="O182" t="s">
        <v>33</v>
      </c>
      <c r="P182" t="s">
        <v>1110</v>
      </c>
      <c r="Q182" t="s">
        <v>147</v>
      </c>
      <c r="R182" t="s">
        <v>903</v>
      </c>
      <c r="S182" t="s">
        <v>1111</v>
      </c>
      <c r="T182">
        <v>231.72</v>
      </c>
      <c r="U182">
        <v>2</v>
      </c>
      <c r="V182">
        <v>0</v>
      </c>
      <c r="W182">
        <v>11.59</v>
      </c>
      <c r="X182">
        <v>43.08</v>
      </c>
      <c r="Y182" t="s">
        <v>53</v>
      </c>
      <c r="Z182">
        <f>Superstore_Sales[[#This Row],[Sales]]*Superstore_Sales[[#This Row],[Quantity]]</f>
        <v>463.44</v>
      </c>
      <c r="AA182" s="3">
        <f>Superstore_Sales[[#This Row],[TotalSales]]*Superstore_Sales[[#This Row],[Discount]]/100</f>
        <v>0</v>
      </c>
      <c r="AB182" s="2">
        <f>Superstore_Sales[[#This Row],[TotalSales]]-Superstore_Sales[[#This Row],[Dis_amt]]-Superstore_Sales[[#This Row],[Shipping Cost]]</f>
        <v>420.36</v>
      </c>
    </row>
    <row r="183" spans="1:28" x14ac:dyDescent="0.35">
      <c r="A183">
        <v>33163</v>
      </c>
      <c r="B183" t="s">
        <v>1112</v>
      </c>
      <c r="C183" s="1">
        <v>42110</v>
      </c>
      <c r="D183" s="1">
        <v>42113</v>
      </c>
      <c r="E183">
        <f>Superstore_Sales[[#This Row],[Ship Date]]-Superstore_Sales[[#This Row],[Order Date]]</f>
        <v>3</v>
      </c>
      <c r="F183" t="s">
        <v>25</v>
      </c>
      <c r="G183" t="s">
        <v>1109</v>
      </c>
      <c r="H183" t="s">
        <v>1046</v>
      </c>
      <c r="I183" t="s">
        <v>43</v>
      </c>
      <c r="J183">
        <v>89015</v>
      </c>
      <c r="K183" t="s">
        <v>1113</v>
      </c>
      <c r="L183" t="s">
        <v>1114</v>
      </c>
      <c r="M183" t="s">
        <v>31</v>
      </c>
      <c r="N183" t="s">
        <v>110</v>
      </c>
      <c r="O183" t="s">
        <v>33</v>
      </c>
      <c r="P183" t="s">
        <v>1115</v>
      </c>
      <c r="Q183" t="s">
        <v>50</v>
      </c>
      <c r="R183" t="s">
        <v>353</v>
      </c>
      <c r="S183" t="s">
        <v>1116</v>
      </c>
      <c r="T183">
        <v>196.45</v>
      </c>
      <c r="U183">
        <v>5</v>
      </c>
      <c r="V183">
        <v>0</v>
      </c>
      <c r="W183">
        <v>70.72</v>
      </c>
      <c r="X183">
        <v>36.520000000000003</v>
      </c>
      <c r="Y183" t="s">
        <v>61</v>
      </c>
      <c r="Z183">
        <f>Superstore_Sales[[#This Row],[Sales]]*Superstore_Sales[[#This Row],[Quantity]]</f>
        <v>982.25</v>
      </c>
      <c r="AA183" s="3">
        <f>Superstore_Sales[[#This Row],[TotalSales]]*Superstore_Sales[[#This Row],[Discount]]/100</f>
        <v>0</v>
      </c>
      <c r="AB183" s="2">
        <f>Superstore_Sales[[#This Row],[TotalSales]]-Superstore_Sales[[#This Row],[Dis_amt]]-Superstore_Sales[[#This Row],[Shipping Cost]]</f>
        <v>945.73</v>
      </c>
    </row>
    <row r="184" spans="1:28" x14ac:dyDescent="0.35">
      <c r="A184">
        <v>2641</v>
      </c>
      <c r="B184" t="s">
        <v>1117</v>
      </c>
      <c r="C184" s="1">
        <v>41129</v>
      </c>
      <c r="D184" s="1">
        <v>41129</v>
      </c>
      <c r="E184">
        <f>Superstore_Sales[[#This Row],[Ship Date]]-Superstore_Sales[[#This Row],[Order Date]]</f>
        <v>0</v>
      </c>
      <c r="F184" t="s">
        <v>73</v>
      </c>
      <c r="G184" t="s">
        <v>1118</v>
      </c>
      <c r="H184" t="s">
        <v>1119</v>
      </c>
      <c r="I184" t="s">
        <v>28</v>
      </c>
      <c r="K184" t="s">
        <v>264</v>
      </c>
      <c r="L184" t="s">
        <v>264</v>
      </c>
      <c r="M184" t="s">
        <v>265</v>
      </c>
      <c r="N184" t="s">
        <v>266</v>
      </c>
      <c r="O184" t="s">
        <v>136</v>
      </c>
      <c r="P184" t="s">
        <v>438</v>
      </c>
      <c r="Q184" t="s">
        <v>35</v>
      </c>
      <c r="R184" t="s">
        <v>36</v>
      </c>
      <c r="S184" t="s">
        <v>439</v>
      </c>
      <c r="T184">
        <v>2044.8</v>
      </c>
      <c r="U184">
        <v>6</v>
      </c>
      <c r="V184">
        <v>0.2</v>
      </c>
      <c r="W184">
        <v>-332.28</v>
      </c>
      <c r="X184">
        <v>417.99</v>
      </c>
      <c r="Y184" t="s">
        <v>38</v>
      </c>
      <c r="Z184">
        <f>Superstore_Sales[[#This Row],[Sales]]*Superstore_Sales[[#This Row],[Quantity]]</f>
        <v>12268.8</v>
      </c>
      <c r="AA184" s="3">
        <f>Superstore_Sales[[#This Row],[TotalSales]]*Superstore_Sales[[#This Row],[Discount]]/100</f>
        <v>24.537599999999998</v>
      </c>
      <c r="AB184" s="2">
        <f>Superstore_Sales[[#This Row],[TotalSales]]-Superstore_Sales[[#This Row],[Dis_amt]]-Superstore_Sales[[#This Row],[Shipping Cost]]</f>
        <v>11826.2724</v>
      </c>
    </row>
    <row r="185" spans="1:28" x14ac:dyDescent="0.35">
      <c r="A185">
        <v>39711</v>
      </c>
      <c r="B185" t="s">
        <v>1120</v>
      </c>
      <c r="C185" s="1">
        <v>41991</v>
      </c>
      <c r="D185" s="1">
        <v>41995</v>
      </c>
      <c r="E185">
        <f>Superstore_Sales[[#This Row],[Ship Date]]-Superstore_Sales[[#This Row],[Order Date]]</f>
        <v>4</v>
      </c>
      <c r="F185" t="s">
        <v>98</v>
      </c>
      <c r="G185" t="s">
        <v>1121</v>
      </c>
      <c r="H185" t="s">
        <v>1046</v>
      </c>
      <c r="I185" t="s">
        <v>43</v>
      </c>
      <c r="J185">
        <v>76017</v>
      </c>
      <c r="K185" t="s">
        <v>159</v>
      </c>
      <c r="L185" t="s">
        <v>160</v>
      </c>
      <c r="M185" t="s">
        <v>31</v>
      </c>
      <c r="N185" t="s">
        <v>32</v>
      </c>
      <c r="O185" t="s">
        <v>33</v>
      </c>
      <c r="P185" t="s">
        <v>1122</v>
      </c>
      <c r="Q185" t="s">
        <v>35</v>
      </c>
      <c r="R185" t="s">
        <v>304</v>
      </c>
      <c r="S185" t="s">
        <v>1123</v>
      </c>
      <c r="T185">
        <v>165.6</v>
      </c>
      <c r="U185">
        <v>3</v>
      </c>
      <c r="V185">
        <v>0.2</v>
      </c>
      <c r="W185">
        <v>-6.21</v>
      </c>
      <c r="X185">
        <v>11.15</v>
      </c>
      <c r="Y185" t="s">
        <v>61</v>
      </c>
      <c r="Z185">
        <f>Superstore_Sales[[#This Row],[Sales]]*Superstore_Sales[[#This Row],[Quantity]]</f>
        <v>496.79999999999995</v>
      </c>
      <c r="AA185" s="3">
        <f>Superstore_Sales[[#This Row],[TotalSales]]*Superstore_Sales[[#This Row],[Discount]]/100</f>
        <v>0.99360000000000004</v>
      </c>
      <c r="AB185" s="2">
        <f>Superstore_Sales[[#This Row],[TotalSales]]-Superstore_Sales[[#This Row],[Dis_amt]]-Superstore_Sales[[#This Row],[Shipping Cost]]</f>
        <v>484.65639999999996</v>
      </c>
    </row>
    <row r="186" spans="1:28" x14ac:dyDescent="0.35">
      <c r="A186">
        <v>26068</v>
      </c>
      <c r="B186" t="s">
        <v>1124</v>
      </c>
      <c r="C186" s="1">
        <v>41488</v>
      </c>
      <c r="D186" s="1">
        <v>41490</v>
      </c>
      <c r="E186">
        <f>Superstore_Sales[[#This Row],[Ship Date]]-Superstore_Sales[[#This Row],[Order Date]]</f>
        <v>2</v>
      </c>
      <c r="F186" t="s">
        <v>25</v>
      </c>
      <c r="G186" t="s">
        <v>1125</v>
      </c>
      <c r="H186" t="s">
        <v>1126</v>
      </c>
      <c r="I186" t="s">
        <v>43</v>
      </c>
      <c r="K186" t="s">
        <v>1127</v>
      </c>
      <c r="L186" t="s">
        <v>365</v>
      </c>
      <c r="M186" t="s">
        <v>144</v>
      </c>
      <c r="N186" t="s">
        <v>145</v>
      </c>
      <c r="O186" t="s">
        <v>48</v>
      </c>
      <c r="P186" t="s">
        <v>1128</v>
      </c>
      <c r="Q186" t="s">
        <v>35</v>
      </c>
      <c r="R186" t="s">
        <v>81</v>
      </c>
      <c r="S186" t="s">
        <v>1129</v>
      </c>
      <c r="T186">
        <v>1521</v>
      </c>
      <c r="U186">
        <v>4</v>
      </c>
      <c r="V186">
        <v>0</v>
      </c>
      <c r="W186">
        <v>0</v>
      </c>
      <c r="X186">
        <v>416.74</v>
      </c>
      <c r="Y186" t="s">
        <v>38</v>
      </c>
      <c r="Z186">
        <f>Superstore_Sales[[#This Row],[Sales]]*Superstore_Sales[[#This Row],[Quantity]]</f>
        <v>6084</v>
      </c>
      <c r="AA186" s="3">
        <f>Superstore_Sales[[#This Row],[TotalSales]]*Superstore_Sales[[#This Row],[Discount]]/100</f>
        <v>0</v>
      </c>
      <c r="AB186" s="2">
        <f>Superstore_Sales[[#This Row],[TotalSales]]-Superstore_Sales[[#This Row],[Dis_amt]]-Superstore_Sales[[#This Row],[Shipping Cost]]</f>
        <v>5667.26</v>
      </c>
    </row>
    <row r="187" spans="1:28" x14ac:dyDescent="0.35">
      <c r="A187">
        <v>41716</v>
      </c>
      <c r="B187" t="s">
        <v>1130</v>
      </c>
      <c r="C187" s="1">
        <v>42101</v>
      </c>
      <c r="D187" s="1">
        <v>42106</v>
      </c>
      <c r="E187">
        <f>Superstore_Sales[[#This Row],[Ship Date]]-Superstore_Sales[[#This Row],[Order Date]]</f>
        <v>5</v>
      </c>
      <c r="F187" t="s">
        <v>98</v>
      </c>
      <c r="G187" t="s">
        <v>1131</v>
      </c>
      <c r="H187" t="s">
        <v>1046</v>
      </c>
      <c r="I187" t="s">
        <v>43</v>
      </c>
      <c r="K187" t="s">
        <v>1132</v>
      </c>
      <c r="L187" t="s">
        <v>1133</v>
      </c>
      <c r="M187" t="s">
        <v>1134</v>
      </c>
      <c r="N187" t="s">
        <v>1134</v>
      </c>
      <c r="O187" t="s">
        <v>33</v>
      </c>
      <c r="P187" t="s">
        <v>1135</v>
      </c>
      <c r="Q187" t="s">
        <v>147</v>
      </c>
      <c r="R187" t="s">
        <v>162</v>
      </c>
      <c r="S187" t="s">
        <v>1136</v>
      </c>
      <c r="T187">
        <v>137.31</v>
      </c>
      <c r="U187">
        <v>1</v>
      </c>
      <c r="V187">
        <v>0</v>
      </c>
      <c r="W187">
        <v>54.9</v>
      </c>
      <c r="X187">
        <v>11.13</v>
      </c>
      <c r="Y187" t="s">
        <v>38</v>
      </c>
      <c r="Z187">
        <f>Superstore_Sales[[#This Row],[Sales]]*Superstore_Sales[[#This Row],[Quantity]]</f>
        <v>137.31</v>
      </c>
      <c r="AA187" s="3">
        <f>Superstore_Sales[[#This Row],[TotalSales]]*Superstore_Sales[[#This Row],[Discount]]/100</f>
        <v>0</v>
      </c>
      <c r="AB187" s="2">
        <f>Superstore_Sales[[#This Row],[TotalSales]]-Superstore_Sales[[#This Row],[Dis_amt]]-Superstore_Sales[[#This Row],[Shipping Cost]]</f>
        <v>126.18</v>
      </c>
    </row>
    <row r="188" spans="1:28" x14ac:dyDescent="0.35">
      <c r="A188">
        <v>44140</v>
      </c>
      <c r="B188" t="s">
        <v>1137</v>
      </c>
      <c r="C188" s="1">
        <v>41853</v>
      </c>
      <c r="D188" s="1">
        <v>41853</v>
      </c>
      <c r="E188">
        <f>Superstore_Sales[[#This Row],[Ship Date]]-Superstore_Sales[[#This Row],[Order Date]]</f>
        <v>0</v>
      </c>
      <c r="F188" t="s">
        <v>73</v>
      </c>
      <c r="G188" t="s">
        <v>1138</v>
      </c>
      <c r="H188" t="s">
        <v>1139</v>
      </c>
      <c r="I188" t="s">
        <v>43</v>
      </c>
      <c r="K188" t="s">
        <v>1140</v>
      </c>
      <c r="L188" t="s">
        <v>1141</v>
      </c>
      <c r="M188" t="s">
        <v>391</v>
      </c>
      <c r="N188" t="s">
        <v>118</v>
      </c>
      <c r="O188" t="s">
        <v>48</v>
      </c>
      <c r="P188" t="s">
        <v>1142</v>
      </c>
      <c r="Q188" t="s">
        <v>35</v>
      </c>
      <c r="R188" t="s">
        <v>275</v>
      </c>
      <c r="S188" t="s">
        <v>1143</v>
      </c>
      <c r="T188">
        <v>1141.8</v>
      </c>
      <c r="U188">
        <v>10</v>
      </c>
      <c r="V188">
        <v>0</v>
      </c>
      <c r="W188">
        <v>570.9</v>
      </c>
      <c r="X188">
        <v>415.01</v>
      </c>
      <c r="Y188" t="s">
        <v>53</v>
      </c>
      <c r="Z188">
        <f>Superstore_Sales[[#This Row],[Sales]]*Superstore_Sales[[#This Row],[Quantity]]</f>
        <v>11418</v>
      </c>
      <c r="AA188" s="3">
        <f>Superstore_Sales[[#This Row],[TotalSales]]*Superstore_Sales[[#This Row],[Discount]]/100</f>
        <v>0</v>
      </c>
      <c r="AB188" s="2">
        <f>Superstore_Sales[[#This Row],[TotalSales]]-Superstore_Sales[[#This Row],[Dis_amt]]-Superstore_Sales[[#This Row],[Shipping Cost]]</f>
        <v>11002.99</v>
      </c>
    </row>
    <row r="189" spans="1:28" x14ac:dyDescent="0.35">
      <c r="A189">
        <v>29226</v>
      </c>
      <c r="B189" t="s">
        <v>1144</v>
      </c>
      <c r="C189" s="1">
        <v>42146</v>
      </c>
      <c r="D189" s="1">
        <v>42149</v>
      </c>
      <c r="E189">
        <f>Superstore_Sales[[#This Row],[Ship Date]]-Superstore_Sales[[#This Row],[Order Date]]</f>
        <v>3</v>
      </c>
      <c r="F189" t="s">
        <v>40</v>
      </c>
      <c r="G189" t="s">
        <v>1145</v>
      </c>
      <c r="H189" t="s">
        <v>1146</v>
      </c>
      <c r="I189" t="s">
        <v>43</v>
      </c>
      <c r="K189" t="s">
        <v>1147</v>
      </c>
      <c r="L189" t="s">
        <v>372</v>
      </c>
      <c r="M189" t="s">
        <v>258</v>
      </c>
      <c r="N189" t="s">
        <v>118</v>
      </c>
      <c r="O189" t="s">
        <v>48</v>
      </c>
      <c r="P189" t="s">
        <v>1148</v>
      </c>
      <c r="Q189" t="s">
        <v>147</v>
      </c>
      <c r="R189" t="s">
        <v>162</v>
      </c>
      <c r="S189" t="s">
        <v>1149</v>
      </c>
      <c r="T189">
        <v>1865.97</v>
      </c>
      <c r="U189">
        <v>9</v>
      </c>
      <c r="V189">
        <v>0</v>
      </c>
      <c r="W189">
        <v>802.17</v>
      </c>
      <c r="X189">
        <v>413.95</v>
      </c>
      <c r="Y189" t="s">
        <v>53</v>
      </c>
      <c r="Z189">
        <f>Superstore_Sales[[#This Row],[Sales]]*Superstore_Sales[[#This Row],[Quantity]]</f>
        <v>16793.73</v>
      </c>
      <c r="AA189" s="3">
        <f>Superstore_Sales[[#This Row],[TotalSales]]*Superstore_Sales[[#This Row],[Discount]]/100</f>
        <v>0</v>
      </c>
      <c r="AB189" s="2">
        <f>Superstore_Sales[[#This Row],[TotalSales]]-Superstore_Sales[[#This Row],[Dis_amt]]-Superstore_Sales[[#This Row],[Shipping Cost]]</f>
        <v>16379.779999999999</v>
      </c>
    </row>
    <row r="190" spans="1:28" x14ac:dyDescent="0.35">
      <c r="A190">
        <v>27720</v>
      </c>
      <c r="B190" t="s">
        <v>1150</v>
      </c>
      <c r="C190" s="1">
        <v>40949</v>
      </c>
      <c r="D190" s="1">
        <v>40954</v>
      </c>
      <c r="E190">
        <f>Superstore_Sales[[#This Row],[Ship Date]]-Superstore_Sales[[#This Row],[Order Date]]</f>
        <v>5</v>
      </c>
      <c r="F190" t="s">
        <v>98</v>
      </c>
      <c r="G190" t="s">
        <v>1151</v>
      </c>
      <c r="H190" t="s">
        <v>1152</v>
      </c>
      <c r="I190" t="s">
        <v>43</v>
      </c>
      <c r="K190" t="s">
        <v>1153</v>
      </c>
      <c r="L190" t="s">
        <v>1154</v>
      </c>
      <c r="M190" t="s">
        <v>1155</v>
      </c>
      <c r="N190" t="s">
        <v>145</v>
      </c>
      <c r="O190" t="s">
        <v>48</v>
      </c>
      <c r="P190" t="s">
        <v>267</v>
      </c>
      <c r="Q190" t="s">
        <v>35</v>
      </c>
      <c r="R190" t="s">
        <v>36</v>
      </c>
      <c r="S190" t="s">
        <v>268</v>
      </c>
      <c r="T190">
        <v>6998.64</v>
      </c>
      <c r="U190">
        <v>11</v>
      </c>
      <c r="V190">
        <v>0</v>
      </c>
      <c r="W190">
        <v>2939.31</v>
      </c>
      <c r="X190">
        <v>413.8</v>
      </c>
      <c r="Y190" t="s">
        <v>61</v>
      </c>
      <c r="Z190">
        <f>Superstore_Sales[[#This Row],[Sales]]*Superstore_Sales[[#This Row],[Quantity]]</f>
        <v>76985.040000000008</v>
      </c>
      <c r="AA190" s="3">
        <f>Superstore_Sales[[#This Row],[TotalSales]]*Superstore_Sales[[#This Row],[Discount]]/100</f>
        <v>0</v>
      </c>
      <c r="AB190" s="2">
        <f>Superstore_Sales[[#This Row],[TotalSales]]-Superstore_Sales[[#This Row],[Dis_amt]]-Superstore_Sales[[#This Row],[Shipping Cost]]</f>
        <v>76571.240000000005</v>
      </c>
    </row>
    <row r="191" spans="1:28" x14ac:dyDescent="0.35">
      <c r="A191">
        <v>11073</v>
      </c>
      <c r="B191" t="s">
        <v>1156</v>
      </c>
      <c r="C191" s="1">
        <v>41909</v>
      </c>
      <c r="D191" s="1">
        <v>41909</v>
      </c>
      <c r="E191">
        <f>Superstore_Sales[[#This Row],[Ship Date]]-Superstore_Sales[[#This Row],[Order Date]]</f>
        <v>0</v>
      </c>
      <c r="F191" t="s">
        <v>73</v>
      </c>
      <c r="G191" t="s">
        <v>1157</v>
      </c>
      <c r="H191" t="s">
        <v>1158</v>
      </c>
      <c r="I191" t="s">
        <v>28</v>
      </c>
      <c r="K191" t="s">
        <v>1159</v>
      </c>
      <c r="L191" t="s">
        <v>982</v>
      </c>
      <c r="M191" t="s">
        <v>463</v>
      </c>
      <c r="N191" t="s">
        <v>171</v>
      </c>
      <c r="O191" t="s">
        <v>69</v>
      </c>
      <c r="P191" t="s">
        <v>1160</v>
      </c>
      <c r="Q191" t="s">
        <v>50</v>
      </c>
      <c r="R191" t="s">
        <v>336</v>
      </c>
      <c r="S191" t="s">
        <v>1161</v>
      </c>
      <c r="T191">
        <v>1091.25</v>
      </c>
      <c r="U191">
        <v>3</v>
      </c>
      <c r="V191">
        <v>0</v>
      </c>
      <c r="W191">
        <v>119.97</v>
      </c>
      <c r="X191">
        <v>411.64</v>
      </c>
      <c r="Y191" t="s">
        <v>53</v>
      </c>
      <c r="Z191">
        <f>Superstore_Sales[[#This Row],[Sales]]*Superstore_Sales[[#This Row],[Quantity]]</f>
        <v>3273.75</v>
      </c>
      <c r="AA191" s="3">
        <f>Superstore_Sales[[#This Row],[TotalSales]]*Superstore_Sales[[#This Row],[Discount]]/100</f>
        <v>0</v>
      </c>
      <c r="AB191" s="2">
        <f>Superstore_Sales[[#This Row],[TotalSales]]-Superstore_Sales[[#This Row],[Dis_amt]]-Superstore_Sales[[#This Row],[Shipping Cost]]</f>
        <v>2862.11</v>
      </c>
    </row>
    <row r="192" spans="1:28" x14ac:dyDescent="0.35">
      <c r="A192">
        <v>24030</v>
      </c>
      <c r="B192" t="s">
        <v>1162</v>
      </c>
      <c r="C192" s="1">
        <v>42157</v>
      </c>
      <c r="D192" s="1">
        <v>42159</v>
      </c>
      <c r="E192">
        <f>Superstore_Sales[[#This Row],[Ship Date]]-Superstore_Sales[[#This Row],[Order Date]]</f>
        <v>2</v>
      </c>
      <c r="F192" t="s">
        <v>25</v>
      </c>
      <c r="G192" t="s">
        <v>1163</v>
      </c>
      <c r="H192" t="s">
        <v>1164</v>
      </c>
      <c r="I192" t="s">
        <v>65</v>
      </c>
      <c r="K192" t="s">
        <v>1165</v>
      </c>
      <c r="L192" t="s">
        <v>334</v>
      </c>
      <c r="M192" t="s">
        <v>258</v>
      </c>
      <c r="N192" t="s">
        <v>118</v>
      </c>
      <c r="O192" t="s">
        <v>48</v>
      </c>
      <c r="P192" t="s">
        <v>1166</v>
      </c>
      <c r="Q192" t="s">
        <v>50</v>
      </c>
      <c r="R192" t="s">
        <v>336</v>
      </c>
      <c r="S192" t="s">
        <v>1167</v>
      </c>
      <c r="T192">
        <v>1094.22</v>
      </c>
      <c r="U192">
        <v>3</v>
      </c>
      <c r="V192">
        <v>0</v>
      </c>
      <c r="W192">
        <v>328.23</v>
      </c>
      <c r="X192">
        <v>411.06</v>
      </c>
      <c r="Y192" t="s">
        <v>53</v>
      </c>
      <c r="Z192">
        <f>Superstore_Sales[[#This Row],[Sales]]*Superstore_Sales[[#This Row],[Quantity]]</f>
        <v>3282.66</v>
      </c>
      <c r="AA192" s="3">
        <f>Superstore_Sales[[#This Row],[TotalSales]]*Superstore_Sales[[#This Row],[Discount]]/100</f>
        <v>0</v>
      </c>
      <c r="AB192" s="2">
        <f>Superstore_Sales[[#This Row],[TotalSales]]-Superstore_Sales[[#This Row],[Dis_amt]]-Superstore_Sales[[#This Row],[Shipping Cost]]</f>
        <v>2871.6</v>
      </c>
    </row>
    <row r="193" spans="1:28" x14ac:dyDescent="0.35">
      <c r="A193">
        <v>30202</v>
      </c>
      <c r="B193" t="s">
        <v>1168</v>
      </c>
      <c r="C193" s="1">
        <v>41912</v>
      </c>
      <c r="D193" s="1">
        <v>41915</v>
      </c>
      <c r="E193">
        <f>Superstore_Sales[[#This Row],[Ship Date]]-Superstore_Sales[[#This Row],[Order Date]]</f>
        <v>3</v>
      </c>
      <c r="F193" t="s">
        <v>25</v>
      </c>
      <c r="G193" t="s">
        <v>1169</v>
      </c>
      <c r="H193" t="s">
        <v>1170</v>
      </c>
      <c r="I193" t="s">
        <v>43</v>
      </c>
      <c r="K193" t="s">
        <v>741</v>
      </c>
      <c r="L193" t="s">
        <v>742</v>
      </c>
      <c r="M193" t="s">
        <v>46</v>
      </c>
      <c r="N193" t="s">
        <v>47</v>
      </c>
      <c r="O193" t="s">
        <v>48</v>
      </c>
      <c r="P193" t="s">
        <v>1171</v>
      </c>
      <c r="Q193" t="s">
        <v>50</v>
      </c>
      <c r="R193" t="s">
        <v>336</v>
      </c>
      <c r="S193" t="s">
        <v>1172</v>
      </c>
      <c r="T193">
        <v>1320.62</v>
      </c>
      <c r="U193">
        <v>4</v>
      </c>
      <c r="V193">
        <v>0.1</v>
      </c>
      <c r="W193">
        <v>484.22</v>
      </c>
      <c r="X193">
        <v>410.88</v>
      </c>
      <c r="Y193" t="s">
        <v>53</v>
      </c>
      <c r="Z193">
        <f>Superstore_Sales[[#This Row],[Sales]]*Superstore_Sales[[#This Row],[Quantity]]</f>
        <v>5282.48</v>
      </c>
      <c r="AA193" s="3">
        <f>Superstore_Sales[[#This Row],[TotalSales]]*Superstore_Sales[[#This Row],[Discount]]/100</f>
        <v>5.2824799999999996</v>
      </c>
      <c r="AB193" s="2">
        <f>Superstore_Sales[[#This Row],[TotalSales]]-Superstore_Sales[[#This Row],[Dis_amt]]-Superstore_Sales[[#This Row],[Shipping Cost]]</f>
        <v>4866.3175199999996</v>
      </c>
    </row>
    <row r="194" spans="1:28" x14ac:dyDescent="0.35">
      <c r="A194">
        <v>27230</v>
      </c>
      <c r="B194" t="s">
        <v>1173</v>
      </c>
      <c r="C194" s="1">
        <v>41108</v>
      </c>
      <c r="D194" s="1">
        <v>41109</v>
      </c>
      <c r="E194">
        <f>Superstore_Sales[[#This Row],[Ship Date]]-Superstore_Sales[[#This Row],[Order Date]]</f>
        <v>1</v>
      </c>
      <c r="F194" t="s">
        <v>25</v>
      </c>
      <c r="G194" t="s">
        <v>1174</v>
      </c>
      <c r="H194" t="s">
        <v>1175</v>
      </c>
      <c r="I194" t="s">
        <v>28</v>
      </c>
      <c r="K194" t="s">
        <v>1176</v>
      </c>
      <c r="L194" t="s">
        <v>1176</v>
      </c>
      <c r="M194" t="s">
        <v>767</v>
      </c>
      <c r="N194" t="s">
        <v>322</v>
      </c>
      <c r="O194" t="s">
        <v>48</v>
      </c>
      <c r="P194" t="s">
        <v>59</v>
      </c>
      <c r="Q194" t="s">
        <v>35</v>
      </c>
      <c r="R194" t="s">
        <v>36</v>
      </c>
      <c r="S194" t="s">
        <v>60</v>
      </c>
      <c r="T194">
        <v>2555.64</v>
      </c>
      <c r="U194">
        <v>4</v>
      </c>
      <c r="V194">
        <v>0</v>
      </c>
      <c r="W194">
        <v>664.44</v>
      </c>
      <c r="X194">
        <v>410.22</v>
      </c>
      <c r="Y194" t="s">
        <v>38</v>
      </c>
      <c r="Z194">
        <f>Superstore_Sales[[#This Row],[Sales]]*Superstore_Sales[[#This Row],[Quantity]]</f>
        <v>10222.56</v>
      </c>
      <c r="AA194" s="3">
        <f>Superstore_Sales[[#This Row],[TotalSales]]*Superstore_Sales[[#This Row],[Discount]]/100</f>
        <v>0</v>
      </c>
      <c r="AB194" s="2">
        <f>Superstore_Sales[[#This Row],[TotalSales]]-Superstore_Sales[[#This Row],[Dis_amt]]-Superstore_Sales[[#This Row],[Shipping Cost]]</f>
        <v>9812.34</v>
      </c>
    </row>
    <row r="195" spans="1:28" x14ac:dyDescent="0.35">
      <c r="A195">
        <v>51284</v>
      </c>
      <c r="B195" t="s">
        <v>1177</v>
      </c>
      <c r="C195" s="1">
        <v>42230</v>
      </c>
      <c r="D195" s="1">
        <v>42232</v>
      </c>
      <c r="E195">
        <f>Superstore_Sales[[#This Row],[Ship Date]]-Superstore_Sales[[#This Row],[Order Date]]</f>
        <v>2</v>
      </c>
      <c r="F195" t="s">
        <v>40</v>
      </c>
      <c r="G195" t="s">
        <v>1178</v>
      </c>
      <c r="H195" t="s">
        <v>862</v>
      </c>
      <c r="I195" t="s">
        <v>65</v>
      </c>
      <c r="K195" t="s">
        <v>1179</v>
      </c>
      <c r="L195" t="s">
        <v>1179</v>
      </c>
      <c r="M195" t="s">
        <v>1180</v>
      </c>
      <c r="N195" t="s">
        <v>195</v>
      </c>
      <c r="O195" t="s">
        <v>69</v>
      </c>
      <c r="P195" t="s">
        <v>1181</v>
      </c>
      <c r="Q195" t="s">
        <v>50</v>
      </c>
      <c r="R195" t="s">
        <v>336</v>
      </c>
      <c r="S195" t="s">
        <v>1182</v>
      </c>
      <c r="T195">
        <v>3498.72</v>
      </c>
      <c r="U195">
        <v>8</v>
      </c>
      <c r="V195">
        <v>0</v>
      </c>
      <c r="W195">
        <v>594.72</v>
      </c>
      <c r="X195">
        <v>410.05</v>
      </c>
      <c r="Y195" t="s">
        <v>61</v>
      </c>
      <c r="Z195">
        <f>Superstore_Sales[[#This Row],[Sales]]*Superstore_Sales[[#This Row],[Quantity]]</f>
        <v>27989.759999999998</v>
      </c>
      <c r="AA195" s="3">
        <f>Superstore_Sales[[#This Row],[TotalSales]]*Superstore_Sales[[#This Row],[Discount]]/100</f>
        <v>0</v>
      </c>
      <c r="AB195" s="2">
        <f>Superstore_Sales[[#This Row],[TotalSales]]-Superstore_Sales[[#This Row],[Dis_amt]]-Superstore_Sales[[#This Row],[Shipping Cost]]</f>
        <v>27579.71</v>
      </c>
    </row>
    <row r="196" spans="1:28" x14ac:dyDescent="0.35">
      <c r="A196">
        <v>28198</v>
      </c>
      <c r="B196" t="s">
        <v>1183</v>
      </c>
      <c r="C196" s="1">
        <v>42308</v>
      </c>
      <c r="D196" s="1">
        <v>42311</v>
      </c>
      <c r="E196">
        <f>Superstore_Sales[[#This Row],[Ship Date]]-Superstore_Sales[[#This Row],[Order Date]]</f>
        <v>3</v>
      </c>
      <c r="F196" t="s">
        <v>25</v>
      </c>
      <c r="G196" t="s">
        <v>1184</v>
      </c>
      <c r="H196" t="s">
        <v>460</v>
      </c>
      <c r="I196" t="s">
        <v>28</v>
      </c>
      <c r="K196" t="s">
        <v>1185</v>
      </c>
      <c r="L196" t="s">
        <v>1186</v>
      </c>
      <c r="M196" t="s">
        <v>144</v>
      </c>
      <c r="N196" t="s">
        <v>145</v>
      </c>
      <c r="O196" t="s">
        <v>48</v>
      </c>
      <c r="P196" t="s">
        <v>586</v>
      </c>
      <c r="Q196" t="s">
        <v>35</v>
      </c>
      <c r="R196" t="s">
        <v>81</v>
      </c>
      <c r="S196" t="s">
        <v>587</v>
      </c>
      <c r="T196">
        <v>2272.86</v>
      </c>
      <c r="U196">
        <v>6</v>
      </c>
      <c r="V196">
        <v>0</v>
      </c>
      <c r="W196">
        <v>977.22</v>
      </c>
      <c r="X196">
        <v>406.53</v>
      </c>
      <c r="Y196" t="s">
        <v>38</v>
      </c>
      <c r="Z196">
        <f>Superstore_Sales[[#This Row],[Sales]]*Superstore_Sales[[#This Row],[Quantity]]</f>
        <v>13637.16</v>
      </c>
      <c r="AA196" s="3">
        <f>Superstore_Sales[[#This Row],[TotalSales]]*Superstore_Sales[[#This Row],[Discount]]/100</f>
        <v>0</v>
      </c>
      <c r="AB196" s="2">
        <f>Superstore_Sales[[#This Row],[TotalSales]]-Superstore_Sales[[#This Row],[Dis_amt]]-Superstore_Sales[[#This Row],[Shipping Cost]]</f>
        <v>13230.63</v>
      </c>
    </row>
    <row r="197" spans="1:28" x14ac:dyDescent="0.35">
      <c r="A197">
        <v>26028</v>
      </c>
      <c r="B197" t="s">
        <v>1187</v>
      </c>
      <c r="C197" s="1">
        <v>41845</v>
      </c>
      <c r="D197" s="1">
        <v>41850</v>
      </c>
      <c r="E197">
        <f>Superstore_Sales[[#This Row],[Ship Date]]-Superstore_Sales[[#This Row],[Order Date]]</f>
        <v>5</v>
      </c>
      <c r="F197" t="s">
        <v>98</v>
      </c>
      <c r="G197" t="s">
        <v>1188</v>
      </c>
      <c r="H197" t="s">
        <v>1189</v>
      </c>
      <c r="I197" t="s">
        <v>28</v>
      </c>
      <c r="K197" t="s">
        <v>1190</v>
      </c>
      <c r="L197" t="s">
        <v>1191</v>
      </c>
      <c r="M197" t="s">
        <v>144</v>
      </c>
      <c r="N197" t="s">
        <v>145</v>
      </c>
      <c r="O197" t="s">
        <v>48</v>
      </c>
      <c r="P197" t="s">
        <v>645</v>
      </c>
      <c r="Q197" t="s">
        <v>35</v>
      </c>
      <c r="R197" t="s">
        <v>36</v>
      </c>
      <c r="S197" t="s">
        <v>646</v>
      </c>
      <c r="T197">
        <v>5211.12</v>
      </c>
      <c r="U197">
        <v>8</v>
      </c>
      <c r="V197">
        <v>0</v>
      </c>
      <c r="W197">
        <v>833.76</v>
      </c>
      <c r="X197">
        <v>404.97</v>
      </c>
      <c r="Y197" t="s">
        <v>61</v>
      </c>
      <c r="Z197">
        <f>Superstore_Sales[[#This Row],[Sales]]*Superstore_Sales[[#This Row],[Quantity]]</f>
        <v>41688.959999999999</v>
      </c>
      <c r="AA197" s="3">
        <f>Superstore_Sales[[#This Row],[TotalSales]]*Superstore_Sales[[#This Row],[Discount]]/100</f>
        <v>0</v>
      </c>
      <c r="AB197" s="2">
        <f>Superstore_Sales[[#This Row],[TotalSales]]-Superstore_Sales[[#This Row],[Dis_amt]]-Superstore_Sales[[#This Row],[Shipping Cost]]</f>
        <v>41283.99</v>
      </c>
    </row>
    <row r="198" spans="1:28" x14ac:dyDescent="0.35">
      <c r="A198">
        <v>26325</v>
      </c>
      <c r="B198" t="s">
        <v>1192</v>
      </c>
      <c r="C198" s="1">
        <v>42284</v>
      </c>
      <c r="D198" s="1">
        <v>42288</v>
      </c>
      <c r="E198">
        <f>Superstore_Sales[[#This Row],[Ship Date]]-Superstore_Sales[[#This Row],[Order Date]]</f>
        <v>4</v>
      </c>
      <c r="F198" t="s">
        <v>98</v>
      </c>
      <c r="G198" t="s">
        <v>1193</v>
      </c>
      <c r="H198" t="s">
        <v>1194</v>
      </c>
      <c r="I198" t="s">
        <v>65</v>
      </c>
      <c r="K198" t="s">
        <v>1195</v>
      </c>
      <c r="L198" t="s">
        <v>404</v>
      </c>
      <c r="M198" t="s">
        <v>258</v>
      </c>
      <c r="N198" t="s">
        <v>118</v>
      </c>
      <c r="O198" t="s">
        <v>48</v>
      </c>
      <c r="P198" t="s">
        <v>328</v>
      </c>
      <c r="Q198" t="s">
        <v>35</v>
      </c>
      <c r="R198" t="s">
        <v>36</v>
      </c>
      <c r="S198" t="s">
        <v>329</v>
      </c>
      <c r="T198">
        <v>2582.16</v>
      </c>
      <c r="U198">
        <v>4</v>
      </c>
      <c r="V198">
        <v>0</v>
      </c>
      <c r="W198">
        <v>361.44</v>
      </c>
      <c r="X198">
        <v>404.08</v>
      </c>
      <c r="Y198" t="s">
        <v>38</v>
      </c>
      <c r="Z198">
        <f>Superstore_Sales[[#This Row],[Sales]]*Superstore_Sales[[#This Row],[Quantity]]</f>
        <v>10328.64</v>
      </c>
      <c r="AA198" s="3">
        <f>Superstore_Sales[[#This Row],[TotalSales]]*Superstore_Sales[[#This Row],[Discount]]/100</f>
        <v>0</v>
      </c>
      <c r="AB198" s="2">
        <f>Superstore_Sales[[#This Row],[TotalSales]]-Superstore_Sales[[#This Row],[Dis_amt]]-Superstore_Sales[[#This Row],[Shipping Cost]]</f>
        <v>9924.56</v>
      </c>
    </row>
    <row r="199" spans="1:28" x14ac:dyDescent="0.35">
      <c r="A199">
        <v>21924</v>
      </c>
      <c r="B199" t="s">
        <v>1196</v>
      </c>
      <c r="C199" s="1">
        <v>42294</v>
      </c>
      <c r="D199" s="1">
        <v>42298</v>
      </c>
      <c r="E199">
        <f>Superstore_Sales[[#This Row],[Ship Date]]-Superstore_Sales[[#This Row],[Order Date]]</f>
        <v>4</v>
      </c>
      <c r="F199" t="s">
        <v>98</v>
      </c>
      <c r="G199" t="s">
        <v>1197</v>
      </c>
      <c r="H199" t="s">
        <v>1198</v>
      </c>
      <c r="I199" t="s">
        <v>65</v>
      </c>
      <c r="K199" t="s">
        <v>1199</v>
      </c>
      <c r="L199" t="s">
        <v>1008</v>
      </c>
      <c r="M199" t="s">
        <v>258</v>
      </c>
      <c r="N199" t="s">
        <v>118</v>
      </c>
      <c r="O199" t="s">
        <v>48</v>
      </c>
      <c r="P199" t="s">
        <v>59</v>
      </c>
      <c r="Q199" t="s">
        <v>35</v>
      </c>
      <c r="R199" t="s">
        <v>36</v>
      </c>
      <c r="S199" t="s">
        <v>60</v>
      </c>
      <c r="T199">
        <v>3194.55</v>
      </c>
      <c r="U199">
        <v>5</v>
      </c>
      <c r="V199">
        <v>0</v>
      </c>
      <c r="W199">
        <v>830.55</v>
      </c>
      <c r="X199">
        <v>403.97</v>
      </c>
      <c r="Y199" t="s">
        <v>38</v>
      </c>
      <c r="Z199">
        <f>Superstore_Sales[[#This Row],[Sales]]*Superstore_Sales[[#This Row],[Quantity]]</f>
        <v>15972.75</v>
      </c>
      <c r="AA199" s="3">
        <f>Superstore_Sales[[#This Row],[TotalSales]]*Superstore_Sales[[#This Row],[Discount]]/100</f>
        <v>0</v>
      </c>
      <c r="AB199" s="2">
        <f>Superstore_Sales[[#This Row],[TotalSales]]-Superstore_Sales[[#This Row],[Dis_amt]]-Superstore_Sales[[#This Row],[Shipping Cost]]</f>
        <v>15568.78</v>
      </c>
    </row>
    <row r="200" spans="1:28" x14ac:dyDescent="0.35">
      <c r="A200">
        <v>30113</v>
      </c>
      <c r="B200" t="s">
        <v>1200</v>
      </c>
      <c r="C200" s="1">
        <v>41976</v>
      </c>
      <c r="D200" s="1">
        <v>41979</v>
      </c>
      <c r="E200">
        <f>Superstore_Sales[[#This Row],[Ship Date]]-Superstore_Sales[[#This Row],[Order Date]]</f>
        <v>3</v>
      </c>
      <c r="F200" t="s">
        <v>40</v>
      </c>
      <c r="G200" t="s">
        <v>1201</v>
      </c>
      <c r="H200" t="s">
        <v>1202</v>
      </c>
      <c r="I200" t="s">
        <v>28</v>
      </c>
      <c r="K200" t="s">
        <v>741</v>
      </c>
      <c r="L200" t="s">
        <v>742</v>
      </c>
      <c r="M200" t="s">
        <v>46</v>
      </c>
      <c r="N200" t="s">
        <v>47</v>
      </c>
      <c r="O200" t="s">
        <v>48</v>
      </c>
      <c r="P200" t="s">
        <v>380</v>
      </c>
      <c r="Q200" t="s">
        <v>50</v>
      </c>
      <c r="R200" t="s">
        <v>51</v>
      </c>
      <c r="S200" t="s">
        <v>381</v>
      </c>
      <c r="T200">
        <v>1705</v>
      </c>
      <c r="U200">
        <v>4</v>
      </c>
      <c r="V200">
        <v>0.1</v>
      </c>
      <c r="W200">
        <v>378.88</v>
      </c>
      <c r="X200">
        <v>403.46</v>
      </c>
      <c r="Y200" t="s">
        <v>53</v>
      </c>
      <c r="Z200">
        <f>Superstore_Sales[[#This Row],[Sales]]*Superstore_Sales[[#This Row],[Quantity]]</f>
        <v>6820</v>
      </c>
      <c r="AA200" s="3">
        <f>Superstore_Sales[[#This Row],[TotalSales]]*Superstore_Sales[[#This Row],[Discount]]/100</f>
        <v>6.82</v>
      </c>
      <c r="AB200" s="2">
        <f>Superstore_Sales[[#This Row],[TotalSales]]-Superstore_Sales[[#This Row],[Dis_amt]]-Superstore_Sales[[#This Row],[Shipping Cost]]</f>
        <v>6409.72</v>
      </c>
    </row>
    <row r="201" spans="1:28" x14ac:dyDescent="0.35">
      <c r="A201">
        <v>30105</v>
      </c>
      <c r="B201" t="s">
        <v>1203</v>
      </c>
      <c r="C201" s="1">
        <v>42316</v>
      </c>
      <c r="D201" s="1">
        <v>42318</v>
      </c>
      <c r="E201">
        <f>Superstore_Sales[[#This Row],[Ship Date]]-Superstore_Sales[[#This Row],[Order Date]]</f>
        <v>2</v>
      </c>
      <c r="F201" t="s">
        <v>25</v>
      </c>
      <c r="G201" t="s">
        <v>1204</v>
      </c>
      <c r="H201" t="s">
        <v>1205</v>
      </c>
      <c r="I201" t="s">
        <v>43</v>
      </c>
      <c r="K201" t="s">
        <v>1091</v>
      </c>
      <c r="L201" t="s">
        <v>610</v>
      </c>
      <c r="M201" t="s">
        <v>611</v>
      </c>
      <c r="N201" t="s">
        <v>322</v>
      </c>
      <c r="O201" t="s">
        <v>48</v>
      </c>
      <c r="P201" t="s">
        <v>1206</v>
      </c>
      <c r="Q201" t="s">
        <v>147</v>
      </c>
      <c r="R201" t="s">
        <v>148</v>
      </c>
      <c r="S201" t="s">
        <v>1207</v>
      </c>
      <c r="T201">
        <v>1538.72</v>
      </c>
      <c r="U201">
        <v>6</v>
      </c>
      <c r="V201">
        <v>0.15</v>
      </c>
      <c r="W201">
        <v>325.7</v>
      </c>
      <c r="X201">
        <v>403.26</v>
      </c>
      <c r="Y201" t="s">
        <v>38</v>
      </c>
      <c r="Z201">
        <f>Superstore_Sales[[#This Row],[Sales]]*Superstore_Sales[[#This Row],[Quantity]]</f>
        <v>9232.32</v>
      </c>
      <c r="AA201" s="3">
        <f>Superstore_Sales[[#This Row],[TotalSales]]*Superstore_Sales[[#This Row],[Discount]]/100</f>
        <v>13.84848</v>
      </c>
      <c r="AB201" s="2">
        <f>Superstore_Sales[[#This Row],[TotalSales]]-Superstore_Sales[[#This Row],[Dis_amt]]-Superstore_Sales[[#This Row],[Shipping Cost]]</f>
        <v>8815.2115199999989</v>
      </c>
    </row>
    <row r="202" spans="1:28" x14ac:dyDescent="0.35">
      <c r="A202">
        <v>19902</v>
      </c>
      <c r="B202" t="s">
        <v>1208</v>
      </c>
      <c r="C202" s="1">
        <v>41172</v>
      </c>
      <c r="D202" s="1">
        <v>41174</v>
      </c>
      <c r="E202">
        <f>Superstore_Sales[[#This Row],[Ship Date]]-Superstore_Sales[[#This Row],[Order Date]]</f>
        <v>2</v>
      </c>
      <c r="F202" t="s">
        <v>40</v>
      </c>
      <c r="G202" t="s">
        <v>1209</v>
      </c>
      <c r="H202" t="s">
        <v>1210</v>
      </c>
      <c r="I202" t="s">
        <v>65</v>
      </c>
      <c r="K202" t="s">
        <v>1211</v>
      </c>
      <c r="L202" t="s">
        <v>1212</v>
      </c>
      <c r="M202" t="s">
        <v>155</v>
      </c>
      <c r="N202" t="s">
        <v>68</v>
      </c>
      <c r="O202" t="s">
        <v>69</v>
      </c>
      <c r="P202" t="s">
        <v>425</v>
      </c>
      <c r="Q202" t="s">
        <v>50</v>
      </c>
      <c r="R202" t="s">
        <v>336</v>
      </c>
      <c r="S202" t="s">
        <v>426</v>
      </c>
      <c r="T202">
        <v>1181.55</v>
      </c>
      <c r="U202">
        <v>3</v>
      </c>
      <c r="V202">
        <v>0.1</v>
      </c>
      <c r="W202">
        <v>498.81</v>
      </c>
      <c r="X202">
        <v>401.25</v>
      </c>
      <c r="Y202" t="s">
        <v>53</v>
      </c>
      <c r="Z202">
        <f>Superstore_Sales[[#This Row],[Sales]]*Superstore_Sales[[#This Row],[Quantity]]</f>
        <v>3544.6499999999996</v>
      </c>
      <c r="AA202" s="3">
        <f>Superstore_Sales[[#This Row],[TotalSales]]*Superstore_Sales[[#This Row],[Discount]]/100</f>
        <v>3.5446499999999999</v>
      </c>
      <c r="AB202" s="2">
        <f>Superstore_Sales[[#This Row],[TotalSales]]-Superstore_Sales[[#This Row],[Dis_amt]]-Superstore_Sales[[#This Row],[Shipping Cost]]</f>
        <v>3139.8553499999998</v>
      </c>
    </row>
    <row r="203" spans="1:28" x14ac:dyDescent="0.35">
      <c r="A203">
        <v>13998</v>
      </c>
      <c r="B203" t="s">
        <v>1213</v>
      </c>
      <c r="C203" s="1">
        <v>41080</v>
      </c>
      <c r="D203" s="1">
        <v>41083</v>
      </c>
      <c r="E203">
        <f>Superstore_Sales[[#This Row],[Ship Date]]-Superstore_Sales[[#This Row],[Order Date]]</f>
        <v>3</v>
      </c>
      <c r="F203" t="s">
        <v>25</v>
      </c>
      <c r="G203" t="s">
        <v>1214</v>
      </c>
      <c r="H203" t="s">
        <v>1215</v>
      </c>
      <c r="I203" t="s">
        <v>28</v>
      </c>
      <c r="K203" t="s">
        <v>1216</v>
      </c>
      <c r="L203" t="s">
        <v>1217</v>
      </c>
      <c r="M203" t="s">
        <v>155</v>
      </c>
      <c r="N203" t="s">
        <v>68</v>
      </c>
      <c r="O203" t="s">
        <v>69</v>
      </c>
      <c r="P203" t="s">
        <v>137</v>
      </c>
      <c r="Q203" t="s">
        <v>50</v>
      </c>
      <c r="R203" t="s">
        <v>51</v>
      </c>
      <c r="S203" t="s">
        <v>138</v>
      </c>
      <c r="T203">
        <v>1696.25</v>
      </c>
      <c r="U203">
        <v>4</v>
      </c>
      <c r="V203">
        <v>0.1</v>
      </c>
      <c r="W203">
        <v>734.93</v>
      </c>
      <c r="X203">
        <v>401.13</v>
      </c>
      <c r="Y203" t="s">
        <v>38</v>
      </c>
      <c r="Z203">
        <f>Superstore_Sales[[#This Row],[Sales]]*Superstore_Sales[[#This Row],[Quantity]]</f>
        <v>6785</v>
      </c>
      <c r="AA203" s="3">
        <f>Superstore_Sales[[#This Row],[TotalSales]]*Superstore_Sales[[#This Row],[Discount]]/100</f>
        <v>6.7850000000000001</v>
      </c>
      <c r="AB203" s="2">
        <f>Superstore_Sales[[#This Row],[TotalSales]]-Superstore_Sales[[#This Row],[Dis_amt]]-Superstore_Sales[[#This Row],[Shipping Cost]]</f>
        <v>6377.085</v>
      </c>
    </row>
    <row r="204" spans="1:28" x14ac:dyDescent="0.35">
      <c r="A204">
        <v>38383</v>
      </c>
      <c r="B204" t="s">
        <v>1218</v>
      </c>
      <c r="C204" s="1">
        <v>42273</v>
      </c>
      <c r="D204" s="1">
        <v>42276</v>
      </c>
      <c r="E204">
        <f>Superstore_Sales[[#This Row],[Ship Date]]-Superstore_Sales[[#This Row],[Order Date]]</f>
        <v>3</v>
      </c>
      <c r="F204" t="s">
        <v>25</v>
      </c>
      <c r="G204" t="s">
        <v>1045</v>
      </c>
      <c r="H204" t="s">
        <v>1046</v>
      </c>
      <c r="I204" t="s">
        <v>43</v>
      </c>
      <c r="J204">
        <v>19013</v>
      </c>
      <c r="K204" t="s">
        <v>1219</v>
      </c>
      <c r="L204" t="s">
        <v>429</v>
      </c>
      <c r="M204" t="s">
        <v>31</v>
      </c>
      <c r="N204" t="s">
        <v>249</v>
      </c>
      <c r="O204" t="s">
        <v>33</v>
      </c>
      <c r="P204" t="s">
        <v>1220</v>
      </c>
      <c r="Q204" t="s">
        <v>147</v>
      </c>
      <c r="R204" t="s">
        <v>903</v>
      </c>
      <c r="S204" t="s">
        <v>1221</v>
      </c>
      <c r="T204">
        <v>190.9</v>
      </c>
      <c r="U204">
        <v>2</v>
      </c>
      <c r="V204">
        <v>0.2</v>
      </c>
      <c r="W204">
        <v>-42.95</v>
      </c>
      <c r="X204">
        <v>8.7200000000000006</v>
      </c>
      <c r="Y204" t="s">
        <v>61</v>
      </c>
      <c r="Z204">
        <f>Superstore_Sales[[#This Row],[Sales]]*Superstore_Sales[[#This Row],[Quantity]]</f>
        <v>381.8</v>
      </c>
      <c r="AA204" s="3">
        <f>Superstore_Sales[[#This Row],[TotalSales]]*Superstore_Sales[[#This Row],[Discount]]/100</f>
        <v>0.76359999999999995</v>
      </c>
      <c r="AB204" s="2">
        <f>Superstore_Sales[[#This Row],[TotalSales]]-Superstore_Sales[[#This Row],[Dis_amt]]-Superstore_Sales[[#This Row],[Shipping Cost]]</f>
        <v>372.31639999999999</v>
      </c>
    </row>
    <row r="205" spans="1:28" x14ac:dyDescent="0.35">
      <c r="A205">
        <v>37340</v>
      </c>
      <c r="B205" t="s">
        <v>1222</v>
      </c>
      <c r="C205" s="1">
        <v>42144</v>
      </c>
      <c r="D205" s="1">
        <v>42149</v>
      </c>
      <c r="E205">
        <f>Superstore_Sales[[#This Row],[Ship Date]]-Superstore_Sales[[#This Row],[Order Date]]</f>
        <v>5</v>
      </c>
      <c r="F205" t="s">
        <v>40</v>
      </c>
      <c r="G205" t="s">
        <v>1223</v>
      </c>
      <c r="H205" t="s">
        <v>1046</v>
      </c>
      <c r="I205" t="s">
        <v>43</v>
      </c>
      <c r="J205">
        <v>37918</v>
      </c>
      <c r="K205" t="s">
        <v>1224</v>
      </c>
      <c r="L205" t="s">
        <v>1225</v>
      </c>
      <c r="M205" t="s">
        <v>31</v>
      </c>
      <c r="N205" t="s">
        <v>351</v>
      </c>
      <c r="O205" t="s">
        <v>33</v>
      </c>
      <c r="P205" t="s">
        <v>1226</v>
      </c>
      <c r="Q205" t="s">
        <v>50</v>
      </c>
      <c r="R205" t="s">
        <v>51</v>
      </c>
      <c r="S205" t="s">
        <v>1227</v>
      </c>
      <c r="T205">
        <v>314.35000000000002</v>
      </c>
      <c r="U205">
        <v>3</v>
      </c>
      <c r="V205">
        <v>0.2</v>
      </c>
      <c r="W205">
        <v>-35.36</v>
      </c>
      <c r="X205">
        <v>6.19</v>
      </c>
      <c r="Y205" t="s">
        <v>61</v>
      </c>
      <c r="Z205">
        <f>Superstore_Sales[[#This Row],[Sales]]*Superstore_Sales[[#This Row],[Quantity]]</f>
        <v>943.05000000000007</v>
      </c>
      <c r="AA205" s="3">
        <f>Superstore_Sales[[#This Row],[TotalSales]]*Superstore_Sales[[#This Row],[Discount]]/100</f>
        <v>1.8861000000000001</v>
      </c>
      <c r="AB205" s="2">
        <f>Superstore_Sales[[#This Row],[TotalSales]]-Superstore_Sales[[#This Row],[Dis_amt]]-Superstore_Sales[[#This Row],[Shipping Cost]]</f>
        <v>934.97389999999996</v>
      </c>
    </row>
    <row r="206" spans="1:28" x14ac:dyDescent="0.35">
      <c r="A206">
        <v>47087</v>
      </c>
      <c r="B206" t="s">
        <v>1228</v>
      </c>
      <c r="C206" s="1">
        <v>42334</v>
      </c>
      <c r="D206" s="1">
        <v>42337</v>
      </c>
      <c r="E206">
        <f>Superstore_Sales[[#This Row],[Ship Date]]-Superstore_Sales[[#This Row],[Order Date]]</f>
        <v>3</v>
      </c>
      <c r="F206" t="s">
        <v>40</v>
      </c>
      <c r="G206" t="s">
        <v>1229</v>
      </c>
      <c r="H206" t="s">
        <v>676</v>
      </c>
      <c r="I206" t="s">
        <v>65</v>
      </c>
      <c r="K206" t="s">
        <v>1230</v>
      </c>
      <c r="L206" t="s">
        <v>1231</v>
      </c>
      <c r="M206" t="s">
        <v>1099</v>
      </c>
      <c r="N206" t="s">
        <v>1100</v>
      </c>
      <c r="O206" t="s">
        <v>79</v>
      </c>
      <c r="P206" t="s">
        <v>1232</v>
      </c>
      <c r="Q206" t="s">
        <v>147</v>
      </c>
      <c r="R206" t="s">
        <v>148</v>
      </c>
      <c r="S206" t="s">
        <v>1233</v>
      </c>
      <c r="T206">
        <v>1237.56</v>
      </c>
      <c r="U206">
        <v>4</v>
      </c>
      <c r="V206">
        <v>0</v>
      </c>
      <c r="W206">
        <v>606.36</v>
      </c>
      <c r="X206">
        <v>400.03</v>
      </c>
      <c r="Y206" t="s">
        <v>53</v>
      </c>
      <c r="Z206">
        <f>Superstore_Sales[[#This Row],[Sales]]*Superstore_Sales[[#This Row],[Quantity]]</f>
        <v>4950.24</v>
      </c>
      <c r="AA206" s="3">
        <f>Superstore_Sales[[#This Row],[TotalSales]]*Superstore_Sales[[#This Row],[Discount]]/100</f>
        <v>0</v>
      </c>
      <c r="AB206" s="2">
        <f>Superstore_Sales[[#This Row],[TotalSales]]-Superstore_Sales[[#This Row],[Dis_amt]]-Superstore_Sales[[#This Row],[Shipping Cost]]</f>
        <v>4550.21</v>
      </c>
    </row>
    <row r="207" spans="1:28" x14ac:dyDescent="0.35">
      <c r="A207">
        <v>49833</v>
      </c>
      <c r="B207" t="s">
        <v>1234</v>
      </c>
      <c r="C207" s="1">
        <v>41363</v>
      </c>
      <c r="D207" s="1">
        <v>41365</v>
      </c>
      <c r="E207">
        <f>Superstore_Sales[[#This Row],[Ship Date]]-Superstore_Sales[[#This Row],[Order Date]]</f>
        <v>2</v>
      </c>
      <c r="F207" t="s">
        <v>25</v>
      </c>
      <c r="G207" t="s">
        <v>1235</v>
      </c>
      <c r="H207" t="s">
        <v>1236</v>
      </c>
      <c r="I207" t="s">
        <v>28</v>
      </c>
      <c r="K207" t="s">
        <v>1237</v>
      </c>
      <c r="L207" t="s">
        <v>1238</v>
      </c>
      <c r="M207" t="s">
        <v>1239</v>
      </c>
      <c r="N207" t="s">
        <v>554</v>
      </c>
      <c r="O207" t="s">
        <v>79</v>
      </c>
      <c r="P207" t="s">
        <v>510</v>
      </c>
      <c r="Q207" t="s">
        <v>35</v>
      </c>
      <c r="R207" t="s">
        <v>36</v>
      </c>
      <c r="S207" t="s">
        <v>511</v>
      </c>
      <c r="T207">
        <v>1274.7</v>
      </c>
      <c r="U207">
        <v>2</v>
      </c>
      <c r="V207">
        <v>0</v>
      </c>
      <c r="W207">
        <v>140.16</v>
      </c>
      <c r="X207">
        <v>399.96</v>
      </c>
      <c r="Y207" t="s">
        <v>53</v>
      </c>
      <c r="Z207">
        <f>Superstore_Sales[[#This Row],[Sales]]*Superstore_Sales[[#This Row],[Quantity]]</f>
        <v>2549.4</v>
      </c>
      <c r="AA207" s="3">
        <f>Superstore_Sales[[#This Row],[TotalSales]]*Superstore_Sales[[#This Row],[Discount]]/100</f>
        <v>0</v>
      </c>
      <c r="AB207" s="2">
        <f>Superstore_Sales[[#This Row],[TotalSales]]-Superstore_Sales[[#This Row],[Dis_amt]]-Superstore_Sales[[#This Row],[Shipping Cost]]</f>
        <v>2149.44</v>
      </c>
    </row>
    <row r="208" spans="1:28" x14ac:dyDescent="0.35">
      <c r="A208">
        <v>2080</v>
      </c>
      <c r="B208" t="s">
        <v>1240</v>
      </c>
      <c r="C208" s="1">
        <v>41222</v>
      </c>
      <c r="D208" s="1">
        <v>41227</v>
      </c>
      <c r="E208">
        <f>Superstore_Sales[[#This Row],[Ship Date]]-Superstore_Sales[[#This Row],[Order Date]]</f>
        <v>5</v>
      </c>
      <c r="F208" t="s">
        <v>40</v>
      </c>
      <c r="G208" t="s">
        <v>1241</v>
      </c>
      <c r="H208" t="s">
        <v>1242</v>
      </c>
      <c r="I208" t="s">
        <v>28</v>
      </c>
      <c r="K208" t="s">
        <v>677</v>
      </c>
      <c r="L208" t="s">
        <v>678</v>
      </c>
      <c r="M208" t="s">
        <v>679</v>
      </c>
      <c r="N208" t="s">
        <v>135</v>
      </c>
      <c r="O208" t="s">
        <v>136</v>
      </c>
      <c r="P208" t="s">
        <v>1243</v>
      </c>
      <c r="Q208" t="s">
        <v>147</v>
      </c>
      <c r="R208" t="s">
        <v>148</v>
      </c>
      <c r="S208" t="s">
        <v>1244</v>
      </c>
      <c r="T208">
        <v>3172.14</v>
      </c>
      <c r="U208">
        <v>9</v>
      </c>
      <c r="V208">
        <v>0</v>
      </c>
      <c r="W208">
        <v>856.44</v>
      </c>
      <c r="X208">
        <v>399.84899999999999</v>
      </c>
      <c r="Y208" t="s">
        <v>61</v>
      </c>
      <c r="Z208">
        <f>Superstore_Sales[[#This Row],[Sales]]*Superstore_Sales[[#This Row],[Quantity]]</f>
        <v>28549.26</v>
      </c>
      <c r="AA208" s="3">
        <f>Superstore_Sales[[#This Row],[TotalSales]]*Superstore_Sales[[#This Row],[Discount]]/100</f>
        <v>0</v>
      </c>
      <c r="AB208" s="2">
        <f>Superstore_Sales[[#This Row],[TotalSales]]-Superstore_Sales[[#This Row],[Dis_amt]]-Superstore_Sales[[#This Row],[Shipping Cost]]</f>
        <v>28149.411</v>
      </c>
    </row>
    <row r="209" spans="1:28" x14ac:dyDescent="0.35">
      <c r="A209">
        <v>10303</v>
      </c>
      <c r="B209" t="s">
        <v>1245</v>
      </c>
      <c r="C209" s="1">
        <v>41487</v>
      </c>
      <c r="D209" s="1">
        <v>41492</v>
      </c>
      <c r="E209">
        <f>Superstore_Sales[[#This Row],[Ship Date]]-Superstore_Sales[[#This Row],[Order Date]]</f>
        <v>5</v>
      </c>
      <c r="F209" t="s">
        <v>40</v>
      </c>
      <c r="G209" t="s">
        <v>1246</v>
      </c>
      <c r="H209" t="s">
        <v>357</v>
      </c>
      <c r="I209" t="s">
        <v>43</v>
      </c>
      <c r="K209" t="s">
        <v>1247</v>
      </c>
      <c r="L209" t="s">
        <v>310</v>
      </c>
      <c r="M209" t="s">
        <v>210</v>
      </c>
      <c r="N209" t="s">
        <v>211</v>
      </c>
      <c r="O209" t="s">
        <v>69</v>
      </c>
      <c r="P209" t="s">
        <v>172</v>
      </c>
      <c r="Q209" t="s">
        <v>147</v>
      </c>
      <c r="R209" t="s">
        <v>148</v>
      </c>
      <c r="S209" t="s">
        <v>173</v>
      </c>
      <c r="T209">
        <v>3979.29</v>
      </c>
      <c r="U209">
        <v>7</v>
      </c>
      <c r="V209">
        <v>0</v>
      </c>
      <c r="W209">
        <v>1989.54</v>
      </c>
      <c r="X209">
        <v>398.5</v>
      </c>
      <c r="Y209" t="s">
        <v>61</v>
      </c>
      <c r="Z209">
        <f>Superstore_Sales[[#This Row],[Sales]]*Superstore_Sales[[#This Row],[Quantity]]</f>
        <v>27855.03</v>
      </c>
      <c r="AA209" s="3">
        <f>Superstore_Sales[[#This Row],[TotalSales]]*Superstore_Sales[[#This Row],[Discount]]/100</f>
        <v>0</v>
      </c>
      <c r="AB209" s="2">
        <f>Superstore_Sales[[#This Row],[TotalSales]]-Superstore_Sales[[#This Row],[Dis_amt]]-Superstore_Sales[[#This Row],[Shipping Cost]]</f>
        <v>27456.53</v>
      </c>
    </row>
    <row r="210" spans="1:28" x14ac:dyDescent="0.35">
      <c r="A210">
        <v>41838</v>
      </c>
      <c r="B210" t="s">
        <v>1248</v>
      </c>
      <c r="C210" s="1">
        <v>41662</v>
      </c>
      <c r="D210" s="1">
        <v>41666</v>
      </c>
      <c r="E210">
        <f>Superstore_Sales[[#This Row],[Ship Date]]-Superstore_Sales[[#This Row],[Order Date]]</f>
        <v>4</v>
      </c>
      <c r="F210" t="s">
        <v>98</v>
      </c>
      <c r="G210" t="s">
        <v>1249</v>
      </c>
      <c r="H210" t="s">
        <v>1189</v>
      </c>
      <c r="I210" t="s">
        <v>28</v>
      </c>
      <c r="K210" t="s">
        <v>1250</v>
      </c>
      <c r="L210" t="s">
        <v>1251</v>
      </c>
      <c r="M210" t="s">
        <v>1252</v>
      </c>
      <c r="N210" t="s">
        <v>126</v>
      </c>
      <c r="O210" t="s">
        <v>48</v>
      </c>
      <c r="P210" t="s">
        <v>1253</v>
      </c>
      <c r="Q210" t="s">
        <v>50</v>
      </c>
      <c r="R210" t="s">
        <v>104</v>
      </c>
      <c r="S210" t="s">
        <v>1254</v>
      </c>
      <c r="T210">
        <v>2058</v>
      </c>
      <c r="U210">
        <v>4</v>
      </c>
      <c r="V210">
        <v>0</v>
      </c>
      <c r="W210">
        <v>946.68</v>
      </c>
      <c r="X210">
        <v>393.62</v>
      </c>
      <c r="Y210" t="s">
        <v>38</v>
      </c>
      <c r="Z210">
        <f>Superstore_Sales[[#This Row],[Sales]]*Superstore_Sales[[#This Row],[Quantity]]</f>
        <v>8232</v>
      </c>
      <c r="AA210" s="3">
        <f>Superstore_Sales[[#This Row],[TotalSales]]*Superstore_Sales[[#This Row],[Discount]]/100</f>
        <v>0</v>
      </c>
      <c r="AB210" s="2">
        <f>Superstore_Sales[[#This Row],[TotalSales]]-Superstore_Sales[[#This Row],[Dis_amt]]-Superstore_Sales[[#This Row],[Shipping Cost]]</f>
        <v>7838.38</v>
      </c>
    </row>
    <row r="211" spans="1:28" x14ac:dyDescent="0.35">
      <c r="A211">
        <v>28110</v>
      </c>
      <c r="B211" t="s">
        <v>1255</v>
      </c>
      <c r="C211" s="1">
        <v>41049</v>
      </c>
      <c r="D211" s="1">
        <v>41053</v>
      </c>
      <c r="E211">
        <f>Superstore_Sales[[#This Row],[Ship Date]]-Superstore_Sales[[#This Row],[Order Date]]</f>
        <v>4</v>
      </c>
      <c r="F211" t="s">
        <v>40</v>
      </c>
      <c r="G211" t="s">
        <v>1256</v>
      </c>
      <c r="H211" t="s">
        <v>1257</v>
      </c>
      <c r="I211" t="s">
        <v>28</v>
      </c>
      <c r="K211" t="s">
        <v>943</v>
      </c>
      <c r="L211" t="s">
        <v>943</v>
      </c>
      <c r="M211" t="s">
        <v>321</v>
      </c>
      <c r="N211" t="s">
        <v>322</v>
      </c>
      <c r="O211" t="s">
        <v>48</v>
      </c>
      <c r="P211" t="s">
        <v>1258</v>
      </c>
      <c r="Q211" t="s">
        <v>50</v>
      </c>
      <c r="R211" t="s">
        <v>336</v>
      </c>
      <c r="S211" t="s">
        <v>1259</v>
      </c>
      <c r="T211">
        <v>2539.88</v>
      </c>
      <c r="U211">
        <v>7</v>
      </c>
      <c r="V211">
        <v>7.0000000000000007E-2</v>
      </c>
      <c r="W211">
        <v>709.94</v>
      </c>
      <c r="X211">
        <v>393.58</v>
      </c>
      <c r="Y211" t="s">
        <v>38</v>
      </c>
      <c r="Z211">
        <f>Superstore_Sales[[#This Row],[Sales]]*Superstore_Sales[[#This Row],[Quantity]]</f>
        <v>17779.16</v>
      </c>
      <c r="AA211" s="3">
        <f>Superstore_Sales[[#This Row],[TotalSales]]*Superstore_Sales[[#This Row],[Discount]]/100</f>
        <v>12.445412000000001</v>
      </c>
      <c r="AB211" s="2">
        <f>Superstore_Sales[[#This Row],[TotalSales]]-Superstore_Sales[[#This Row],[Dis_amt]]-Superstore_Sales[[#This Row],[Shipping Cost]]</f>
        <v>17373.134587999997</v>
      </c>
    </row>
    <row r="212" spans="1:28" x14ac:dyDescent="0.35">
      <c r="A212">
        <v>12449</v>
      </c>
      <c r="B212" t="s">
        <v>1260</v>
      </c>
      <c r="C212" s="1">
        <v>42275</v>
      </c>
      <c r="D212" s="1">
        <v>42278</v>
      </c>
      <c r="E212">
        <f>Superstore_Sales[[#This Row],[Ship Date]]-Superstore_Sales[[#This Row],[Order Date]]</f>
        <v>3</v>
      </c>
      <c r="F212" t="s">
        <v>25</v>
      </c>
      <c r="G212" t="s">
        <v>1261</v>
      </c>
      <c r="H212" t="s">
        <v>1262</v>
      </c>
      <c r="I212" t="s">
        <v>28</v>
      </c>
      <c r="K212" t="s">
        <v>1263</v>
      </c>
      <c r="L212" t="s">
        <v>310</v>
      </c>
      <c r="M212" t="s">
        <v>210</v>
      </c>
      <c r="N212" t="s">
        <v>211</v>
      </c>
      <c r="O212" t="s">
        <v>69</v>
      </c>
      <c r="P212" t="s">
        <v>1264</v>
      </c>
      <c r="Q212" t="s">
        <v>50</v>
      </c>
      <c r="R212" t="s">
        <v>336</v>
      </c>
      <c r="S212" t="s">
        <v>1265</v>
      </c>
      <c r="T212">
        <v>2898.21</v>
      </c>
      <c r="U212">
        <v>7</v>
      </c>
      <c r="V212">
        <v>0</v>
      </c>
      <c r="W212">
        <v>1420.02</v>
      </c>
      <c r="X212">
        <v>393.46</v>
      </c>
      <c r="Y212" t="s">
        <v>38</v>
      </c>
      <c r="Z212">
        <f>Superstore_Sales[[#This Row],[Sales]]*Superstore_Sales[[#This Row],[Quantity]]</f>
        <v>20287.47</v>
      </c>
      <c r="AA212" s="3">
        <f>Superstore_Sales[[#This Row],[TotalSales]]*Superstore_Sales[[#This Row],[Discount]]/100</f>
        <v>0</v>
      </c>
      <c r="AB212" s="2">
        <f>Superstore_Sales[[#This Row],[TotalSales]]-Superstore_Sales[[#This Row],[Dis_amt]]-Superstore_Sales[[#This Row],[Shipping Cost]]</f>
        <v>19894.010000000002</v>
      </c>
    </row>
    <row r="213" spans="1:28" x14ac:dyDescent="0.35">
      <c r="A213">
        <v>17848</v>
      </c>
      <c r="B213" t="s">
        <v>1266</v>
      </c>
      <c r="C213" s="1">
        <v>41218</v>
      </c>
      <c r="D213" s="1">
        <v>41220</v>
      </c>
      <c r="E213">
        <f>Superstore_Sales[[#This Row],[Ship Date]]-Superstore_Sales[[#This Row],[Order Date]]</f>
        <v>2</v>
      </c>
      <c r="F213" t="s">
        <v>25</v>
      </c>
      <c r="G213" t="s">
        <v>1267</v>
      </c>
      <c r="H213" t="s">
        <v>1268</v>
      </c>
      <c r="I213" t="s">
        <v>65</v>
      </c>
      <c r="K213" t="s">
        <v>1269</v>
      </c>
      <c r="L213" t="s">
        <v>1212</v>
      </c>
      <c r="M213" t="s">
        <v>155</v>
      </c>
      <c r="N213" t="s">
        <v>68</v>
      </c>
      <c r="O213" t="s">
        <v>69</v>
      </c>
      <c r="P213" t="s">
        <v>373</v>
      </c>
      <c r="Q213" t="s">
        <v>35</v>
      </c>
      <c r="R213" t="s">
        <v>275</v>
      </c>
      <c r="S213" t="s">
        <v>374</v>
      </c>
      <c r="T213">
        <v>1320.01</v>
      </c>
      <c r="U213">
        <v>5</v>
      </c>
      <c r="V213">
        <v>0.15</v>
      </c>
      <c r="W213">
        <v>357.16</v>
      </c>
      <c r="X213">
        <v>390.2</v>
      </c>
      <c r="Y213" t="s">
        <v>53</v>
      </c>
      <c r="Z213">
        <f>Superstore_Sales[[#This Row],[Sales]]*Superstore_Sales[[#This Row],[Quantity]]</f>
        <v>6600.05</v>
      </c>
      <c r="AA213" s="3">
        <f>Superstore_Sales[[#This Row],[TotalSales]]*Superstore_Sales[[#This Row],[Discount]]/100</f>
        <v>9.9000749999999993</v>
      </c>
      <c r="AB213" s="2">
        <f>Superstore_Sales[[#This Row],[TotalSales]]-Superstore_Sales[[#This Row],[Dis_amt]]-Superstore_Sales[[#This Row],[Shipping Cost]]</f>
        <v>6199.9499250000008</v>
      </c>
    </row>
    <row r="214" spans="1:28" x14ac:dyDescent="0.35">
      <c r="A214">
        <v>46219</v>
      </c>
      <c r="B214" t="s">
        <v>1270</v>
      </c>
      <c r="C214" s="1">
        <v>42032</v>
      </c>
      <c r="D214" s="1">
        <v>42034</v>
      </c>
      <c r="E214">
        <f>Superstore_Sales[[#This Row],[Ship Date]]-Superstore_Sales[[#This Row],[Order Date]]</f>
        <v>2</v>
      </c>
      <c r="F214" t="s">
        <v>40</v>
      </c>
      <c r="G214" t="s">
        <v>1271</v>
      </c>
      <c r="H214" t="s">
        <v>1272</v>
      </c>
      <c r="I214" t="s">
        <v>43</v>
      </c>
      <c r="K214" t="s">
        <v>1273</v>
      </c>
      <c r="L214" t="s">
        <v>1273</v>
      </c>
      <c r="M214" t="s">
        <v>1274</v>
      </c>
      <c r="N214" t="s">
        <v>211</v>
      </c>
      <c r="O214" t="s">
        <v>69</v>
      </c>
      <c r="P214" t="s">
        <v>1275</v>
      </c>
      <c r="Q214" t="s">
        <v>50</v>
      </c>
      <c r="R214" t="s">
        <v>104</v>
      </c>
      <c r="S214" t="s">
        <v>1276</v>
      </c>
      <c r="T214">
        <v>2171.16</v>
      </c>
      <c r="U214">
        <v>8</v>
      </c>
      <c r="V214">
        <v>0.7</v>
      </c>
      <c r="W214">
        <v>-2750.28</v>
      </c>
      <c r="X214">
        <v>390.09</v>
      </c>
      <c r="Y214" t="s">
        <v>38</v>
      </c>
      <c r="Z214">
        <f>Superstore_Sales[[#This Row],[Sales]]*Superstore_Sales[[#This Row],[Quantity]]</f>
        <v>17369.28</v>
      </c>
      <c r="AA214" s="3">
        <f>Superstore_Sales[[#This Row],[TotalSales]]*Superstore_Sales[[#This Row],[Discount]]/100</f>
        <v>121.58496</v>
      </c>
      <c r="AB214" s="2">
        <f>Superstore_Sales[[#This Row],[TotalSales]]-Superstore_Sales[[#This Row],[Dis_amt]]-Superstore_Sales[[#This Row],[Shipping Cost]]</f>
        <v>16857.605039999999</v>
      </c>
    </row>
    <row r="215" spans="1:28" x14ac:dyDescent="0.35">
      <c r="A215">
        <v>26932</v>
      </c>
      <c r="B215" t="s">
        <v>1277</v>
      </c>
      <c r="C215" s="1">
        <v>42260</v>
      </c>
      <c r="D215" s="1">
        <v>42266</v>
      </c>
      <c r="E215">
        <f>Superstore_Sales[[#This Row],[Ship Date]]-Superstore_Sales[[#This Row],[Order Date]]</f>
        <v>6</v>
      </c>
      <c r="F215" t="s">
        <v>98</v>
      </c>
      <c r="G215" t="s">
        <v>1278</v>
      </c>
      <c r="H215" t="s">
        <v>1279</v>
      </c>
      <c r="I215" t="s">
        <v>43</v>
      </c>
      <c r="K215" t="s">
        <v>57</v>
      </c>
      <c r="L215" t="s">
        <v>58</v>
      </c>
      <c r="M215" t="s">
        <v>46</v>
      </c>
      <c r="N215" t="s">
        <v>47</v>
      </c>
      <c r="O215" t="s">
        <v>48</v>
      </c>
      <c r="P215" t="s">
        <v>725</v>
      </c>
      <c r="Q215" t="s">
        <v>35</v>
      </c>
      <c r="R215" t="s">
        <v>81</v>
      </c>
      <c r="S215" t="s">
        <v>726</v>
      </c>
      <c r="T215">
        <v>4448.22</v>
      </c>
      <c r="U215">
        <v>13</v>
      </c>
      <c r="V215">
        <v>0.1</v>
      </c>
      <c r="W215">
        <v>444.48</v>
      </c>
      <c r="X215">
        <v>386.38</v>
      </c>
      <c r="Y215" t="s">
        <v>61</v>
      </c>
      <c r="Z215">
        <f>Superstore_Sales[[#This Row],[Sales]]*Superstore_Sales[[#This Row],[Quantity]]</f>
        <v>57826.86</v>
      </c>
      <c r="AA215" s="3">
        <f>Superstore_Sales[[#This Row],[TotalSales]]*Superstore_Sales[[#This Row],[Discount]]/100</f>
        <v>57.826860000000003</v>
      </c>
      <c r="AB215" s="2">
        <f>Superstore_Sales[[#This Row],[TotalSales]]-Superstore_Sales[[#This Row],[Dis_amt]]-Superstore_Sales[[#This Row],[Shipping Cost]]</f>
        <v>57382.653140000002</v>
      </c>
    </row>
    <row r="216" spans="1:28" x14ac:dyDescent="0.35">
      <c r="A216">
        <v>32866</v>
      </c>
      <c r="B216" t="s">
        <v>1280</v>
      </c>
      <c r="C216" s="1">
        <v>42335</v>
      </c>
      <c r="D216" s="1">
        <v>42339</v>
      </c>
      <c r="E216">
        <f>Superstore_Sales[[#This Row],[Ship Date]]-Superstore_Sales[[#This Row],[Order Date]]</f>
        <v>4</v>
      </c>
      <c r="F216" t="s">
        <v>98</v>
      </c>
      <c r="G216" t="s">
        <v>1223</v>
      </c>
      <c r="H216" t="s">
        <v>1046</v>
      </c>
      <c r="I216" t="s">
        <v>43</v>
      </c>
      <c r="J216">
        <v>30318</v>
      </c>
      <c r="K216" t="s">
        <v>1281</v>
      </c>
      <c r="L216" t="s">
        <v>1282</v>
      </c>
      <c r="M216" t="s">
        <v>31</v>
      </c>
      <c r="N216" t="s">
        <v>351</v>
      </c>
      <c r="O216" t="s">
        <v>33</v>
      </c>
      <c r="P216" t="s">
        <v>1283</v>
      </c>
      <c r="Q216" t="s">
        <v>147</v>
      </c>
      <c r="R216" t="s">
        <v>431</v>
      </c>
      <c r="S216" t="s">
        <v>1284</v>
      </c>
      <c r="T216">
        <v>12.84</v>
      </c>
      <c r="U216">
        <v>3</v>
      </c>
      <c r="V216">
        <v>0</v>
      </c>
      <c r="W216">
        <v>3.72</v>
      </c>
      <c r="X216">
        <v>1.88</v>
      </c>
      <c r="Y216" t="s">
        <v>61</v>
      </c>
      <c r="Z216">
        <f>Superstore_Sales[[#This Row],[Sales]]*Superstore_Sales[[#This Row],[Quantity]]</f>
        <v>38.519999999999996</v>
      </c>
      <c r="AA216" s="3">
        <f>Superstore_Sales[[#This Row],[TotalSales]]*Superstore_Sales[[#This Row],[Discount]]/100</f>
        <v>0</v>
      </c>
      <c r="AB216" s="2">
        <f>Superstore_Sales[[#This Row],[TotalSales]]-Superstore_Sales[[#This Row],[Dis_amt]]-Superstore_Sales[[#This Row],[Shipping Cost]]</f>
        <v>36.639999999999993</v>
      </c>
    </row>
    <row r="217" spans="1:28" x14ac:dyDescent="0.35">
      <c r="A217">
        <v>4817</v>
      </c>
      <c r="B217" t="s">
        <v>1285</v>
      </c>
      <c r="C217" s="1">
        <v>41264</v>
      </c>
      <c r="D217" s="1">
        <v>41266</v>
      </c>
      <c r="E217">
        <f>Superstore_Sales[[#This Row],[Ship Date]]-Superstore_Sales[[#This Row],[Order Date]]</f>
        <v>2</v>
      </c>
      <c r="F217" t="s">
        <v>25</v>
      </c>
      <c r="G217" t="s">
        <v>1286</v>
      </c>
      <c r="H217" t="s">
        <v>1287</v>
      </c>
      <c r="I217" t="s">
        <v>28</v>
      </c>
      <c r="K217" t="s">
        <v>1288</v>
      </c>
      <c r="L217" t="s">
        <v>1288</v>
      </c>
      <c r="M217" t="s">
        <v>1289</v>
      </c>
      <c r="N217" t="s">
        <v>135</v>
      </c>
      <c r="O217" t="s">
        <v>136</v>
      </c>
      <c r="P217" t="s">
        <v>701</v>
      </c>
      <c r="Q217" t="s">
        <v>35</v>
      </c>
      <c r="R217" t="s">
        <v>36</v>
      </c>
      <c r="S217" t="s">
        <v>702</v>
      </c>
      <c r="T217">
        <v>2300.62</v>
      </c>
      <c r="U217">
        <v>9</v>
      </c>
      <c r="V217">
        <v>0.4</v>
      </c>
      <c r="W217">
        <v>38.200000000000003</v>
      </c>
      <c r="X217">
        <v>386.00299999999999</v>
      </c>
      <c r="Y217" t="s">
        <v>38</v>
      </c>
      <c r="Z217">
        <f>Superstore_Sales[[#This Row],[Sales]]*Superstore_Sales[[#This Row],[Quantity]]</f>
        <v>20705.579999999998</v>
      </c>
      <c r="AA217" s="3">
        <f>Superstore_Sales[[#This Row],[TotalSales]]*Superstore_Sales[[#This Row],[Discount]]/100</f>
        <v>82.822320000000005</v>
      </c>
      <c r="AB217" s="2">
        <f>Superstore_Sales[[#This Row],[TotalSales]]-Superstore_Sales[[#This Row],[Dis_amt]]-Superstore_Sales[[#This Row],[Shipping Cost]]</f>
        <v>20236.754679999998</v>
      </c>
    </row>
    <row r="218" spans="1:28" x14ac:dyDescent="0.35">
      <c r="A218">
        <v>50593</v>
      </c>
      <c r="B218" t="s">
        <v>1290</v>
      </c>
      <c r="C218" s="1">
        <v>41675</v>
      </c>
      <c r="D218" s="1">
        <v>41677</v>
      </c>
      <c r="E218">
        <f>Superstore_Sales[[#This Row],[Ship Date]]-Superstore_Sales[[#This Row],[Order Date]]</f>
        <v>2</v>
      </c>
      <c r="F218" t="s">
        <v>40</v>
      </c>
      <c r="G218" t="s">
        <v>1291</v>
      </c>
      <c r="H218" t="s">
        <v>1292</v>
      </c>
      <c r="I218" t="s">
        <v>65</v>
      </c>
      <c r="K218" t="s">
        <v>1293</v>
      </c>
      <c r="L218" t="s">
        <v>1294</v>
      </c>
      <c r="M218" t="s">
        <v>1239</v>
      </c>
      <c r="N218" t="s">
        <v>554</v>
      </c>
      <c r="O218" t="s">
        <v>79</v>
      </c>
      <c r="P218" t="s">
        <v>335</v>
      </c>
      <c r="Q218" t="s">
        <v>50</v>
      </c>
      <c r="R218" t="s">
        <v>336</v>
      </c>
      <c r="S218" t="s">
        <v>337</v>
      </c>
      <c r="T218">
        <v>2615.94</v>
      </c>
      <c r="U218">
        <v>6</v>
      </c>
      <c r="V218">
        <v>0</v>
      </c>
      <c r="W218">
        <v>1072.44</v>
      </c>
      <c r="X218">
        <v>384.41</v>
      </c>
      <c r="Y218" t="s">
        <v>53</v>
      </c>
      <c r="Z218">
        <f>Superstore_Sales[[#This Row],[Sales]]*Superstore_Sales[[#This Row],[Quantity]]</f>
        <v>15695.64</v>
      </c>
      <c r="AA218" s="3">
        <f>Superstore_Sales[[#This Row],[TotalSales]]*Superstore_Sales[[#This Row],[Discount]]/100</f>
        <v>0</v>
      </c>
      <c r="AB218" s="2">
        <f>Superstore_Sales[[#This Row],[TotalSales]]-Superstore_Sales[[#This Row],[Dis_amt]]-Superstore_Sales[[#This Row],[Shipping Cost]]</f>
        <v>15311.23</v>
      </c>
    </row>
    <row r="219" spans="1:28" x14ac:dyDescent="0.35">
      <c r="A219">
        <v>25445</v>
      </c>
      <c r="B219" t="s">
        <v>1295</v>
      </c>
      <c r="C219" s="1">
        <v>41270</v>
      </c>
      <c r="D219" s="1">
        <v>41271</v>
      </c>
      <c r="E219">
        <f>Superstore_Sales[[#This Row],[Ship Date]]-Superstore_Sales[[#This Row],[Order Date]]</f>
        <v>1</v>
      </c>
      <c r="F219" t="s">
        <v>25</v>
      </c>
      <c r="G219" t="s">
        <v>1296</v>
      </c>
      <c r="H219" t="s">
        <v>1297</v>
      </c>
      <c r="I219" t="s">
        <v>28</v>
      </c>
      <c r="K219" t="s">
        <v>1298</v>
      </c>
      <c r="L219" t="s">
        <v>334</v>
      </c>
      <c r="M219" t="s">
        <v>258</v>
      </c>
      <c r="N219" t="s">
        <v>118</v>
      </c>
      <c r="O219" t="s">
        <v>48</v>
      </c>
      <c r="P219" t="s">
        <v>535</v>
      </c>
      <c r="Q219" t="s">
        <v>35</v>
      </c>
      <c r="R219" t="s">
        <v>81</v>
      </c>
      <c r="S219" t="s">
        <v>536</v>
      </c>
      <c r="T219">
        <v>1066.68</v>
      </c>
      <c r="U219">
        <v>3</v>
      </c>
      <c r="V219">
        <v>0</v>
      </c>
      <c r="W219">
        <v>394.65</v>
      </c>
      <c r="X219">
        <v>383.68</v>
      </c>
      <c r="Y219" t="s">
        <v>53</v>
      </c>
      <c r="Z219">
        <f>Superstore_Sales[[#This Row],[Sales]]*Superstore_Sales[[#This Row],[Quantity]]</f>
        <v>3200.04</v>
      </c>
      <c r="AA219" s="3">
        <f>Superstore_Sales[[#This Row],[TotalSales]]*Superstore_Sales[[#This Row],[Discount]]/100</f>
        <v>0</v>
      </c>
      <c r="AB219" s="2">
        <f>Superstore_Sales[[#This Row],[TotalSales]]-Superstore_Sales[[#This Row],[Dis_amt]]-Superstore_Sales[[#This Row],[Shipping Cost]]</f>
        <v>2816.36</v>
      </c>
    </row>
    <row r="220" spans="1:28" x14ac:dyDescent="0.35">
      <c r="A220">
        <v>50000</v>
      </c>
      <c r="B220" t="s">
        <v>1299</v>
      </c>
      <c r="C220" s="1">
        <v>41025</v>
      </c>
      <c r="D220" s="1">
        <v>41028</v>
      </c>
      <c r="E220">
        <f>Superstore_Sales[[#This Row],[Ship Date]]-Superstore_Sales[[#This Row],[Order Date]]</f>
        <v>3</v>
      </c>
      <c r="F220" t="s">
        <v>25</v>
      </c>
      <c r="G220" t="s">
        <v>1300</v>
      </c>
      <c r="H220" t="s">
        <v>1301</v>
      </c>
      <c r="I220" t="s">
        <v>43</v>
      </c>
      <c r="K220" t="s">
        <v>1302</v>
      </c>
      <c r="L220" t="s">
        <v>1302</v>
      </c>
      <c r="M220" t="s">
        <v>1303</v>
      </c>
      <c r="N220" t="s">
        <v>1100</v>
      </c>
      <c r="O220" t="s">
        <v>79</v>
      </c>
      <c r="P220" t="s">
        <v>1027</v>
      </c>
      <c r="Q220" t="s">
        <v>35</v>
      </c>
      <c r="R220" t="s">
        <v>36</v>
      </c>
      <c r="S220" t="s">
        <v>1028</v>
      </c>
      <c r="T220">
        <v>2544.6</v>
      </c>
      <c r="U220">
        <v>4</v>
      </c>
      <c r="V220">
        <v>0</v>
      </c>
      <c r="W220">
        <v>814.2</v>
      </c>
      <c r="X220">
        <v>383.01</v>
      </c>
      <c r="Y220" t="s">
        <v>38</v>
      </c>
      <c r="Z220">
        <f>Superstore_Sales[[#This Row],[Sales]]*Superstore_Sales[[#This Row],[Quantity]]</f>
        <v>10178.4</v>
      </c>
      <c r="AA220" s="3">
        <f>Superstore_Sales[[#This Row],[TotalSales]]*Superstore_Sales[[#This Row],[Discount]]/100</f>
        <v>0</v>
      </c>
      <c r="AB220" s="2">
        <f>Superstore_Sales[[#This Row],[TotalSales]]-Superstore_Sales[[#This Row],[Dis_amt]]-Superstore_Sales[[#This Row],[Shipping Cost]]</f>
        <v>9795.39</v>
      </c>
    </row>
    <row r="221" spans="1:28" x14ac:dyDescent="0.35">
      <c r="A221">
        <v>30934</v>
      </c>
      <c r="B221" t="s">
        <v>1304</v>
      </c>
      <c r="C221" s="1">
        <v>41187</v>
      </c>
      <c r="D221" s="1">
        <v>41192</v>
      </c>
      <c r="E221">
        <f>Superstore_Sales[[#This Row],[Ship Date]]-Superstore_Sales[[#This Row],[Order Date]]</f>
        <v>5</v>
      </c>
      <c r="F221" t="s">
        <v>98</v>
      </c>
      <c r="G221" t="s">
        <v>1305</v>
      </c>
      <c r="H221" t="s">
        <v>1306</v>
      </c>
      <c r="I221" t="s">
        <v>43</v>
      </c>
      <c r="K221" t="s">
        <v>93</v>
      </c>
      <c r="L221" t="s">
        <v>93</v>
      </c>
      <c r="M221" t="s">
        <v>94</v>
      </c>
      <c r="N221" t="s">
        <v>47</v>
      </c>
      <c r="O221" t="s">
        <v>48</v>
      </c>
      <c r="P221" t="s">
        <v>1307</v>
      </c>
      <c r="Q221" t="s">
        <v>50</v>
      </c>
      <c r="R221" t="s">
        <v>104</v>
      </c>
      <c r="S221" t="s">
        <v>1308</v>
      </c>
      <c r="T221">
        <v>3694.68</v>
      </c>
      <c r="U221">
        <v>4</v>
      </c>
      <c r="V221">
        <v>0</v>
      </c>
      <c r="W221">
        <v>886.68</v>
      </c>
      <c r="X221">
        <v>382.77</v>
      </c>
      <c r="Y221" t="s">
        <v>38</v>
      </c>
      <c r="Z221">
        <f>Superstore_Sales[[#This Row],[Sales]]*Superstore_Sales[[#This Row],[Quantity]]</f>
        <v>14778.72</v>
      </c>
      <c r="AA221" s="3">
        <f>Superstore_Sales[[#This Row],[TotalSales]]*Superstore_Sales[[#This Row],[Discount]]/100</f>
        <v>0</v>
      </c>
      <c r="AB221" s="2">
        <f>Superstore_Sales[[#This Row],[TotalSales]]-Superstore_Sales[[#This Row],[Dis_amt]]-Superstore_Sales[[#This Row],[Shipping Cost]]</f>
        <v>14395.949999999999</v>
      </c>
    </row>
    <row r="222" spans="1:28" x14ac:dyDescent="0.35">
      <c r="A222">
        <v>21667</v>
      </c>
      <c r="B222" t="s">
        <v>1309</v>
      </c>
      <c r="C222" s="1">
        <v>41875</v>
      </c>
      <c r="D222" s="1">
        <v>41877</v>
      </c>
      <c r="E222">
        <f>Superstore_Sales[[#This Row],[Ship Date]]-Superstore_Sales[[#This Row],[Order Date]]</f>
        <v>2</v>
      </c>
      <c r="F222" t="s">
        <v>40</v>
      </c>
      <c r="G222" t="s">
        <v>1310</v>
      </c>
      <c r="H222" t="s">
        <v>1311</v>
      </c>
      <c r="I222" t="s">
        <v>65</v>
      </c>
      <c r="K222" t="s">
        <v>1312</v>
      </c>
      <c r="L222" t="s">
        <v>1313</v>
      </c>
      <c r="M222" t="s">
        <v>144</v>
      </c>
      <c r="N222" t="s">
        <v>145</v>
      </c>
      <c r="O222" t="s">
        <v>48</v>
      </c>
      <c r="P222" t="s">
        <v>1314</v>
      </c>
      <c r="Q222" t="s">
        <v>50</v>
      </c>
      <c r="R222" t="s">
        <v>104</v>
      </c>
      <c r="S222" t="s">
        <v>1315</v>
      </c>
      <c r="T222">
        <v>2214.85</v>
      </c>
      <c r="U222">
        <v>7</v>
      </c>
      <c r="V222">
        <v>0.3</v>
      </c>
      <c r="W222">
        <v>-221.57</v>
      </c>
      <c r="X222">
        <v>382.1</v>
      </c>
      <c r="Y222" t="s">
        <v>53</v>
      </c>
      <c r="Z222">
        <f>Superstore_Sales[[#This Row],[Sales]]*Superstore_Sales[[#This Row],[Quantity]]</f>
        <v>15503.949999999999</v>
      </c>
      <c r="AA222" s="3">
        <f>Superstore_Sales[[#This Row],[TotalSales]]*Superstore_Sales[[#This Row],[Discount]]/100</f>
        <v>46.511849999999995</v>
      </c>
      <c r="AB222" s="2">
        <f>Superstore_Sales[[#This Row],[TotalSales]]-Superstore_Sales[[#This Row],[Dis_amt]]-Superstore_Sales[[#This Row],[Shipping Cost]]</f>
        <v>15075.338149999998</v>
      </c>
    </row>
    <row r="223" spans="1:28" x14ac:dyDescent="0.35">
      <c r="A223">
        <v>8870</v>
      </c>
      <c r="B223" t="s">
        <v>1316</v>
      </c>
      <c r="C223" s="1">
        <v>41903</v>
      </c>
      <c r="D223" s="1">
        <v>41906</v>
      </c>
      <c r="E223">
        <f>Superstore_Sales[[#This Row],[Ship Date]]-Superstore_Sales[[#This Row],[Order Date]]</f>
        <v>3</v>
      </c>
      <c r="F223" t="s">
        <v>40</v>
      </c>
      <c r="G223" t="s">
        <v>1317</v>
      </c>
      <c r="H223" t="s">
        <v>1318</v>
      </c>
      <c r="I223" t="s">
        <v>65</v>
      </c>
      <c r="K223" t="s">
        <v>1319</v>
      </c>
      <c r="L223" t="s">
        <v>1320</v>
      </c>
      <c r="M223" t="s">
        <v>134</v>
      </c>
      <c r="N223" t="s">
        <v>135</v>
      </c>
      <c r="O223" t="s">
        <v>136</v>
      </c>
      <c r="P223" t="s">
        <v>1321</v>
      </c>
      <c r="Q223" t="s">
        <v>50</v>
      </c>
      <c r="R223" t="s">
        <v>51</v>
      </c>
      <c r="S223" t="s">
        <v>1322</v>
      </c>
      <c r="T223">
        <v>1236.48</v>
      </c>
      <c r="U223">
        <v>4</v>
      </c>
      <c r="V223">
        <v>0</v>
      </c>
      <c r="W223">
        <v>111.28</v>
      </c>
      <c r="X223">
        <v>381.21899999999999</v>
      </c>
      <c r="Y223" t="s">
        <v>53</v>
      </c>
      <c r="Z223">
        <f>Superstore_Sales[[#This Row],[Sales]]*Superstore_Sales[[#This Row],[Quantity]]</f>
        <v>4945.92</v>
      </c>
      <c r="AA223" s="3">
        <f>Superstore_Sales[[#This Row],[TotalSales]]*Superstore_Sales[[#This Row],[Discount]]/100</f>
        <v>0</v>
      </c>
      <c r="AB223" s="2">
        <f>Superstore_Sales[[#This Row],[TotalSales]]-Superstore_Sales[[#This Row],[Dis_amt]]-Superstore_Sales[[#This Row],[Shipping Cost]]</f>
        <v>4564.701</v>
      </c>
    </row>
    <row r="224" spans="1:28" x14ac:dyDescent="0.35">
      <c r="A224">
        <v>1899</v>
      </c>
      <c r="B224" t="s">
        <v>1323</v>
      </c>
      <c r="C224" s="1">
        <v>42355</v>
      </c>
      <c r="D224" s="1">
        <v>42357</v>
      </c>
      <c r="E224">
        <f>Superstore_Sales[[#This Row],[Ship Date]]-Superstore_Sales[[#This Row],[Order Date]]</f>
        <v>2</v>
      </c>
      <c r="F224" t="s">
        <v>25</v>
      </c>
      <c r="G224" t="s">
        <v>1324</v>
      </c>
      <c r="H224" t="s">
        <v>1325</v>
      </c>
      <c r="I224" t="s">
        <v>43</v>
      </c>
      <c r="K224" t="s">
        <v>1326</v>
      </c>
      <c r="L224" t="s">
        <v>1326</v>
      </c>
      <c r="M224" t="s">
        <v>491</v>
      </c>
      <c r="N224" t="s">
        <v>220</v>
      </c>
      <c r="O224" t="s">
        <v>136</v>
      </c>
      <c r="P224" t="s">
        <v>1327</v>
      </c>
      <c r="Q224" t="s">
        <v>147</v>
      </c>
      <c r="R224" t="s">
        <v>148</v>
      </c>
      <c r="S224" t="s">
        <v>1328</v>
      </c>
      <c r="T224">
        <v>1805.9</v>
      </c>
      <c r="U224">
        <v>5</v>
      </c>
      <c r="V224">
        <v>0</v>
      </c>
      <c r="W224">
        <v>126.4</v>
      </c>
      <c r="X224">
        <v>381.14</v>
      </c>
      <c r="Y224" t="s">
        <v>53</v>
      </c>
      <c r="Z224">
        <f>Superstore_Sales[[#This Row],[Sales]]*Superstore_Sales[[#This Row],[Quantity]]</f>
        <v>9029.5</v>
      </c>
      <c r="AA224" s="3">
        <f>Superstore_Sales[[#This Row],[TotalSales]]*Superstore_Sales[[#This Row],[Discount]]/100</f>
        <v>0</v>
      </c>
      <c r="AB224" s="2">
        <f>Superstore_Sales[[#This Row],[TotalSales]]-Superstore_Sales[[#This Row],[Dis_amt]]-Superstore_Sales[[#This Row],[Shipping Cost]]</f>
        <v>8648.36</v>
      </c>
    </row>
    <row r="225" spans="1:28" x14ac:dyDescent="0.35">
      <c r="A225">
        <v>36279</v>
      </c>
      <c r="B225" t="s">
        <v>1329</v>
      </c>
      <c r="C225" s="1">
        <v>41228</v>
      </c>
      <c r="D225" s="1">
        <v>41234</v>
      </c>
      <c r="E225">
        <f>Superstore_Sales[[#This Row],[Ship Date]]-Superstore_Sales[[#This Row],[Order Date]]</f>
        <v>6</v>
      </c>
      <c r="F225" t="s">
        <v>98</v>
      </c>
      <c r="G225" t="s">
        <v>1109</v>
      </c>
      <c r="H225" t="s">
        <v>1046</v>
      </c>
      <c r="I225" t="s">
        <v>43</v>
      </c>
      <c r="J225">
        <v>92646</v>
      </c>
      <c r="K225" t="s">
        <v>1330</v>
      </c>
      <c r="L225" t="s">
        <v>280</v>
      </c>
      <c r="M225" t="s">
        <v>31</v>
      </c>
      <c r="N225" t="s">
        <v>110</v>
      </c>
      <c r="O225" t="s">
        <v>33</v>
      </c>
      <c r="P225" t="s">
        <v>1331</v>
      </c>
      <c r="Q225" t="s">
        <v>147</v>
      </c>
      <c r="R225" t="s">
        <v>1332</v>
      </c>
      <c r="S225" t="s">
        <v>1333</v>
      </c>
      <c r="T225">
        <v>5.22</v>
      </c>
      <c r="U225">
        <v>2</v>
      </c>
      <c r="V225">
        <v>0</v>
      </c>
      <c r="W225">
        <v>2.4</v>
      </c>
      <c r="X225">
        <v>1.51</v>
      </c>
      <c r="Y225" t="s">
        <v>61</v>
      </c>
      <c r="Z225">
        <f>Superstore_Sales[[#This Row],[Sales]]*Superstore_Sales[[#This Row],[Quantity]]</f>
        <v>10.44</v>
      </c>
      <c r="AA225" s="3">
        <f>Superstore_Sales[[#This Row],[TotalSales]]*Superstore_Sales[[#This Row],[Discount]]/100</f>
        <v>0</v>
      </c>
      <c r="AB225" s="2">
        <f>Superstore_Sales[[#This Row],[TotalSales]]-Superstore_Sales[[#This Row],[Dis_amt]]-Superstore_Sales[[#This Row],[Shipping Cost]]</f>
        <v>8.93</v>
      </c>
    </row>
    <row r="226" spans="1:28" x14ac:dyDescent="0.35">
      <c r="A226">
        <v>39051</v>
      </c>
      <c r="B226" t="s">
        <v>1334</v>
      </c>
      <c r="C226" s="1">
        <v>41629</v>
      </c>
      <c r="D226" s="1">
        <v>41631</v>
      </c>
      <c r="E226">
        <f>Superstore_Sales[[#This Row],[Ship Date]]-Superstore_Sales[[#This Row],[Order Date]]</f>
        <v>2</v>
      </c>
      <c r="F226" t="s">
        <v>40</v>
      </c>
      <c r="G226" t="s">
        <v>1045</v>
      </c>
      <c r="H226" t="s">
        <v>1046</v>
      </c>
      <c r="I226" t="s">
        <v>43</v>
      </c>
      <c r="J226">
        <v>43229</v>
      </c>
      <c r="K226" t="s">
        <v>1335</v>
      </c>
      <c r="L226" t="s">
        <v>1336</v>
      </c>
      <c r="M226" t="s">
        <v>31</v>
      </c>
      <c r="N226" t="s">
        <v>249</v>
      </c>
      <c r="O226" t="s">
        <v>33</v>
      </c>
      <c r="P226" t="s">
        <v>1337</v>
      </c>
      <c r="Q226" t="s">
        <v>147</v>
      </c>
      <c r="R226" t="s">
        <v>431</v>
      </c>
      <c r="S226" t="s">
        <v>1338</v>
      </c>
      <c r="T226">
        <v>3.01</v>
      </c>
      <c r="U226">
        <v>2</v>
      </c>
      <c r="V226">
        <v>0.2</v>
      </c>
      <c r="W226">
        <v>0.34</v>
      </c>
      <c r="X226">
        <v>1.38</v>
      </c>
      <c r="Y226" t="s">
        <v>38</v>
      </c>
      <c r="Z226">
        <f>Superstore_Sales[[#This Row],[Sales]]*Superstore_Sales[[#This Row],[Quantity]]</f>
        <v>6.02</v>
      </c>
      <c r="AA226" s="3">
        <f>Superstore_Sales[[#This Row],[TotalSales]]*Superstore_Sales[[#This Row],[Discount]]/100</f>
        <v>1.204E-2</v>
      </c>
      <c r="AB226" s="2">
        <f>Superstore_Sales[[#This Row],[TotalSales]]-Superstore_Sales[[#This Row],[Dis_amt]]-Superstore_Sales[[#This Row],[Shipping Cost]]</f>
        <v>4.6279599999999999</v>
      </c>
    </row>
    <row r="227" spans="1:28" x14ac:dyDescent="0.35">
      <c r="A227">
        <v>9857</v>
      </c>
      <c r="B227" t="s">
        <v>1339</v>
      </c>
      <c r="C227" s="1">
        <v>42158</v>
      </c>
      <c r="D227" s="1">
        <v>42162</v>
      </c>
      <c r="E227">
        <f>Superstore_Sales[[#This Row],[Ship Date]]-Superstore_Sales[[#This Row],[Order Date]]</f>
        <v>4</v>
      </c>
      <c r="F227" t="s">
        <v>98</v>
      </c>
      <c r="G227" t="s">
        <v>1340</v>
      </c>
      <c r="H227" t="s">
        <v>1341</v>
      </c>
      <c r="I227" t="s">
        <v>28</v>
      </c>
      <c r="K227" t="s">
        <v>1342</v>
      </c>
      <c r="L227" t="s">
        <v>1342</v>
      </c>
      <c r="M227" t="s">
        <v>491</v>
      </c>
      <c r="N227" t="s">
        <v>220</v>
      </c>
      <c r="O227" t="s">
        <v>136</v>
      </c>
      <c r="P227" t="s">
        <v>921</v>
      </c>
      <c r="Q227" t="s">
        <v>147</v>
      </c>
      <c r="R227" t="s">
        <v>148</v>
      </c>
      <c r="S227" t="s">
        <v>922</v>
      </c>
      <c r="T227">
        <v>1810.3</v>
      </c>
      <c r="U227">
        <v>5</v>
      </c>
      <c r="V227">
        <v>0</v>
      </c>
      <c r="W227">
        <v>54.3</v>
      </c>
      <c r="X227">
        <v>378.25799999999998</v>
      </c>
      <c r="Y227" t="s">
        <v>38</v>
      </c>
      <c r="Z227">
        <f>Superstore_Sales[[#This Row],[Sales]]*Superstore_Sales[[#This Row],[Quantity]]</f>
        <v>9051.5</v>
      </c>
      <c r="AA227" s="3">
        <f>Superstore_Sales[[#This Row],[TotalSales]]*Superstore_Sales[[#This Row],[Discount]]/100</f>
        <v>0</v>
      </c>
      <c r="AB227" s="2">
        <f>Superstore_Sales[[#This Row],[TotalSales]]-Superstore_Sales[[#This Row],[Dis_amt]]-Superstore_Sales[[#This Row],[Shipping Cost]]</f>
        <v>8673.2420000000002</v>
      </c>
    </row>
    <row r="228" spans="1:28" x14ac:dyDescent="0.35">
      <c r="A228">
        <v>2398</v>
      </c>
      <c r="B228" t="s">
        <v>1343</v>
      </c>
      <c r="C228" s="1">
        <v>42259</v>
      </c>
      <c r="D228" s="1">
        <v>42261</v>
      </c>
      <c r="E228">
        <f>Superstore_Sales[[#This Row],[Ship Date]]-Superstore_Sales[[#This Row],[Order Date]]</f>
        <v>2</v>
      </c>
      <c r="F228" t="s">
        <v>25</v>
      </c>
      <c r="G228" t="s">
        <v>1344</v>
      </c>
      <c r="H228" t="s">
        <v>422</v>
      </c>
      <c r="I228" t="s">
        <v>28</v>
      </c>
      <c r="K228" t="s">
        <v>1342</v>
      </c>
      <c r="L228" t="s">
        <v>1342</v>
      </c>
      <c r="M228" t="s">
        <v>491</v>
      </c>
      <c r="N228" t="s">
        <v>220</v>
      </c>
      <c r="O228" t="s">
        <v>136</v>
      </c>
      <c r="P228" t="s">
        <v>1027</v>
      </c>
      <c r="Q228" t="s">
        <v>35</v>
      </c>
      <c r="R228" t="s">
        <v>36</v>
      </c>
      <c r="S228" t="s">
        <v>1028</v>
      </c>
      <c r="T228">
        <v>2120.5</v>
      </c>
      <c r="U228">
        <v>5</v>
      </c>
      <c r="V228">
        <v>0</v>
      </c>
      <c r="W228">
        <v>106</v>
      </c>
      <c r="X228">
        <v>377.70400000000001</v>
      </c>
      <c r="Y228" t="s">
        <v>53</v>
      </c>
      <c r="Z228">
        <f>Superstore_Sales[[#This Row],[Sales]]*Superstore_Sales[[#This Row],[Quantity]]</f>
        <v>10602.5</v>
      </c>
      <c r="AA228" s="3">
        <f>Superstore_Sales[[#This Row],[TotalSales]]*Superstore_Sales[[#This Row],[Discount]]/100</f>
        <v>0</v>
      </c>
      <c r="AB228" s="2">
        <f>Superstore_Sales[[#This Row],[TotalSales]]-Superstore_Sales[[#This Row],[Dis_amt]]-Superstore_Sales[[#This Row],[Shipping Cost]]</f>
        <v>10224.796</v>
      </c>
    </row>
    <row r="229" spans="1:28" x14ac:dyDescent="0.35">
      <c r="A229">
        <v>20610</v>
      </c>
      <c r="B229" t="s">
        <v>1345</v>
      </c>
      <c r="C229" s="1">
        <v>42111</v>
      </c>
      <c r="D229" s="1">
        <v>42111</v>
      </c>
      <c r="E229">
        <f>Superstore_Sales[[#This Row],[Ship Date]]-Superstore_Sales[[#This Row],[Order Date]]</f>
        <v>0</v>
      </c>
      <c r="F229" t="s">
        <v>73</v>
      </c>
      <c r="G229" t="s">
        <v>1346</v>
      </c>
      <c r="H229" t="s">
        <v>1347</v>
      </c>
      <c r="I229" t="s">
        <v>28</v>
      </c>
      <c r="K229" t="s">
        <v>1348</v>
      </c>
      <c r="L229" t="s">
        <v>1349</v>
      </c>
      <c r="M229" t="s">
        <v>144</v>
      </c>
      <c r="N229" t="s">
        <v>145</v>
      </c>
      <c r="O229" t="s">
        <v>48</v>
      </c>
      <c r="P229" t="s">
        <v>295</v>
      </c>
      <c r="Q229" t="s">
        <v>35</v>
      </c>
      <c r="R229" t="s">
        <v>36</v>
      </c>
      <c r="S229" t="s">
        <v>296</v>
      </c>
      <c r="T229">
        <v>1275</v>
      </c>
      <c r="U229">
        <v>2</v>
      </c>
      <c r="V229">
        <v>0</v>
      </c>
      <c r="W229">
        <v>140.22</v>
      </c>
      <c r="X229">
        <v>377.58</v>
      </c>
      <c r="Y229" t="s">
        <v>53</v>
      </c>
      <c r="Z229">
        <f>Superstore_Sales[[#This Row],[Sales]]*Superstore_Sales[[#This Row],[Quantity]]</f>
        <v>2550</v>
      </c>
      <c r="AA229" s="3">
        <f>Superstore_Sales[[#This Row],[TotalSales]]*Superstore_Sales[[#This Row],[Discount]]/100</f>
        <v>0</v>
      </c>
      <c r="AB229" s="2">
        <f>Superstore_Sales[[#This Row],[TotalSales]]-Superstore_Sales[[#This Row],[Dis_amt]]-Superstore_Sales[[#This Row],[Shipping Cost]]</f>
        <v>2172.42</v>
      </c>
    </row>
    <row r="230" spans="1:28" x14ac:dyDescent="0.35">
      <c r="A230">
        <v>19446</v>
      </c>
      <c r="B230" t="s">
        <v>1350</v>
      </c>
      <c r="C230" s="1">
        <v>41599</v>
      </c>
      <c r="D230" s="1">
        <v>41602</v>
      </c>
      <c r="E230">
        <f>Superstore_Sales[[#This Row],[Ship Date]]-Superstore_Sales[[#This Row],[Order Date]]</f>
        <v>3</v>
      </c>
      <c r="F230" t="s">
        <v>40</v>
      </c>
      <c r="G230" t="s">
        <v>1351</v>
      </c>
      <c r="H230" t="s">
        <v>1352</v>
      </c>
      <c r="I230" t="s">
        <v>28</v>
      </c>
      <c r="K230" t="s">
        <v>1353</v>
      </c>
      <c r="L230" t="s">
        <v>1212</v>
      </c>
      <c r="M230" t="s">
        <v>155</v>
      </c>
      <c r="N230" t="s">
        <v>68</v>
      </c>
      <c r="O230" t="s">
        <v>69</v>
      </c>
      <c r="P230" t="s">
        <v>1354</v>
      </c>
      <c r="Q230" t="s">
        <v>35</v>
      </c>
      <c r="R230" t="s">
        <v>275</v>
      </c>
      <c r="S230" t="s">
        <v>1355</v>
      </c>
      <c r="T230">
        <v>1593.65</v>
      </c>
      <c r="U230">
        <v>7</v>
      </c>
      <c r="V230">
        <v>0.15</v>
      </c>
      <c r="W230">
        <v>-225.16</v>
      </c>
      <c r="X230">
        <v>377.03</v>
      </c>
      <c r="Y230" t="s">
        <v>53</v>
      </c>
      <c r="Z230">
        <f>Superstore_Sales[[#This Row],[Sales]]*Superstore_Sales[[#This Row],[Quantity]]</f>
        <v>11155.550000000001</v>
      </c>
      <c r="AA230" s="3">
        <f>Superstore_Sales[[#This Row],[TotalSales]]*Superstore_Sales[[#This Row],[Discount]]/100</f>
        <v>16.733325000000001</v>
      </c>
      <c r="AB230" s="2">
        <f>Superstore_Sales[[#This Row],[TotalSales]]-Superstore_Sales[[#This Row],[Dis_amt]]-Superstore_Sales[[#This Row],[Shipping Cost]]</f>
        <v>10761.786675000001</v>
      </c>
    </row>
    <row r="231" spans="1:28" x14ac:dyDescent="0.35">
      <c r="A231">
        <v>11606</v>
      </c>
      <c r="B231" t="s">
        <v>1356</v>
      </c>
      <c r="C231" s="1">
        <v>42069</v>
      </c>
      <c r="D231" s="1">
        <v>42071</v>
      </c>
      <c r="E231">
        <f>Superstore_Sales[[#This Row],[Ship Date]]-Superstore_Sales[[#This Row],[Order Date]]</f>
        <v>2</v>
      </c>
      <c r="F231" t="s">
        <v>25</v>
      </c>
      <c r="G231" t="s">
        <v>1357</v>
      </c>
      <c r="H231" t="s">
        <v>1358</v>
      </c>
      <c r="I231" t="s">
        <v>43</v>
      </c>
      <c r="K231" t="s">
        <v>1359</v>
      </c>
      <c r="L231" t="s">
        <v>1360</v>
      </c>
      <c r="M231" t="s">
        <v>155</v>
      </c>
      <c r="N231" t="s">
        <v>68</v>
      </c>
      <c r="O231" t="s">
        <v>69</v>
      </c>
      <c r="P231" t="s">
        <v>1361</v>
      </c>
      <c r="Q231" t="s">
        <v>50</v>
      </c>
      <c r="R231" t="s">
        <v>336</v>
      </c>
      <c r="S231" t="s">
        <v>1362</v>
      </c>
      <c r="T231">
        <v>1114.24</v>
      </c>
      <c r="U231">
        <v>3</v>
      </c>
      <c r="V231">
        <v>0.1</v>
      </c>
      <c r="W231">
        <v>383.71</v>
      </c>
      <c r="X231">
        <v>376.88</v>
      </c>
      <c r="Y231" t="s">
        <v>53</v>
      </c>
      <c r="Z231">
        <f>Superstore_Sales[[#This Row],[Sales]]*Superstore_Sales[[#This Row],[Quantity]]</f>
        <v>3342.7200000000003</v>
      </c>
      <c r="AA231" s="3">
        <f>Superstore_Sales[[#This Row],[TotalSales]]*Superstore_Sales[[#This Row],[Discount]]/100</f>
        <v>3.3427200000000004</v>
      </c>
      <c r="AB231" s="2">
        <f>Superstore_Sales[[#This Row],[TotalSales]]-Superstore_Sales[[#This Row],[Dis_amt]]-Superstore_Sales[[#This Row],[Shipping Cost]]</f>
        <v>2962.49728</v>
      </c>
    </row>
    <row r="232" spans="1:28" x14ac:dyDescent="0.35">
      <c r="A232">
        <v>16161</v>
      </c>
      <c r="B232" t="s">
        <v>1363</v>
      </c>
      <c r="C232" s="1">
        <v>41478</v>
      </c>
      <c r="D232" s="1">
        <v>41483</v>
      </c>
      <c r="E232">
        <f>Superstore_Sales[[#This Row],[Ship Date]]-Superstore_Sales[[#This Row],[Order Date]]</f>
        <v>5</v>
      </c>
      <c r="F232" t="s">
        <v>98</v>
      </c>
      <c r="G232" t="s">
        <v>1364</v>
      </c>
      <c r="H232" t="s">
        <v>1365</v>
      </c>
      <c r="I232" t="s">
        <v>28</v>
      </c>
      <c r="K232" t="s">
        <v>66</v>
      </c>
      <c r="L232" t="s">
        <v>66</v>
      </c>
      <c r="M232" t="s">
        <v>67</v>
      </c>
      <c r="N232" t="s">
        <v>68</v>
      </c>
      <c r="O232" t="s">
        <v>69</v>
      </c>
      <c r="P232" t="s">
        <v>127</v>
      </c>
      <c r="Q232" t="s">
        <v>35</v>
      </c>
      <c r="R232" t="s">
        <v>36</v>
      </c>
      <c r="S232" t="s">
        <v>128</v>
      </c>
      <c r="T232">
        <v>2944.08</v>
      </c>
      <c r="U232">
        <v>5</v>
      </c>
      <c r="V232">
        <v>0.1</v>
      </c>
      <c r="W232">
        <v>1112.1300000000001</v>
      </c>
      <c r="X232">
        <v>376.58</v>
      </c>
      <c r="Y232" t="s">
        <v>38</v>
      </c>
      <c r="Z232">
        <f>Superstore_Sales[[#This Row],[Sales]]*Superstore_Sales[[#This Row],[Quantity]]</f>
        <v>14720.4</v>
      </c>
      <c r="AA232" s="3">
        <f>Superstore_Sales[[#This Row],[TotalSales]]*Superstore_Sales[[#This Row],[Discount]]/100</f>
        <v>14.7204</v>
      </c>
      <c r="AB232" s="2">
        <f>Superstore_Sales[[#This Row],[TotalSales]]-Superstore_Sales[[#This Row],[Dis_amt]]-Superstore_Sales[[#This Row],[Shipping Cost]]</f>
        <v>14329.0996</v>
      </c>
    </row>
    <row r="233" spans="1:28" x14ac:dyDescent="0.35">
      <c r="A233">
        <v>25761</v>
      </c>
      <c r="B233" t="s">
        <v>1366</v>
      </c>
      <c r="C233" s="1">
        <v>42315</v>
      </c>
      <c r="D233" s="1">
        <v>42317</v>
      </c>
      <c r="E233">
        <f>Superstore_Sales[[#This Row],[Ship Date]]-Superstore_Sales[[#This Row],[Order Date]]</f>
        <v>2</v>
      </c>
      <c r="F233" t="s">
        <v>25</v>
      </c>
      <c r="G233" t="s">
        <v>1367</v>
      </c>
      <c r="H233" t="s">
        <v>1368</v>
      </c>
      <c r="I233" t="s">
        <v>28</v>
      </c>
      <c r="K233" t="s">
        <v>1369</v>
      </c>
      <c r="L233" t="s">
        <v>1370</v>
      </c>
      <c r="M233" t="s">
        <v>321</v>
      </c>
      <c r="N233" t="s">
        <v>322</v>
      </c>
      <c r="O233" t="s">
        <v>48</v>
      </c>
      <c r="P233" t="s">
        <v>1371</v>
      </c>
      <c r="Q233" t="s">
        <v>147</v>
      </c>
      <c r="R233" t="s">
        <v>148</v>
      </c>
      <c r="S233" t="s">
        <v>1372</v>
      </c>
      <c r="T233">
        <v>3309.26</v>
      </c>
      <c r="U233">
        <v>7</v>
      </c>
      <c r="V233">
        <v>0.17</v>
      </c>
      <c r="W233">
        <v>318.86</v>
      </c>
      <c r="X233">
        <v>374.8</v>
      </c>
      <c r="Y233" t="s">
        <v>38</v>
      </c>
      <c r="Z233">
        <f>Superstore_Sales[[#This Row],[Sales]]*Superstore_Sales[[#This Row],[Quantity]]</f>
        <v>23164.82</v>
      </c>
      <c r="AA233" s="3">
        <f>Superstore_Sales[[#This Row],[TotalSales]]*Superstore_Sales[[#This Row],[Discount]]/100</f>
        <v>39.380194000000003</v>
      </c>
      <c r="AB233" s="2">
        <f>Superstore_Sales[[#This Row],[TotalSales]]-Superstore_Sales[[#This Row],[Dis_amt]]-Superstore_Sales[[#This Row],[Shipping Cost]]</f>
        <v>22750.639805999999</v>
      </c>
    </row>
    <row r="234" spans="1:28" x14ac:dyDescent="0.35">
      <c r="A234">
        <v>6594</v>
      </c>
      <c r="B234" t="s">
        <v>1373</v>
      </c>
      <c r="C234" s="1">
        <v>42330</v>
      </c>
      <c r="D234" s="1">
        <v>42332</v>
      </c>
      <c r="E234">
        <f>Superstore_Sales[[#This Row],[Ship Date]]-Superstore_Sales[[#This Row],[Order Date]]</f>
        <v>2</v>
      </c>
      <c r="F234" t="s">
        <v>25</v>
      </c>
      <c r="G234" t="s">
        <v>1374</v>
      </c>
      <c r="H234" t="s">
        <v>1375</v>
      </c>
      <c r="I234" t="s">
        <v>28</v>
      </c>
      <c r="K234" t="s">
        <v>1376</v>
      </c>
      <c r="L234" t="s">
        <v>831</v>
      </c>
      <c r="M234" t="s">
        <v>134</v>
      </c>
      <c r="N234" t="s">
        <v>135</v>
      </c>
      <c r="O234" t="s">
        <v>136</v>
      </c>
      <c r="P234" t="s">
        <v>1377</v>
      </c>
      <c r="Q234" t="s">
        <v>50</v>
      </c>
      <c r="R234" t="s">
        <v>51</v>
      </c>
      <c r="S234" t="s">
        <v>1378</v>
      </c>
      <c r="T234">
        <v>897.48</v>
      </c>
      <c r="U234">
        <v>9</v>
      </c>
      <c r="V234">
        <v>0</v>
      </c>
      <c r="W234">
        <v>322.92</v>
      </c>
      <c r="X234">
        <v>374.37599999999998</v>
      </c>
      <c r="Y234" t="s">
        <v>53</v>
      </c>
      <c r="Z234">
        <f>Superstore_Sales[[#This Row],[Sales]]*Superstore_Sales[[#This Row],[Quantity]]</f>
        <v>8077.32</v>
      </c>
      <c r="AA234" s="3">
        <f>Superstore_Sales[[#This Row],[TotalSales]]*Superstore_Sales[[#This Row],[Discount]]/100</f>
        <v>0</v>
      </c>
      <c r="AB234" s="2">
        <f>Superstore_Sales[[#This Row],[TotalSales]]-Superstore_Sales[[#This Row],[Dis_amt]]-Superstore_Sales[[#This Row],[Shipping Cost]]</f>
        <v>7702.9439999999995</v>
      </c>
    </row>
    <row r="235" spans="1:28" x14ac:dyDescent="0.35">
      <c r="A235">
        <v>17380</v>
      </c>
      <c r="B235" t="s">
        <v>1379</v>
      </c>
      <c r="C235" s="1">
        <v>41070</v>
      </c>
      <c r="D235" s="1">
        <v>41073</v>
      </c>
      <c r="E235">
        <f>Superstore_Sales[[#This Row],[Ship Date]]-Superstore_Sales[[#This Row],[Order Date]]</f>
        <v>3</v>
      </c>
      <c r="F235" t="s">
        <v>25</v>
      </c>
      <c r="G235" t="s">
        <v>1380</v>
      </c>
      <c r="H235" t="s">
        <v>1381</v>
      </c>
      <c r="I235" t="s">
        <v>28</v>
      </c>
      <c r="K235" t="s">
        <v>1382</v>
      </c>
      <c r="L235" t="s">
        <v>1382</v>
      </c>
      <c r="M235" t="s">
        <v>621</v>
      </c>
      <c r="N235" t="s">
        <v>68</v>
      </c>
      <c r="O235" t="s">
        <v>69</v>
      </c>
      <c r="P235" t="s">
        <v>1383</v>
      </c>
      <c r="Q235" t="s">
        <v>50</v>
      </c>
      <c r="R235" t="s">
        <v>336</v>
      </c>
      <c r="S235" t="s">
        <v>1384</v>
      </c>
      <c r="T235">
        <v>2056.0500000000002</v>
      </c>
      <c r="U235">
        <v>5</v>
      </c>
      <c r="V235">
        <v>0</v>
      </c>
      <c r="W235">
        <v>390.6</v>
      </c>
      <c r="X235">
        <v>372.5</v>
      </c>
      <c r="Y235" t="s">
        <v>38</v>
      </c>
      <c r="Z235">
        <f>Superstore_Sales[[#This Row],[Sales]]*Superstore_Sales[[#This Row],[Quantity]]</f>
        <v>10280.25</v>
      </c>
      <c r="AA235" s="3">
        <f>Superstore_Sales[[#This Row],[TotalSales]]*Superstore_Sales[[#This Row],[Discount]]/100</f>
        <v>0</v>
      </c>
      <c r="AB235" s="2">
        <f>Superstore_Sales[[#This Row],[TotalSales]]-Superstore_Sales[[#This Row],[Dis_amt]]-Superstore_Sales[[#This Row],[Shipping Cost]]</f>
        <v>9907.75</v>
      </c>
    </row>
    <row r="236" spans="1:28" x14ac:dyDescent="0.35">
      <c r="A236">
        <v>3503</v>
      </c>
      <c r="B236" t="s">
        <v>1385</v>
      </c>
      <c r="C236" s="1">
        <v>41531</v>
      </c>
      <c r="D236" s="1">
        <v>41536</v>
      </c>
      <c r="E236">
        <f>Superstore_Sales[[#This Row],[Ship Date]]-Superstore_Sales[[#This Row],[Order Date]]</f>
        <v>5</v>
      </c>
      <c r="F236" t="s">
        <v>98</v>
      </c>
      <c r="G236" t="s">
        <v>1386</v>
      </c>
      <c r="H236" t="s">
        <v>1387</v>
      </c>
      <c r="I236" t="s">
        <v>43</v>
      </c>
      <c r="K236" t="s">
        <v>1388</v>
      </c>
      <c r="L236" t="s">
        <v>1389</v>
      </c>
      <c r="M236" t="s">
        <v>219</v>
      </c>
      <c r="N236" t="s">
        <v>220</v>
      </c>
      <c r="O236" t="s">
        <v>136</v>
      </c>
      <c r="P236" t="s">
        <v>535</v>
      </c>
      <c r="Q236" t="s">
        <v>35</v>
      </c>
      <c r="R236" t="s">
        <v>81</v>
      </c>
      <c r="S236" t="s">
        <v>536</v>
      </c>
      <c r="T236">
        <v>2365.66</v>
      </c>
      <c r="U236">
        <v>10</v>
      </c>
      <c r="V236">
        <v>2E-3</v>
      </c>
      <c r="W236">
        <v>18.86</v>
      </c>
      <c r="X236">
        <v>372.31799999999998</v>
      </c>
      <c r="Y236" t="s">
        <v>38</v>
      </c>
      <c r="Z236">
        <f>Superstore_Sales[[#This Row],[Sales]]*Superstore_Sales[[#This Row],[Quantity]]</f>
        <v>23656.6</v>
      </c>
      <c r="AA236" s="3">
        <f>Superstore_Sales[[#This Row],[TotalSales]]*Superstore_Sales[[#This Row],[Discount]]/100</f>
        <v>0.47313199999999994</v>
      </c>
      <c r="AB236" s="2">
        <f>Superstore_Sales[[#This Row],[TotalSales]]-Superstore_Sales[[#This Row],[Dis_amt]]-Superstore_Sales[[#This Row],[Shipping Cost]]</f>
        <v>23283.808868</v>
      </c>
    </row>
    <row r="237" spans="1:28" x14ac:dyDescent="0.35">
      <c r="A237">
        <v>23537</v>
      </c>
      <c r="B237" t="s">
        <v>1390</v>
      </c>
      <c r="C237" s="1">
        <v>41237</v>
      </c>
      <c r="D237" s="1">
        <v>41237</v>
      </c>
      <c r="E237">
        <f>Superstore_Sales[[#This Row],[Ship Date]]-Superstore_Sales[[#This Row],[Order Date]]</f>
        <v>0</v>
      </c>
      <c r="F237" t="s">
        <v>73</v>
      </c>
      <c r="G237" t="s">
        <v>1391</v>
      </c>
      <c r="H237" t="s">
        <v>1392</v>
      </c>
      <c r="I237" t="s">
        <v>28</v>
      </c>
      <c r="K237" t="s">
        <v>1393</v>
      </c>
      <c r="L237" t="s">
        <v>1084</v>
      </c>
      <c r="M237" t="s">
        <v>46</v>
      </c>
      <c r="N237" t="s">
        <v>47</v>
      </c>
      <c r="O237" t="s">
        <v>48</v>
      </c>
      <c r="P237" t="s">
        <v>1394</v>
      </c>
      <c r="Q237" t="s">
        <v>35</v>
      </c>
      <c r="R237" t="s">
        <v>81</v>
      </c>
      <c r="S237" t="s">
        <v>1395</v>
      </c>
      <c r="T237">
        <v>1336.36</v>
      </c>
      <c r="U237">
        <v>7</v>
      </c>
      <c r="V237">
        <v>0.4</v>
      </c>
      <c r="W237">
        <v>44.44</v>
      </c>
      <c r="X237">
        <v>371.74</v>
      </c>
      <c r="Y237" t="s">
        <v>53</v>
      </c>
      <c r="Z237">
        <f>Superstore_Sales[[#This Row],[Sales]]*Superstore_Sales[[#This Row],[Quantity]]</f>
        <v>9354.5199999999986</v>
      </c>
      <c r="AA237" s="3">
        <f>Superstore_Sales[[#This Row],[TotalSales]]*Superstore_Sales[[#This Row],[Discount]]/100</f>
        <v>37.418079999999996</v>
      </c>
      <c r="AB237" s="2">
        <f>Superstore_Sales[[#This Row],[TotalSales]]-Superstore_Sales[[#This Row],[Dis_amt]]-Superstore_Sales[[#This Row],[Shipping Cost]]</f>
        <v>8945.3619199999994</v>
      </c>
    </row>
    <row r="238" spans="1:28" x14ac:dyDescent="0.35">
      <c r="A238">
        <v>26037</v>
      </c>
      <c r="B238" t="s">
        <v>1396</v>
      </c>
      <c r="C238" s="1">
        <v>41496</v>
      </c>
      <c r="D238" s="1">
        <v>41498</v>
      </c>
      <c r="E238">
        <f>Superstore_Sales[[#This Row],[Ship Date]]-Superstore_Sales[[#This Row],[Order Date]]</f>
        <v>2</v>
      </c>
      <c r="F238" t="s">
        <v>25</v>
      </c>
      <c r="G238" t="s">
        <v>1397</v>
      </c>
      <c r="H238" t="s">
        <v>1398</v>
      </c>
      <c r="I238" t="s">
        <v>28</v>
      </c>
      <c r="K238" t="s">
        <v>1399</v>
      </c>
      <c r="L238" t="s">
        <v>1400</v>
      </c>
      <c r="M238" t="s">
        <v>1155</v>
      </c>
      <c r="N238" t="s">
        <v>145</v>
      </c>
      <c r="O238" t="s">
        <v>48</v>
      </c>
      <c r="P238" t="s">
        <v>1401</v>
      </c>
      <c r="Q238" t="s">
        <v>35</v>
      </c>
      <c r="R238" t="s">
        <v>81</v>
      </c>
      <c r="S238" t="s">
        <v>1402</v>
      </c>
      <c r="T238">
        <v>3038.64</v>
      </c>
      <c r="U238">
        <v>8</v>
      </c>
      <c r="V238">
        <v>0</v>
      </c>
      <c r="W238">
        <v>1245.8399999999999</v>
      </c>
      <c r="X238">
        <v>371.51</v>
      </c>
      <c r="Y238" t="s">
        <v>38</v>
      </c>
      <c r="Z238">
        <f>Superstore_Sales[[#This Row],[Sales]]*Superstore_Sales[[#This Row],[Quantity]]</f>
        <v>24309.119999999999</v>
      </c>
      <c r="AA238" s="3">
        <f>Superstore_Sales[[#This Row],[TotalSales]]*Superstore_Sales[[#This Row],[Discount]]/100</f>
        <v>0</v>
      </c>
      <c r="AB238" s="2">
        <f>Superstore_Sales[[#This Row],[TotalSales]]-Superstore_Sales[[#This Row],[Dis_amt]]-Superstore_Sales[[#This Row],[Shipping Cost]]</f>
        <v>23937.61</v>
      </c>
    </row>
    <row r="239" spans="1:28" x14ac:dyDescent="0.35">
      <c r="A239">
        <v>20266</v>
      </c>
      <c r="B239" t="s">
        <v>1403</v>
      </c>
      <c r="C239" s="1">
        <v>41718</v>
      </c>
      <c r="D239" s="1">
        <v>41721</v>
      </c>
      <c r="E239">
        <f>Superstore_Sales[[#This Row],[Ship Date]]-Superstore_Sales[[#This Row],[Order Date]]</f>
        <v>3</v>
      </c>
      <c r="F239" t="s">
        <v>40</v>
      </c>
      <c r="G239" t="s">
        <v>1404</v>
      </c>
      <c r="H239" t="s">
        <v>1405</v>
      </c>
      <c r="I239" t="s">
        <v>28</v>
      </c>
      <c r="K239" t="s">
        <v>1406</v>
      </c>
      <c r="L239" t="s">
        <v>310</v>
      </c>
      <c r="M239" t="s">
        <v>210</v>
      </c>
      <c r="N239" t="s">
        <v>211</v>
      </c>
      <c r="O239" t="s">
        <v>69</v>
      </c>
      <c r="P239" t="s">
        <v>1407</v>
      </c>
      <c r="Q239" t="s">
        <v>147</v>
      </c>
      <c r="R239" t="s">
        <v>148</v>
      </c>
      <c r="S239" t="s">
        <v>1408</v>
      </c>
      <c r="T239">
        <v>2698.65</v>
      </c>
      <c r="U239">
        <v>9</v>
      </c>
      <c r="V239">
        <v>0</v>
      </c>
      <c r="W239">
        <v>890.46</v>
      </c>
      <c r="X239">
        <v>369.98</v>
      </c>
      <c r="Y239" t="s">
        <v>38</v>
      </c>
      <c r="Z239">
        <f>Superstore_Sales[[#This Row],[Sales]]*Superstore_Sales[[#This Row],[Quantity]]</f>
        <v>24287.850000000002</v>
      </c>
      <c r="AA239" s="3">
        <f>Superstore_Sales[[#This Row],[TotalSales]]*Superstore_Sales[[#This Row],[Discount]]/100</f>
        <v>0</v>
      </c>
      <c r="AB239" s="2">
        <f>Superstore_Sales[[#This Row],[TotalSales]]-Superstore_Sales[[#This Row],[Dis_amt]]-Superstore_Sales[[#This Row],[Shipping Cost]]</f>
        <v>23917.870000000003</v>
      </c>
    </row>
    <row r="240" spans="1:28" x14ac:dyDescent="0.35">
      <c r="A240">
        <v>42956</v>
      </c>
      <c r="B240" t="s">
        <v>1409</v>
      </c>
      <c r="C240" s="1">
        <v>42003</v>
      </c>
      <c r="D240" s="1">
        <v>42008</v>
      </c>
      <c r="E240">
        <f>Superstore_Sales[[#This Row],[Ship Date]]-Superstore_Sales[[#This Row],[Order Date]]</f>
        <v>5</v>
      </c>
      <c r="F240" t="s">
        <v>98</v>
      </c>
      <c r="G240" t="s">
        <v>1410</v>
      </c>
      <c r="H240" t="s">
        <v>1411</v>
      </c>
      <c r="I240" t="s">
        <v>43</v>
      </c>
      <c r="K240" t="s">
        <v>1302</v>
      </c>
      <c r="L240" t="s">
        <v>1302</v>
      </c>
      <c r="M240" t="s">
        <v>1303</v>
      </c>
      <c r="N240" t="s">
        <v>1100</v>
      </c>
      <c r="O240" t="s">
        <v>79</v>
      </c>
      <c r="P240" t="s">
        <v>1412</v>
      </c>
      <c r="Q240" t="s">
        <v>35</v>
      </c>
      <c r="R240" t="s">
        <v>81</v>
      </c>
      <c r="S240" t="s">
        <v>1413</v>
      </c>
      <c r="T240">
        <v>3799.08</v>
      </c>
      <c r="U240">
        <v>12</v>
      </c>
      <c r="V240">
        <v>0</v>
      </c>
      <c r="W240">
        <v>455.76</v>
      </c>
      <c r="X240">
        <v>369.73</v>
      </c>
      <c r="Y240" t="s">
        <v>61</v>
      </c>
      <c r="Z240">
        <f>Superstore_Sales[[#This Row],[Sales]]*Superstore_Sales[[#This Row],[Quantity]]</f>
        <v>45588.959999999999</v>
      </c>
      <c r="AA240" s="3">
        <f>Superstore_Sales[[#This Row],[TotalSales]]*Superstore_Sales[[#This Row],[Discount]]/100</f>
        <v>0</v>
      </c>
      <c r="AB240" s="2">
        <f>Superstore_Sales[[#This Row],[TotalSales]]-Superstore_Sales[[#This Row],[Dis_amt]]-Superstore_Sales[[#This Row],[Shipping Cost]]</f>
        <v>45219.229999999996</v>
      </c>
    </row>
    <row r="241" spans="1:28" x14ac:dyDescent="0.35">
      <c r="A241">
        <v>21995</v>
      </c>
      <c r="B241" t="s">
        <v>1414</v>
      </c>
      <c r="C241" s="1">
        <v>41551</v>
      </c>
      <c r="D241" s="1">
        <v>41556</v>
      </c>
      <c r="E241">
        <f>Superstore_Sales[[#This Row],[Ship Date]]-Superstore_Sales[[#This Row],[Order Date]]</f>
        <v>5</v>
      </c>
      <c r="F241" t="s">
        <v>98</v>
      </c>
      <c r="G241" t="s">
        <v>1415</v>
      </c>
      <c r="H241" t="s">
        <v>1416</v>
      </c>
      <c r="I241" t="s">
        <v>28</v>
      </c>
      <c r="K241" t="s">
        <v>1417</v>
      </c>
      <c r="L241" t="s">
        <v>1418</v>
      </c>
      <c r="M241" t="s">
        <v>258</v>
      </c>
      <c r="N241" t="s">
        <v>118</v>
      </c>
      <c r="O241" t="s">
        <v>48</v>
      </c>
      <c r="P241" t="s">
        <v>1419</v>
      </c>
      <c r="Q241" t="s">
        <v>50</v>
      </c>
      <c r="R241" t="s">
        <v>51</v>
      </c>
      <c r="S241" t="s">
        <v>1420</v>
      </c>
      <c r="T241">
        <v>2756.34</v>
      </c>
      <c r="U241">
        <v>6</v>
      </c>
      <c r="V241">
        <v>0</v>
      </c>
      <c r="W241">
        <v>413.28</v>
      </c>
      <c r="X241">
        <v>369.4</v>
      </c>
      <c r="Y241" t="s">
        <v>38</v>
      </c>
      <c r="Z241">
        <f>Superstore_Sales[[#This Row],[Sales]]*Superstore_Sales[[#This Row],[Quantity]]</f>
        <v>16538.04</v>
      </c>
      <c r="AA241" s="3">
        <f>Superstore_Sales[[#This Row],[TotalSales]]*Superstore_Sales[[#This Row],[Discount]]/100</f>
        <v>0</v>
      </c>
      <c r="AB241" s="2">
        <f>Superstore_Sales[[#This Row],[TotalSales]]-Superstore_Sales[[#This Row],[Dis_amt]]-Superstore_Sales[[#This Row],[Shipping Cost]]</f>
        <v>16168.640000000001</v>
      </c>
    </row>
    <row r="242" spans="1:28" x14ac:dyDescent="0.35">
      <c r="A242">
        <v>15570</v>
      </c>
      <c r="B242" t="s">
        <v>1421</v>
      </c>
      <c r="C242" s="1">
        <v>41492</v>
      </c>
      <c r="D242" s="1">
        <v>41493</v>
      </c>
      <c r="E242">
        <f>Superstore_Sales[[#This Row],[Ship Date]]-Superstore_Sales[[#This Row],[Order Date]]</f>
        <v>1</v>
      </c>
      <c r="F242" t="s">
        <v>25</v>
      </c>
      <c r="G242" t="s">
        <v>1422</v>
      </c>
      <c r="H242" t="s">
        <v>1423</v>
      </c>
      <c r="I242" t="s">
        <v>65</v>
      </c>
      <c r="K242" t="s">
        <v>1424</v>
      </c>
      <c r="L242" t="s">
        <v>1425</v>
      </c>
      <c r="M242" t="s">
        <v>463</v>
      </c>
      <c r="N242" t="s">
        <v>171</v>
      </c>
      <c r="O242" t="s">
        <v>69</v>
      </c>
      <c r="P242" t="s">
        <v>1426</v>
      </c>
      <c r="Q242" t="s">
        <v>35</v>
      </c>
      <c r="R242" t="s">
        <v>36</v>
      </c>
      <c r="S242" t="s">
        <v>1427</v>
      </c>
      <c r="T242">
        <v>983.88</v>
      </c>
      <c r="U242">
        <v>8</v>
      </c>
      <c r="V242">
        <v>0.1</v>
      </c>
      <c r="W242">
        <v>-11.16</v>
      </c>
      <c r="X242">
        <v>369.17</v>
      </c>
      <c r="Y242" t="s">
        <v>53</v>
      </c>
      <c r="Z242">
        <f>Superstore_Sales[[#This Row],[Sales]]*Superstore_Sales[[#This Row],[Quantity]]</f>
        <v>7871.04</v>
      </c>
      <c r="AA242" s="3">
        <f>Superstore_Sales[[#This Row],[TotalSales]]*Superstore_Sales[[#This Row],[Discount]]/100</f>
        <v>7.8710400000000007</v>
      </c>
      <c r="AB242" s="2">
        <f>Superstore_Sales[[#This Row],[TotalSales]]-Superstore_Sales[[#This Row],[Dis_amt]]-Superstore_Sales[[#This Row],[Shipping Cost]]</f>
        <v>7493.9989599999999</v>
      </c>
    </row>
    <row r="243" spans="1:28" x14ac:dyDescent="0.35">
      <c r="A243">
        <v>25831</v>
      </c>
      <c r="B243" t="s">
        <v>1428</v>
      </c>
      <c r="C243" s="1">
        <v>41549</v>
      </c>
      <c r="D243" s="1">
        <v>41549</v>
      </c>
      <c r="E243">
        <f>Superstore_Sales[[#This Row],[Ship Date]]-Superstore_Sales[[#This Row],[Order Date]]</f>
        <v>0</v>
      </c>
      <c r="F243" t="s">
        <v>73</v>
      </c>
      <c r="G243" t="s">
        <v>1429</v>
      </c>
      <c r="H243" t="s">
        <v>1430</v>
      </c>
      <c r="I243" t="s">
        <v>65</v>
      </c>
      <c r="K243" t="s">
        <v>1431</v>
      </c>
      <c r="L243" t="s">
        <v>1432</v>
      </c>
      <c r="M243" t="s">
        <v>1433</v>
      </c>
      <c r="N243" t="s">
        <v>322</v>
      </c>
      <c r="O243" t="s">
        <v>48</v>
      </c>
      <c r="P243" t="s">
        <v>137</v>
      </c>
      <c r="Q243" t="s">
        <v>50</v>
      </c>
      <c r="R243" t="s">
        <v>51</v>
      </c>
      <c r="S243" t="s">
        <v>138</v>
      </c>
      <c r="T243">
        <v>1719.81</v>
      </c>
      <c r="U243">
        <v>5</v>
      </c>
      <c r="V243">
        <v>0.27</v>
      </c>
      <c r="W243">
        <v>117.66</v>
      </c>
      <c r="X243">
        <v>368.44</v>
      </c>
      <c r="Y243" t="s">
        <v>38</v>
      </c>
      <c r="Z243">
        <f>Superstore_Sales[[#This Row],[Sales]]*Superstore_Sales[[#This Row],[Quantity]]</f>
        <v>8599.0499999999993</v>
      </c>
      <c r="AA243" s="3">
        <f>Superstore_Sales[[#This Row],[TotalSales]]*Superstore_Sales[[#This Row],[Discount]]/100</f>
        <v>23.217435000000002</v>
      </c>
      <c r="AB243" s="2">
        <f>Superstore_Sales[[#This Row],[TotalSales]]-Superstore_Sales[[#This Row],[Dis_amt]]-Superstore_Sales[[#This Row],[Shipping Cost]]</f>
        <v>8207.3925649999983</v>
      </c>
    </row>
    <row r="244" spans="1:28" x14ac:dyDescent="0.35">
      <c r="A244">
        <v>29383</v>
      </c>
      <c r="B244" t="s">
        <v>1434</v>
      </c>
      <c r="C244" s="1">
        <v>42089</v>
      </c>
      <c r="D244" s="1">
        <v>42092</v>
      </c>
      <c r="E244">
        <f>Superstore_Sales[[#This Row],[Ship Date]]-Superstore_Sales[[#This Row],[Order Date]]</f>
        <v>3</v>
      </c>
      <c r="F244" t="s">
        <v>25</v>
      </c>
      <c r="G244" t="s">
        <v>1435</v>
      </c>
      <c r="H244" t="s">
        <v>363</v>
      </c>
      <c r="I244" t="s">
        <v>28</v>
      </c>
      <c r="K244" t="s">
        <v>943</v>
      </c>
      <c r="L244" t="s">
        <v>943</v>
      </c>
      <c r="M244" t="s">
        <v>321</v>
      </c>
      <c r="N244" t="s">
        <v>322</v>
      </c>
      <c r="O244" t="s">
        <v>48</v>
      </c>
      <c r="P244" t="s">
        <v>1066</v>
      </c>
      <c r="Q244" t="s">
        <v>147</v>
      </c>
      <c r="R244" t="s">
        <v>148</v>
      </c>
      <c r="S244" t="s">
        <v>1067</v>
      </c>
      <c r="T244">
        <v>1421.54</v>
      </c>
      <c r="U244">
        <v>3</v>
      </c>
      <c r="V244">
        <v>0.17</v>
      </c>
      <c r="W244">
        <v>428.12</v>
      </c>
      <c r="X244">
        <v>367.57</v>
      </c>
      <c r="Y244" t="s">
        <v>53</v>
      </c>
      <c r="Z244">
        <f>Superstore_Sales[[#This Row],[Sales]]*Superstore_Sales[[#This Row],[Quantity]]</f>
        <v>4264.62</v>
      </c>
      <c r="AA244" s="3">
        <f>Superstore_Sales[[#This Row],[TotalSales]]*Superstore_Sales[[#This Row],[Discount]]/100</f>
        <v>7.249854</v>
      </c>
      <c r="AB244" s="2">
        <f>Superstore_Sales[[#This Row],[TotalSales]]-Superstore_Sales[[#This Row],[Dis_amt]]-Superstore_Sales[[#This Row],[Shipping Cost]]</f>
        <v>3889.800146</v>
      </c>
    </row>
    <row r="245" spans="1:28" x14ac:dyDescent="0.35">
      <c r="A245">
        <v>879</v>
      </c>
      <c r="B245" t="s">
        <v>1436</v>
      </c>
      <c r="C245" s="1">
        <v>42329</v>
      </c>
      <c r="D245" s="1">
        <v>42329</v>
      </c>
      <c r="E245">
        <f>Superstore_Sales[[#This Row],[Ship Date]]-Superstore_Sales[[#This Row],[Order Date]]</f>
        <v>0</v>
      </c>
      <c r="F245" t="s">
        <v>73</v>
      </c>
      <c r="G245" t="s">
        <v>1437</v>
      </c>
      <c r="H245" t="s">
        <v>1438</v>
      </c>
      <c r="I245" t="s">
        <v>28</v>
      </c>
      <c r="K245" t="s">
        <v>1439</v>
      </c>
      <c r="L245" t="s">
        <v>1439</v>
      </c>
      <c r="M245" t="s">
        <v>1440</v>
      </c>
      <c r="N245" t="s">
        <v>266</v>
      </c>
      <c r="O245" t="s">
        <v>136</v>
      </c>
      <c r="P245" t="s">
        <v>178</v>
      </c>
      <c r="Q245" t="s">
        <v>35</v>
      </c>
      <c r="R245" t="s">
        <v>81</v>
      </c>
      <c r="S245" t="s">
        <v>179</v>
      </c>
      <c r="T245">
        <v>1053.69</v>
      </c>
      <c r="U245">
        <v>5</v>
      </c>
      <c r="V245">
        <v>2E-3</v>
      </c>
      <c r="W245">
        <v>441.29</v>
      </c>
      <c r="X245">
        <v>367.54899999999998</v>
      </c>
      <c r="Y245" t="s">
        <v>38</v>
      </c>
      <c r="Z245">
        <f>Superstore_Sales[[#This Row],[Sales]]*Superstore_Sales[[#This Row],[Quantity]]</f>
        <v>5268.4500000000007</v>
      </c>
      <c r="AA245" s="3">
        <f>Superstore_Sales[[#This Row],[TotalSales]]*Superstore_Sales[[#This Row],[Discount]]/100</f>
        <v>0.105369</v>
      </c>
      <c r="AB245" s="2">
        <f>Superstore_Sales[[#This Row],[TotalSales]]-Superstore_Sales[[#This Row],[Dis_amt]]-Superstore_Sales[[#This Row],[Shipping Cost]]</f>
        <v>4900.7956310000009</v>
      </c>
    </row>
    <row r="246" spans="1:28" x14ac:dyDescent="0.35">
      <c r="A246">
        <v>16997</v>
      </c>
      <c r="B246" t="s">
        <v>1441</v>
      </c>
      <c r="C246" s="1">
        <v>41242</v>
      </c>
      <c r="D246" s="1">
        <v>41243</v>
      </c>
      <c r="E246">
        <f>Superstore_Sales[[#This Row],[Ship Date]]-Superstore_Sales[[#This Row],[Order Date]]</f>
        <v>1</v>
      </c>
      <c r="F246" t="s">
        <v>25</v>
      </c>
      <c r="G246" t="s">
        <v>1442</v>
      </c>
      <c r="H246" t="s">
        <v>1443</v>
      </c>
      <c r="I246" t="s">
        <v>28</v>
      </c>
      <c r="K246" t="s">
        <v>872</v>
      </c>
      <c r="L246" t="s">
        <v>873</v>
      </c>
      <c r="M246" t="s">
        <v>690</v>
      </c>
      <c r="N246" t="s">
        <v>68</v>
      </c>
      <c r="O246" t="s">
        <v>69</v>
      </c>
      <c r="P246" t="s">
        <v>1444</v>
      </c>
      <c r="Q246" t="s">
        <v>35</v>
      </c>
      <c r="R246" t="s">
        <v>81</v>
      </c>
      <c r="S246" t="s">
        <v>1445</v>
      </c>
      <c r="T246">
        <v>1440.84</v>
      </c>
      <c r="U246">
        <v>8</v>
      </c>
      <c r="V246">
        <v>0.5</v>
      </c>
      <c r="W246">
        <v>-1268.04</v>
      </c>
      <c r="X246">
        <v>367.35</v>
      </c>
      <c r="Y246" t="s">
        <v>53</v>
      </c>
      <c r="Z246">
        <f>Superstore_Sales[[#This Row],[Sales]]*Superstore_Sales[[#This Row],[Quantity]]</f>
        <v>11526.72</v>
      </c>
      <c r="AA246" s="3">
        <f>Superstore_Sales[[#This Row],[TotalSales]]*Superstore_Sales[[#This Row],[Discount]]/100</f>
        <v>57.633599999999994</v>
      </c>
      <c r="AB246" s="2">
        <f>Superstore_Sales[[#This Row],[TotalSales]]-Superstore_Sales[[#This Row],[Dis_amt]]-Superstore_Sales[[#This Row],[Shipping Cost]]</f>
        <v>11101.7364</v>
      </c>
    </row>
    <row r="247" spans="1:28" x14ac:dyDescent="0.35">
      <c r="A247">
        <v>47029</v>
      </c>
      <c r="B247" t="s">
        <v>1446</v>
      </c>
      <c r="C247" s="1">
        <v>41614</v>
      </c>
      <c r="D247" s="1">
        <v>41614</v>
      </c>
      <c r="E247">
        <f>Superstore_Sales[[#This Row],[Ship Date]]-Superstore_Sales[[#This Row],[Order Date]]</f>
        <v>0</v>
      </c>
      <c r="F247" t="s">
        <v>73</v>
      </c>
      <c r="G247" t="s">
        <v>1447</v>
      </c>
      <c r="H247" t="s">
        <v>1448</v>
      </c>
      <c r="I247" t="s">
        <v>28</v>
      </c>
      <c r="K247" t="s">
        <v>1449</v>
      </c>
      <c r="L247" t="s">
        <v>1450</v>
      </c>
      <c r="M247" t="s">
        <v>1451</v>
      </c>
      <c r="N247" t="s">
        <v>195</v>
      </c>
      <c r="O247" t="s">
        <v>69</v>
      </c>
      <c r="P247" t="s">
        <v>1452</v>
      </c>
      <c r="Q247" t="s">
        <v>35</v>
      </c>
      <c r="R247" t="s">
        <v>81</v>
      </c>
      <c r="S247" t="s">
        <v>1453</v>
      </c>
      <c r="T247">
        <v>1554.48</v>
      </c>
      <c r="U247">
        <v>8</v>
      </c>
      <c r="V247">
        <v>0</v>
      </c>
      <c r="W247">
        <v>341.76</v>
      </c>
      <c r="X247">
        <v>366.58</v>
      </c>
      <c r="Y247" t="s">
        <v>38</v>
      </c>
      <c r="Z247">
        <f>Superstore_Sales[[#This Row],[Sales]]*Superstore_Sales[[#This Row],[Quantity]]</f>
        <v>12435.84</v>
      </c>
      <c r="AA247" s="3">
        <f>Superstore_Sales[[#This Row],[TotalSales]]*Superstore_Sales[[#This Row],[Discount]]/100</f>
        <v>0</v>
      </c>
      <c r="AB247" s="2">
        <f>Superstore_Sales[[#This Row],[TotalSales]]-Superstore_Sales[[#This Row],[Dis_amt]]-Superstore_Sales[[#This Row],[Shipping Cost]]</f>
        <v>12069.26</v>
      </c>
    </row>
    <row r="248" spans="1:28" x14ac:dyDescent="0.35">
      <c r="A248">
        <v>8378</v>
      </c>
      <c r="B248" t="s">
        <v>1454</v>
      </c>
      <c r="C248" s="1">
        <v>41976</v>
      </c>
      <c r="D248" s="1">
        <v>41977</v>
      </c>
      <c r="E248">
        <f>Superstore_Sales[[#This Row],[Ship Date]]-Superstore_Sales[[#This Row],[Order Date]]</f>
        <v>1</v>
      </c>
      <c r="F248" t="s">
        <v>25</v>
      </c>
      <c r="G248" t="s">
        <v>1455</v>
      </c>
      <c r="H248" t="s">
        <v>1456</v>
      </c>
      <c r="I248" t="s">
        <v>28</v>
      </c>
      <c r="K248" t="s">
        <v>1457</v>
      </c>
      <c r="L248" t="s">
        <v>1389</v>
      </c>
      <c r="M248" t="s">
        <v>219</v>
      </c>
      <c r="N248" t="s">
        <v>220</v>
      </c>
      <c r="O248" t="s">
        <v>136</v>
      </c>
      <c r="P248" t="s">
        <v>438</v>
      </c>
      <c r="Q248" t="s">
        <v>35</v>
      </c>
      <c r="R248" t="s">
        <v>36</v>
      </c>
      <c r="S248" t="s">
        <v>439</v>
      </c>
      <c r="T248">
        <v>1278</v>
      </c>
      <c r="U248">
        <v>3</v>
      </c>
      <c r="V248">
        <v>0</v>
      </c>
      <c r="W248">
        <v>89.46</v>
      </c>
      <c r="X248">
        <v>365.90199999999999</v>
      </c>
      <c r="Y248" t="s">
        <v>38</v>
      </c>
      <c r="Z248">
        <f>Superstore_Sales[[#This Row],[Sales]]*Superstore_Sales[[#This Row],[Quantity]]</f>
        <v>3834</v>
      </c>
      <c r="AA248" s="3">
        <f>Superstore_Sales[[#This Row],[TotalSales]]*Superstore_Sales[[#This Row],[Discount]]/100</f>
        <v>0</v>
      </c>
      <c r="AB248" s="2">
        <f>Superstore_Sales[[#This Row],[TotalSales]]-Superstore_Sales[[#This Row],[Dis_amt]]-Superstore_Sales[[#This Row],[Shipping Cost]]</f>
        <v>3468.098</v>
      </c>
    </row>
    <row r="249" spans="1:28" x14ac:dyDescent="0.35">
      <c r="A249">
        <v>2496</v>
      </c>
      <c r="B249" t="s">
        <v>1458</v>
      </c>
      <c r="C249" s="1">
        <v>41628</v>
      </c>
      <c r="D249" s="1">
        <v>41632</v>
      </c>
      <c r="E249">
        <f>Superstore_Sales[[#This Row],[Ship Date]]-Superstore_Sales[[#This Row],[Order Date]]</f>
        <v>4</v>
      </c>
      <c r="F249" t="s">
        <v>98</v>
      </c>
      <c r="G249" t="s">
        <v>655</v>
      </c>
      <c r="H249" t="s">
        <v>656</v>
      </c>
      <c r="I249" t="s">
        <v>43</v>
      </c>
      <c r="K249" t="s">
        <v>1388</v>
      </c>
      <c r="L249" t="s">
        <v>1389</v>
      </c>
      <c r="M249" t="s">
        <v>219</v>
      </c>
      <c r="N249" t="s">
        <v>220</v>
      </c>
      <c r="O249" t="s">
        <v>136</v>
      </c>
      <c r="P249" t="s">
        <v>645</v>
      </c>
      <c r="Q249" t="s">
        <v>35</v>
      </c>
      <c r="R249" t="s">
        <v>36</v>
      </c>
      <c r="S249" t="s">
        <v>646</v>
      </c>
      <c r="T249">
        <v>3474.08</v>
      </c>
      <c r="U249">
        <v>8</v>
      </c>
      <c r="V249">
        <v>0</v>
      </c>
      <c r="W249">
        <v>625.28</v>
      </c>
      <c r="X249">
        <v>365.65199999999999</v>
      </c>
      <c r="Y249" t="s">
        <v>38</v>
      </c>
      <c r="Z249">
        <f>Superstore_Sales[[#This Row],[Sales]]*Superstore_Sales[[#This Row],[Quantity]]</f>
        <v>27792.639999999999</v>
      </c>
      <c r="AA249" s="3">
        <f>Superstore_Sales[[#This Row],[TotalSales]]*Superstore_Sales[[#This Row],[Discount]]/100</f>
        <v>0</v>
      </c>
      <c r="AB249" s="2">
        <f>Superstore_Sales[[#This Row],[TotalSales]]-Superstore_Sales[[#This Row],[Dis_amt]]-Superstore_Sales[[#This Row],[Shipping Cost]]</f>
        <v>27426.988000000001</v>
      </c>
    </row>
    <row r="250" spans="1:28" x14ac:dyDescent="0.35">
      <c r="A250">
        <v>990</v>
      </c>
      <c r="B250" t="s">
        <v>1459</v>
      </c>
      <c r="C250" s="1">
        <v>41530</v>
      </c>
      <c r="D250" s="1">
        <v>41532</v>
      </c>
      <c r="E250">
        <f>Superstore_Sales[[#This Row],[Ship Date]]-Superstore_Sales[[#This Row],[Order Date]]</f>
        <v>2</v>
      </c>
      <c r="F250" t="s">
        <v>40</v>
      </c>
      <c r="G250" t="s">
        <v>1460</v>
      </c>
      <c r="H250" t="s">
        <v>1461</v>
      </c>
      <c r="I250" t="s">
        <v>28</v>
      </c>
      <c r="K250" t="s">
        <v>1462</v>
      </c>
      <c r="L250" t="s">
        <v>1463</v>
      </c>
      <c r="M250" t="s">
        <v>219</v>
      </c>
      <c r="N250" t="s">
        <v>220</v>
      </c>
      <c r="O250" t="s">
        <v>136</v>
      </c>
      <c r="P250" t="s">
        <v>295</v>
      </c>
      <c r="Q250" t="s">
        <v>35</v>
      </c>
      <c r="R250" t="s">
        <v>36</v>
      </c>
      <c r="S250" t="s">
        <v>296</v>
      </c>
      <c r="T250">
        <v>2550</v>
      </c>
      <c r="U250">
        <v>6</v>
      </c>
      <c r="V250">
        <v>0</v>
      </c>
      <c r="W250">
        <v>357</v>
      </c>
      <c r="X250">
        <v>365.2</v>
      </c>
      <c r="Y250" t="s">
        <v>61</v>
      </c>
      <c r="Z250">
        <f>Superstore_Sales[[#This Row],[Sales]]*Superstore_Sales[[#This Row],[Quantity]]</f>
        <v>15300</v>
      </c>
      <c r="AA250" s="3">
        <f>Superstore_Sales[[#This Row],[TotalSales]]*Superstore_Sales[[#This Row],[Discount]]/100</f>
        <v>0</v>
      </c>
      <c r="AB250" s="2">
        <f>Superstore_Sales[[#This Row],[TotalSales]]-Superstore_Sales[[#This Row],[Dis_amt]]-Superstore_Sales[[#This Row],[Shipping Cost]]</f>
        <v>14934.8</v>
      </c>
    </row>
    <row r="251" spans="1:28" x14ac:dyDescent="0.35">
      <c r="A251">
        <v>34756</v>
      </c>
      <c r="B251" t="s">
        <v>1464</v>
      </c>
      <c r="C251" s="1">
        <v>42264</v>
      </c>
      <c r="D251" s="1">
        <v>42266</v>
      </c>
      <c r="E251">
        <f>Superstore_Sales[[#This Row],[Ship Date]]-Superstore_Sales[[#This Row],[Order Date]]</f>
        <v>2</v>
      </c>
      <c r="F251" t="s">
        <v>25</v>
      </c>
      <c r="G251" t="s">
        <v>1465</v>
      </c>
      <c r="H251" t="s">
        <v>1466</v>
      </c>
      <c r="I251" t="s">
        <v>28</v>
      </c>
      <c r="J251">
        <v>19143</v>
      </c>
      <c r="K251" t="s">
        <v>428</v>
      </c>
      <c r="L251" t="s">
        <v>429</v>
      </c>
      <c r="M251" t="s">
        <v>31</v>
      </c>
      <c r="N251" t="s">
        <v>249</v>
      </c>
      <c r="O251" t="s">
        <v>33</v>
      </c>
      <c r="P251" t="s">
        <v>1467</v>
      </c>
      <c r="Q251" t="s">
        <v>147</v>
      </c>
      <c r="R251" t="s">
        <v>384</v>
      </c>
      <c r="S251" t="s">
        <v>1468</v>
      </c>
      <c r="T251">
        <v>538.19000000000005</v>
      </c>
      <c r="U251">
        <v>2</v>
      </c>
      <c r="V251">
        <v>0.7</v>
      </c>
      <c r="W251">
        <v>-412.62</v>
      </c>
      <c r="X251">
        <v>209.3</v>
      </c>
      <c r="Y251" t="s">
        <v>53</v>
      </c>
      <c r="Z251">
        <f>Superstore_Sales[[#This Row],[Sales]]*Superstore_Sales[[#This Row],[Quantity]]</f>
        <v>1076.3800000000001</v>
      </c>
      <c r="AA251" s="3">
        <f>Superstore_Sales[[#This Row],[TotalSales]]*Superstore_Sales[[#This Row],[Discount]]/100</f>
        <v>7.5346599999999997</v>
      </c>
      <c r="AB251" s="2">
        <f>Superstore_Sales[[#This Row],[TotalSales]]-Superstore_Sales[[#This Row],[Dis_amt]]-Superstore_Sales[[#This Row],[Shipping Cost]]</f>
        <v>859.54534000000012</v>
      </c>
    </row>
    <row r="252" spans="1:28" x14ac:dyDescent="0.35">
      <c r="A252">
        <v>40955</v>
      </c>
      <c r="B252" t="s">
        <v>1469</v>
      </c>
      <c r="C252" s="1">
        <v>41173</v>
      </c>
      <c r="D252" s="1">
        <v>41180</v>
      </c>
      <c r="E252">
        <f>Superstore_Sales[[#This Row],[Ship Date]]-Superstore_Sales[[#This Row],[Order Date]]</f>
        <v>7</v>
      </c>
      <c r="F252" t="s">
        <v>98</v>
      </c>
      <c r="G252" t="s">
        <v>1465</v>
      </c>
      <c r="H252" t="s">
        <v>1466</v>
      </c>
      <c r="I252" t="s">
        <v>28</v>
      </c>
      <c r="J252">
        <v>10035</v>
      </c>
      <c r="K252" t="s">
        <v>302</v>
      </c>
      <c r="L252" t="s">
        <v>248</v>
      </c>
      <c r="M252" t="s">
        <v>31</v>
      </c>
      <c r="N252" t="s">
        <v>249</v>
      </c>
      <c r="O252" t="s">
        <v>33</v>
      </c>
      <c r="P252" t="s">
        <v>1470</v>
      </c>
      <c r="Q252" t="s">
        <v>50</v>
      </c>
      <c r="R252" t="s">
        <v>51</v>
      </c>
      <c r="S252" t="s">
        <v>1471</v>
      </c>
      <c r="T252">
        <v>579.53</v>
      </c>
      <c r="U252">
        <v>4</v>
      </c>
      <c r="V252">
        <v>0.1</v>
      </c>
      <c r="W252">
        <v>83.71</v>
      </c>
      <c r="X252">
        <v>64.56</v>
      </c>
      <c r="Y252" t="s">
        <v>61</v>
      </c>
      <c r="Z252">
        <f>Superstore_Sales[[#This Row],[Sales]]*Superstore_Sales[[#This Row],[Quantity]]</f>
        <v>2318.12</v>
      </c>
      <c r="AA252" s="3">
        <f>Superstore_Sales[[#This Row],[TotalSales]]*Superstore_Sales[[#This Row],[Discount]]/100</f>
        <v>2.31812</v>
      </c>
      <c r="AB252" s="2">
        <f>Superstore_Sales[[#This Row],[TotalSales]]-Superstore_Sales[[#This Row],[Dis_amt]]-Superstore_Sales[[#This Row],[Shipping Cost]]</f>
        <v>2251.24188</v>
      </c>
    </row>
    <row r="253" spans="1:28" x14ac:dyDescent="0.35">
      <c r="A253">
        <v>33285</v>
      </c>
      <c r="B253" t="s">
        <v>1472</v>
      </c>
      <c r="C253" s="1">
        <v>41587</v>
      </c>
      <c r="D253" s="1">
        <v>41591</v>
      </c>
      <c r="E253">
        <f>Superstore_Sales[[#This Row],[Ship Date]]-Superstore_Sales[[#This Row],[Order Date]]</f>
        <v>4</v>
      </c>
      <c r="F253" t="s">
        <v>98</v>
      </c>
      <c r="G253" t="s">
        <v>1473</v>
      </c>
      <c r="H253" t="s">
        <v>1466</v>
      </c>
      <c r="I253" t="s">
        <v>28</v>
      </c>
      <c r="J253">
        <v>65807</v>
      </c>
      <c r="K253" t="s">
        <v>1474</v>
      </c>
      <c r="L253" t="s">
        <v>1475</v>
      </c>
      <c r="M253" t="s">
        <v>31</v>
      </c>
      <c r="N253" t="s">
        <v>32</v>
      </c>
      <c r="O253" t="s">
        <v>33</v>
      </c>
      <c r="P253" t="s">
        <v>1476</v>
      </c>
      <c r="Q253" t="s">
        <v>50</v>
      </c>
      <c r="R253" t="s">
        <v>104</v>
      </c>
      <c r="S253" t="s">
        <v>1477</v>
      </c>
      <c r="T253">
        <v>1024.3800000000001</v>
      </c>
      <c r="U253">
        <v>7</v>
      </c>
      <c r="V253">
        <v>0</v>
      </c>
      <c r="W253">
        <v>215.12</v>
      </c>
      <c r="X253">
        <v>62.17</v>
      </c>
      <c r="Y253" t="s">
        <v>61</v>
      </c>
      <c r="Z253">
        <f>Superstore_Sales[[#This Row],[Sales]]*Superstore_Sales[[#This Row],[Quantity]]</f>
        <v>7170.6600000000008</v>
      </c>
      <c r="AA253" s="3">
        <f>Superstore_Sales[[#This Row],[TotalSales]]*Superstore_Sales[[#This Row],[Discount]]/100</f>
        <v>0</v>
      </c>
      <c r="AB253" s="2">
        <f>Superstore_Sales[[#This Row],[TotalSales]]-Superstore_Sales[[#This Row],[Dis_amt]]-Superstore_Sales[[#This Row],[Shipping Cost]]</f>
        <v>7108.4900000000007</v>
      </c>
    </row>
    <row r="254" spans="1:28" x14ac:dyDescent="0.35">
      <c r="A254">
        <v>43395</v>
      </c>
      <c r="B254" t="s">
        <v>1478</v>
      </c>
      <c r="C254" s="1">
        <v>41417</v>
      </c>
      <c r="D254" s="1">
        <v>41420</v>
      </c>
      <c r="E254">
        <f>Superstore_Sales[[#This Row],[Ship Date]]-Superstore_Sales[[#This Row],[Order Date]]</f>
        <v>3</v>
      </c>
      <c r="F254" t="s">
        <v>25</v>
      </c>
      <c r="G254" t="s">
        <v>1479</v>
      </c>
      <c r="H254" t="s">
        <v>1480</v>
      </c>
      <c r="I254" t="s">
        <v>28</v>
      </c>
      <c r="K254" t="s">
        <v>1481</v>
      </c>
      <c r="L254" t="s">
        <v>1481</v>
      </c>
      <c r="M254" t="s">
        <v>1482</v>
      </c>
      <c r="N254" t="s">
        <v>126</v>
      </c>
      <c r="O254" t="s">
        <v>48</v>
      </c>
      <c r="P254" t="s">
        <v>1483</v>
      </c>
      <c r="Q254" t="s">
        <v>35</v>
      </c>
      <c r="R254" t="s">
        <v>36</v>
      </c>
      <c r="S254" t="s">
        <v>1484</v>
      </c>
      <c r="T254">
        <v>934.25</v>
      </c>
      <c r="U254">
        <v>14</v>
      </c>
      <c r="V254">
        <v>0.6</v>
      </c>
      <c r="W254">
        <v>-1331.65</v>
      </c>
      <c r="X254">
        <v>363.73</v>
      </c>
      <c r="Y254" t="s">
        <v>38</v>
      </c>
      <c r="Z254">
        <f>Superstore_Sales[[#This Row],[Sales]]*Superstore_Sales[[#This Row],[Quantity]]</f>
        <v>13079.5</v>
      </c>
      <c r="AA254" s="3">
        <f>Superstore_Sales[[#This Row],[TotalSales]]*Superstore_Sales[[#This Row],[Discount]]/100</f>
        <v>78.477000000000004</v>
      </c>
      <c r="AB254" s="2">
        <f>Superstore_Sales[[#This Row],[TotalSales]]-Superstore_Sales[[#This Row],[Dis_amt]]-Superstore_Sales[[#This Row],[Shipping Cost]]</f>
        <v>12637.293</v>
      </c>
    </row>
    <row r="255" spans="1:28" x14ac:dyDescent="0.35">
      <c r="A255">
        <v>36524</v>
      </c>
      <c r="B255" t="s">
        <v>1485</v>
      </c>
      <c r="C255" s="1">
        <v>41812</v>
      </c>
      <c r="D255" s="1">
        <v>41817</v>
      </c>
      <c r="E255">
        <f>Superstore_Sales[[#This Row],[Ship Date]]-Superstore_Sales[[#This Row],[Order Date]]</f>
        <v>5</v>
      </c>
      <c r="F255" t="s">
        <v>98</v>
      </c>
      <c r="G255" t="s">
        <v>1465</v>
      </c>
      <c r="H255" t="s">
        <v>1466</v>
      </c>
      <c r="I255" t="s">
        <v>28</v>
      </c>
      <c r="J255">
        <v>10011</v>
      </c>
      <c r="K255" t="s">
        <v>302</v>
      </c>
      <c r="L255" t="s">
        <v>248</v>
      </c>
      <c r="M255" t="s">
        <v>31</v>
      </c>
      <c r="N255" t="s">
        <v>249</v>
      </c>
      <c r="O255" t="s">
        <v>33</v>
      </c>
      <c r="P255" t="s">
        <v>1486</v>
      </c>
      <c r="Q255" t="s">
        <v>50</v>
      </c>
      <c r="R255" t="s">
        <v>336</v>
      </c>
      <c r="S255" t="s">
        <v>1487</v>
      </c>
      <c r="T255">
        <v>353.57</v>
      </c>
      <c r="U255">
        <v>2</v>
      </c>
      <c r="V255">
        <v>0.2</v>
      </c>
      <c r="W255">
        <v>-44.2</v>
      </c>
      <c r="X255">
        <v>48.18</v>
      </c>
      <c r="Y255" t="s">
        <v>38</v>
      </c>
      <c r="Z255">
        <f>Superstore_Sales[[#This Row],[Sales]]*Superstore_Sales[[#This Row],[Quantity]]</f>
        <v>707.14</v>
      </c>
      <c r="AA255" s="3">
        <f>Superstore_Sales[[#This Row],[TotalSales]]*Superstore_Sales[[#This Row],[Discount]]/100</f>
        <v>1.41428</v>
      </c>
      <c r="AB255" s="2">
        <f>Superstore_Sales[[#This Row],[TotalSales]]-Superstore_Sales[[#This Row],[Dis_amt]]-Superstore_Sales[[#This Row],[Shipping Cost]]</f>
        <v>657.54572000000007</v>
      </c>
    </row>
    <row r="256" spans="1:28" x14ac:dyDescent="0.35">
      <c r="A256">
        <v>46991</v>
      </c>
      <c r="B256" t="s">
        <v>1488</v>
      </c>
      <c r="C256" s="1">
        <v>42108</v>
      </c>
      <c r="D256" s="1">
        <v>42111</v>
      </c>
      <c r="E256">
        <f>Superstore_Sales[[#This Row],[Ship Date]]-Superstore_Sales[[#This Row],[Order Date]]</f>
        <v>3</v>
      </c>
      <c r="F256" t="s">
        <v>40</v>
      </c>
      <c r="G256" t="s">
        <v>1489</v>
      </c>
      <c r="H256" t="s">
        <v>1490</v>
      </c>
      <c r="I256" t="s">
        <v>43</v>
      </c>
      <c r="K256" t="s">
        <v>76</v>
      </c>
      <c r="L256" t="s">
        <v>76</v>
      </c>
      <c r="M256" t="s">
        <v>77</v>
      </c>
      <c r="N256" t="s">
        <v>78</v>
      </c>
      <c r="O256" t="s">
        <v>79</v>
      </c>
      <c r="P256" t="s">
        <v>949</v>
      </c>
      <c r="Q256" t="s">
        <v>35</v>
      </c>
      <c r="R256" t="s">
        <v>36</v>
      </c>
      <c r="S256" t="s">
        <v>950</v>
      </c>
      <c r="T256">
        <v>3908.88</v>
      </c>
      <c r="U256">
        <v>6</v>
      </c>
      <c r="V256">
        <v>0</v>
      </c>
      <c r="W256">
        <v>1563.48</v>
      </c>
      <c r="X256">
        <v>363.16</v>
      </c>
      <c r="Y256" t="s">
        <v>61</v>
      </c>
      <c r="Z256">
        <f>Superstore_Sales[[#This Row],[Sales]]*Superstore_Sales[[#This Row],[Quantity]]</f>
        <v>23453.279999999999</v>
      </c>
      <c r="AA256" s="3">
        <f>Superstore_Sales[[#This Row],[TotalSales]]*Superstore_Sales[[#This Row],[Discount]]/100</f>
        <v>0</v>
      </c>
      <c r="AB256" s="2">
        <f>Superstore_Sales[[#This Row],[TotalSales]]-Superstore_Sales[[#This Row],[Dis_amt]]-Superstore_Sales[[#This Row],[Shipping Cost]]</f>
        <v>23090.12</v>
      </c>
    </row>
    <row r="257" spans="1:28" x14ac:dyDescent="0.35">
      <c r="A257">
        <v>9711</v>
      </c>
      <c r="B257" t="s">
        <v>1491</v>
      </c>
      <c r="C257" s="1">
        <v>42245</v>
      </c>
      <c r="D257" s="1">
        <v>42249</v>
      </c>
      <c r="E257">
        <f>Superstore_Sales[[#This Row],[Ship Date]]-Superstore_Sales[[#This Row],[Order Date]]</f>
        <v>4</v>
      </c>
      <c r="F257" t="s">
        <v>98</v>
      </c>
      <c r="G257" t="s">
        <v>1492</v>
      </c>
      <c r="H257" t="s">
        <v>1493</v>
      </c>
      <c r="I257" t="s">
        <v>65</v>
      </c>
      <c r="K257" t="s">
        <v>1494</v>
      </c>
      <c r="L257" t="s">
        <v>1389</v>
      </c>
      <c r="M257" t="s">
        <v>219</v>
      </c>
      <c r="N257" t="s">
        <v>220</v>
      </c>
      <c r="O257" t="s">
        <v>136</v>
      </c>
      <c r="P257" t="s">
        <v>221</v>
      </c>
      <c r="Q257" t="s">
        <v>35</v>
      </c>
      <c r="R257" t="s">
        <v>36</v>
      </c>
      <c r="S257" t="s">
        <v>222</v>
      </c>
      <c r="T257">
        <v>2142.3000000000002</v>
      </c>
      <c r="U257">
        <v>5</v>
      </c>
      <c r="V257">
        <v>0</v>
      </c>
      <c r="W257">
        <v>556.9</v>
      </c>
      <c r="X257">
        <v>363.1</v>
      </c>
      <c r="Y257" t="s">
        <v>38</v>
      </c>
      <c r="Z257">
        <f>Superstore_Sales[[#This Row],[Sales]]*Superstore_Sales[[#This Row],[Quantity]]</f>
        <v>10711.5</v>
      </c>
      <c r="AA257" s="3">
        <f>Superstore_Sales[[#This Row],[TotalSales]]*Superstore_Sales[[#This Row],[Discount]]/100</f>
        <v>0</v>
      </c>
      <c r="AB257" s="2">
        <f>Superstore_Sales[[#This Row],[TotalSales]]-Superstore_Sales[[#This Row],[Dis_amt]]-Superstore_Sales[[#This Row],[Shipping Cost]]</f>
        <v>10348.4</v>
      </c>
    </row>
    <row r="258" spans="1:28" x14ac:dyDescent="0.35">
      <c r="A258">
        <v>31138</v>
      </c>
      <c r="B258" t="s">
        <v>1495</v>
      </c>
      <c r="C258" s="1">
        <v>42140</v>
      </c>
      <c r="D258" s="1">
        <v>42142</v>
      </c>
      <c r="E258">
        <f>Superstore_Sales[[#This Row],[Ship Date]]-Superstore_Sales[[#This Row],[Order Date]]</f>
        <v>2</v>
      </c>
      <c r="F258" t="s">
        <v>40</v>
      </c>
      <c r="G258" t="s">
        <v>1496</v>
      </c>
      <c r="H258" t="s">
        <v>1497</v>
      </c>
      <c r="I258" t="s">
        <v>28</v>
      </c>
      <c r="K258" t="s">
        <v>1498</v>
      </c>
      <c r="L258" t="s">
        <v>1499</v>
      </c>
      <c r="M258" t="s">
        <v>94</v>
      </c>
      <c r="N258" t="s">
        <v>47</v>
      </c>
      <c r="O258" t="s">
        <v>48</v>
      </c>
      <c r="P258" t="s">
        <v>1500</v>
      </c>
      <c r="Q258" t="s">
        <v>147</v>
      </c>
      <c r="R258" t="s">
        <v>148</v>
      </c>
      <c r="S258" t="s">
        <v>1501</v>
      </c>
      <c r="T258">
        <v>1900.58</v>
      </c>
      <c r="U258">
        <v>6</v>
      </c>
      <c r="V258">
        <v>0.4</v>
      </c>
      <c r="W258">
        <v>-348.52</v>
      </c>
      <c r="X258">
        <v>360.04</v>
      </c>
      <c r="Y258" t="s">
        <v>38</v>
      </c>
      <c r="Z258">
        <f>Superstore_Sales[[#This Row],[Sales]]*Superstore_Sales[[#This Row],[Quantity]]</f>
        <v>11403.48</v>
      </c>
      <c r="AA258" s="3">
        <f>Superstore_Sales[[#This Row],[TotalSales]]*Superstore_Sales[[#This Row],[Discount]]/100</f>
        <v>45.61392</v>
      </c>
      <c r="AB258" s="2">
        <f>Superstore_Sales[[#This Row],[TotalSales]]-Superstore_Sales[[#This Row],[Dis_amt]]-Superstore_Sales[[#This Row],[Shipping Cost]]</f>
        <v>10997.826079999999</v>
      </c>
    </row>
    <row r="259" spans="1:28" x14ac:dyDescent="0.35">
      <c r="A259">
        <v>46655</v>
      </c>
      <c r="B259" t="s">
        <v>1502</v>
      </c>
      <c r="C259" s="1">
        <v>41621</v>
      </c>
      <c r="D259" s="1">
        <v>41623</v>
      </c>
      <c r="E259">
        <f>Superstore_Sales[[#This Row],[Ship Date]]-Superstore_Sales[[#This Row],[Order Date]]</f>
        <v>2</v>
      </c>
      <c r="F259" t="s">
        <v>25</v>
      </c>
      <c r="G259" t="s">
        <v>1503</v>
      </c>
      <c r="H259" t="s">
        <v>255</v>
      </c>
      <c r="I259" t="s">
        <v>28</v>
      </c>
      <c r="K259" t="s">
        <v>1504</v>
      </c>
      <c r="L259" t="s">
        <v>1505</v>
      </c>
      <c r="M259" t="s">
        <v>1506</v>
      </c>
      <c r="N259" t="s">
        <v>294</v>
      </c>
      <c r="O259" t="s">
        <v>79</v>
      </c>
      <c r="P259" t="s">
        <v>1507</v>
      </c>
      <c r="Q259" t="s">
        <v>147</v>
      </c>
      <c r="R259" t="s">
        <v>148</v>
      </c>
      <c r="S259" t="s">
        <v>1508</v>
      </c>
      <c r="T259">
        <v>1840.68</v>
      </c>
      <c r="U259">
        <v>6</v>
      </c>
      <c r="V259">
        <v>0</v>
      </c>
      <c r="W259">
        <v>496.98</v>
      </c>
      <c r="X259">
        <v>359.58</v>
      </c>
      <c r="Y259" t="s">
        <v>53</v>
      </c>
      <c r="Z259">
        <f>Superstore_Sales[[#This Row],[Sales]]*Superstore_Sales[[#This Row],[Quantity]]</f>
        <v>11044.08</v>
      </c>
      <c r="AA259" s="3">
        <f>Superstore_Sales[[#This Row],[TotalSales]]*Superstore_Sales[[#This Row],[Discount]]/100</f>
        <v>0</v>
      </c>
      <c r="AB259" s="2">
        <f>Superstore_Sales[[#This Row],[TotalSales]]-Superstore_Sales[[#This Row],[Dis_amt]]-Superstore_Sales[[#This Row],[Shipping Cost]]</f>
        <v>10684.5</v>
      </c>
    </row>
    <row r="260" spans="1:28" x14ac:dyDescent="0.35">
      <c r="A260">
        <v>10365</v>
      </c>
      <c r="B260" t="s">
        <v>1509</v>
      </c>
      <c r="C260" s="1">
        <v>40998</v>
      </c>
      <c r="D260" s="1">
        <v>41002</v>
      </c>
      <c r="E260">
        <f>Superstore_Sales[[#This Row],[Ship Date]]-Superstore_Sales[[#This Row],[Order Date]]</f>
        <v>4</v>
      </c>
      <c r="F260" t="s">
        <v>98</v>
      </c>
      <c r="G260" t="s">
        <v>1510</v>
      </c>
      <c r="H260" t="s">
        <v>1511</v>
      </c>
      <c r="I260" t="s">
        <v>28</v>
      </c>
      <c r="K260" t="s">
        <v>1512</v>
      </c>
      <c r="L260" t="s">
        <v>310</v>
      </c>
      <c r="M260" t="s">
        <v>210</v>
      </c>
      <c r="N260" t="s">
        <v>211</v>
      </c>
      <c r="O260" t="s">
        <v>69</v>
      </c>
      <c r="P260" t="s">
        <v>1181</v>
      </c>
      <c r="Q260" t="s">
        <v>50</v>
      </c>
      <c r="R260" t="s">
        <v>336</v>
      </c>
      <c r="S260" t="s">
        <v>1182</v>
      </c>
      <c r="T260">
        <v>2624.04</v>
      </c>
      <c r="U260">
        <v>6</v>
      </c>
      <c r="V260">
        <v>0</v>
      </c>
      <c r="W260">
        <v>446.04</v>
      </c>
      <c r="X260">
        <v>359.28</v>
      </c>
      <c r="Y260" t="s">
        <v>38</v>
      </c>
      <c r="Z260">
        <f>Superstore_Sales[[#This Row],[Sales]]*Superstore_Sales[[#This Row],[Quantity]]</f>
        <v>15744.24</v>
      </c>
      <c r="AA260" s="3">
        <f>Superstore_Sales[[#This Row],[TotalSales]]*Superstore_Sales[[#This Row],[Discount]]/100</f>
        <v>0</v>
      </c>
      <c r="AB260" s="2">
        <f>Superstore_Sales[[#This Row],[TotalSales]]-Superstore_Sales[[#This Row],[Dis_amt]]-Superstore_Sales[[#This Row],[Shipping Cost]]</f>
        <v>15384.96</v>
      </c>
    </row>
    <row r="261" spans="1:28" x14ac:dyDescent="0.35">
      <c r="A261">
        <v>21500</v>
      </c>
      <c r="B261" t="s">
        <v>1513</v>
      </c>
      <c r="C261" s="1">
        <v>41308</v>
      </c>
      <c r="D261" s="1">
        <v>41312</v>
      </c>
      <c r="E261">
        <f>Superstore_Sales[[#This Row],[Ship Date]]-Superstore_Sales[[#This Row],[Order Date]]</f>
        <v>4</v>
      </c>
      <c r="F261" t="s">
        <v>40</v>
      </c>
      <c r="G261" t="s">
        <v>1514</v>
      </c>
      <c r="H261" t="s">
        <v>1515</v>
      </c>
      <c r="I261" t="s">
        <v>43</v>
      </c>
      <c r="K261" t="s">
        <v>1516</v>
      </c>
      <c r="L261" t="s">
        <v>468</v>
      </c>
      <c r="M261" t="s">
        <v>258</v>
      </c>
      <c r="N261" t="s">
        <v>118</v>
      </c>
      <c r="O261" t="s">
        <v>48</v>
      </c>
      <c r="P261" t="s">
        <v>1517</v>
      </c>
      <c r="Q261" t="s">
        <v>50</v>
      </c>
      <c r="R261" t="s">
        <v>336</v>
      </c>
      <c r="S261" t="s">
        <v>1518</v>
      </c>
      <c r="T261">
        <v>3076.5</v>
      </c>
      <c r="U261">
        <v>7</v>
      </c>
      <c r="V261">
        <v>0</v>
      </c>
      <c r="W261">
        <v>215.25</v>
      </c>
      <c r="X261">
        <v>359.27</v>
      </c>
      <c r="Y261" t="s">
        <v>61</v>
      </c>
      <c r="Z261">
        <f>Superstore_Sales[[#This Row],[Sales]]*Superstore_Sales[[#This Row],[Quantity]]</f>
        <v>21535.5</v>
      </c>
      <c r="AA261" s="3">
        <f>Superstore_Sales[[#This Row],[TotalSales]]*Superstore_Sales[[#This Row],[Discount]]/100</f>
        <v>0</v>
      </c>
      <c r="AB261" s="2">
        <f>Superstore_Sales[[#This Row],[TotalSales]]-Superstore_Sales[[#This Row],[Dis_amt]]-Superstore_Sales[[#This Row],[Shipping Cost]]</f>
        <v>21176.23</v>
      </c>
    </row>
    <row r="262" spans="1:28" x14ac:dyDescent="0.35">
      <c r="A262">
        <v>28108</v>
      </c>
      <c r="B262" t="s">
        <v>1519</v>
      </c>
      <c r="C262" s="1">
        <v>41788</v>
      </c>
      <c r="D262" s="1">
        <v>41791</v>
      </c>
      <c r="E262">
        <f>Superstore_Sales[[#This Row],[Ship Date]]-Superstore_Sales[[#This Row],[Order Date]]</f>
        <v>3</v>
      </c>
      <c r="F262" t="s">
        <v>40</v>
      </c>
      <c r="G262" t="s">
        <v>1520</v>
      </c>
      <c r="H262" t="s">
        <v>1521</v>
      </c>
      <c r="I262" t="s">
        <v>43</v>
      </c>
      <c r="K262" t="s">
        <v>801</v>
      </c>
      <c r="L262" t="s">
        <v>801</v>
      </c>
      <c r="M262" t="s">
        <v>802</v>
      </c>
      <c r="N262" t="s">
        <v>322</v>
      </c>
      <c r="O262" t="s">
        <v>48</v>
      </c>
      <c r="P262" t="s">
        <v>59</v>
      </c>
      <c r="Q262" t="s">
        <v>35</v>
      </c>
      <c r="R262" t="s">
        <v>36</v>
      </c>
      <c r="S262" t="s">
        <v>60</v>
      </c>
      <c r="T262">
        <v>3181.77</v>
      </c>
      <c r="U262">
        <v>6</v>
      </c>
      <c r="V262">
        <v>0.17</v>
      </c>
      <c r="W262">
        <v>344.97</v>
      </c>
      <c r="X262">
        <v>359.09</v>
      </c>
      <c r="Y262" t="s">
        <v>61</v>
      </c>
      <c r="Z262">
        <f>Superstore_Sales[[#This Row],[Sales]]*Superstore_Sales[[#This Row],[Quantity]]</f>
        <v>19090.62</v>
      </c>
      <c r="AA262" s="3">
        <f>Superstore_Sales[[#This Row],[TotalSales]]*Superstore_Sales[[#This Row],[Discount]]/100</f>
        <v>32.454053999999999</v>
      </c>
      <c r="AB262" s="2">
        <f>Superstore_Sales[[#This Row],[TotalSales]]-Superstore_Sales[[#This Row],[Dis_amt]]-Superstore_Sales[[#This Row],[Shipping Cost]]</f>
        <v>18699.075945999997</v>
      </c>
    </row>
    <row r="263" spans="1:28" x14ac:dyDescent="0.35">
      <c r="A263">
        <v>16456</v>
      </c>
      <c r="B263" t="s">
        <v>1522</v>
      </c>
      <c r="C263" s="1">
        <v>41515</v>
      </c>
      <c r="D263" s="1">
        <v>41518</v>
      </c>
      <c r="E263">
        <f>Superstore_Sales[[#This Row],[Ship Date]]-Superstore_Sales[[#This Row],[Order Date]]</f>
        <v>3</v>
      </c>
      <c r="F263" t="s">
        <v>25</v>
      </c>
      <c r="G263" t="s">
        <v>1523</v>
      </c>
      <c r="H263" t="s">
        <v>1524</v>
      </c>
      <c r="I263" t="s">
        <v>28</v>
      </c>
      <c r="K263" t="s">
        <v>1525</v>
      </c>
      <c r="L263" t="s">
        <v>1526</v>
      </c>
      <c r="M263" t="s">
        <v>463</v>
      </c>
      <c r="N263" t="s">
        <v>171</v>
      </c>
      <c r="O263" t="s">
        <v>69</v>
      </c>
      <c r="P263" t="s">
        <v>1527</v>
      </c>
      <c r="Q263" t="s">
        <v>147</v>
      </c>
      <c r="R263" t="s">
        <v>162</v>
      </c>
      <c r="S263" t="s">
        <v>1528</v>
      </c>
      <c r="T263">
        <v>1392.63</v>
      </c>
      <c r="U263">
        <v>11</v>
      </c>
      <c r="V263">
        <v>0.1</v>
      </c>
      <c r="W263">
        <v>-139.56</v>
      </c>
      <c r="X263">
        <v>358.96</v>
      </c>
      <c r="Y263" t="s">
        <v>53</v>
      </c>
      <c r="Z263">
        <f>Superstore_Sales[[#This Row],[Sales]]*Superstore_Sales[[#This Row],[Quantity]]</f>
        <v>15318.93</v>
      </c>
      <c r="AA263" s="3">
        <f>Superstore_Sales[[#This Row],[TotalSales]]*Superstore_Sales[[#This Row],[Discount]]/100</f>
        <v>15.31893</v>
      </c>
      <c r="AB263" s="2">
        <f>Superstore_Sales[[#This Row],[TotalSales]]-Superstore_Sales[[#This Row],[Dis_amt]]-Superstore_Sales[[#This Row],[Shipping Cost]]</f>
        <v>14944.651070000002</v>
      </c>
    </row>
    <row r="264" spans="1:28" x14ac:dyDescent="0.35">
      <c r="A264">
        <v>23791</v>
      </c>
      <c r="B264" t="s">
        <v>1529</v>
      </c>
      <c r="C264" s="1">
        <v>41074</v>
      </c>
      <c r="D264" s="1">
        <v>41076</v>
      </c>
      <c r="E264">
        <f>Superstore_Sales[[#This Row],[Ship Date]]-Superstore_Sales[[#This Row],[Order Date]]</f>
        <v>2</v>
      </c>
      <c r="F264" t="s">
        <v>25</v>
      </c>
      <c r="G264" t="s">
        <v>1530</v>
      </c>
      <c r="H264" t="s">
        <v>1531</v>
      </c>
      <c r="I264" t="s">
        <v>28</v>
      </c>
      <c r="K264" t="s">
        <v>1532</v>
      </c>
      <c r="L264" t="s">
        <v>1533</v>
      </c>
      <c r="M264" t="s">
        <v>144</v>
      </c>
      <c r="N264" t="s">
        <v>145</v>
      </c>
      <c r="O264" t="s">
        <v>48</v>
      </c>
      <c r="P264" t="s">
        <v>1534</v>
      </c>
      <c r="Q264" t="s">
        <v>50</v>
      </c>
      <c r="R264" t="s">
        <v>51</v>
      </c>
      <c r="S264" t="s">
        <v>1535</v>
      </c>
      <c r="T264">
        <v>1296.24</v>
      </c>
      <c r="U264">
        <v>8</v>
      </c>
      <c r="V264">
        <v>0</v>
      </c>
      <c r="W264">
        <v>285.12</v>
      </c>
      <c r="X264">
        <v>358.85</v>
      </c>
      <c r="Y264" t="s">
        <v>53</v>
      </c>
      <c r="Z264">
        <f>Superstore_Sales[[#This Row],[Sales]]*Superstore_Sales[[#This Row],[Quantity]]</f>
        <v>10369.92</v>
      </c>
      <c r="AA264" s="3">
        <f>Superstore_Sales[[#This Row],[TotalSales]]*Superstore_Sales[[#This Row],[Discount]]/100</f>
        <v>0</v>
      </c>
      <c r="AB264" s="2">
        <f>Superstore_Sales[[#This Row],[TotalSales]]-Superstore_Sales[[#This Row],[Dis_amt]]-Superstore_Sales[[#This Row],[Shipping Cost]]</f>
        <v>10011.07</v>
      </c>
    </row>
    <row r="265" spans="1:28" x14ac:dyDescent="0.35">
      <c r="A265">
        <v>28128</v>
      </c>
      <c r="B265" t="s">
        <v>1536</v>
      </c>
      <c r="C265" s="1">
        <v>42244</v>
      </c>
      <c r="D265" s="1">
        <v>42247</v>
      </c>
      <c r="E265">
        <f>Superstore_Sales[[#This Row],[Ship Date]]-Superstore_Sales[[#This Row],[Order Date]]</f>
        <v>3</v>
      </c>
      <c r="F265" t="s">
        <v>25</v>
      </c>
      <c r="G265" t="s">
        <v>1537</v>
      </c>
      <c r="H265" t="s">
        <v>1538</v>
      </c>
      <c r="I265" t="s">
        <v>28</v>
      </c>
      <c r="K265" t="s">
        <v>1539</v>
      </c>
      <c r="L265" t="s">
        <v>1539</v>
      </c>
      <c r="M265" t="s">
        <v>144</v>
      </c>
      <c r="N265" t="s">
        <v>145</v>
      </c>
      <c r="O265" t="s">
        <v>48</v>
      </c>
      <c r="P265" t="s">
        <v>1540</v>
      </c>
      <c r="Q265" t="s">
        <v>147</v>
      </c>
      <c r="R265" t="s">
        <v>148</v>
      </c>
      <c r="S265" t="s">
        <v>1541</v>
      </c>
      <c r="T265">
        <v>1682.91</v>
      </c>
      <c r="U265">
        <v>3</v>
      </c>
      <c r="V265">
        <v>0</v>
      </c>
      <c r="W265">
        <v>487.98</v>
      </c>
      <c r="X265">
        <v>358.51</v>
      </c>
      <c r="Y265" t="s">
        <v>61</v>
      </c>
      <c r="Z265">
        <f>Superstore_Sales[[#This Row],[Sales]]*Superstore_Sales[[#This Row],[Quantity]]</f>
        <v>5048.7300000000005</v>
      </c>
      <c r="AA265" s="3">
        <f>Superstore_Sales[[#This Row],[TotalSales]]*Superstore_Sales[[#This Row],[Discount]]/100</f>
        <v>0</v>
      </c>
      <c r="AB265" s="2">
        <f>Superstore_Sales[[#This Row],[TotalSales]]-Superstore_Sales[[#This Row],[Dis_amt]]-Superstore_Sales[[#This Row],[Shipping Cost]]</f>
        <v>4690.22</v>
      </c>
    </row>
    <row r="266" spans="1:28" x14ac:dyDescent="0.35">
      <c r="A266">
        <v>4585</v>
      </c>
      <c r="B266" t="s">
        <v>1542</v>
      </c>
      <c r="C266" s="1">
        <v>41208</v>
      </c>
      <c r="D266" s="1">
        <v>41209</v>
      </c>
      <c r="E266">
        <f>Superstore_Sales[[#This Row],[Ship Date]]-Superstore_Sales[[#This Row],[Order Date]]</f>
        <v>1</v>
      </c>
      <c r="F266" t="s">
        <v>25</v>
      </c>
      <c r="G266" t="s">
        <v>1543</v>
      </c>
      <c r="H266" t="s">
        <v>318</v>
      </c>
      <c r="I266" t="s">
        <v>28</v>
      </c>
      <c r="K266" t="s">
        <v>1462</v>
      </c>
      <c r="L266" t="s">
        <v>1462</v>
      </c>
      <c r="M266" t="s">
        <v>491</v>
      </c>
      <c r="N266" t="s">
        <v>220</v>
      </c>
      <c r="O266" t="s">
        <v>136</v>
      </c>
      <c r="P266" t="s">
        <v>438</v>
      </c>
      <c r="Q266" t="s">
        <v>35</v>
      </c>
      <c r="R266" t="s">
        <v>36</v>
      </c>
      <c r="S266" t="s">
        <v>439</v>
      </c>
      <c r="T266">
        <v>1278</v>
      </c>
      <c r="U266">
        <v>3</v>
      </c>
      <c r="V266">
        <v>0</v>
      </c>
      <c r="W266">
        <v>89.46</v>
      </c>
      <c r="X266">
        <v>358.17599999999999</v>
      </c>
      <c r="Y266" t="s">
        <v>53</v>
      </c>
      <c r="Z266">
        <f>Superstore_Sales[[#This Row],[Sales]]*Superstore_Sales[[#This Row],[Quantity]]</f>
        <v>3834</v>
      </c>
      <c r="AA266" s="3">
        <f>Superstore_Sales[[#This Row],[TotalSales]]*Superstore_Sales[[#This Row],[Discount]]/100</f>
        <v>0</v>
      </c>
      <c r="AB266" s="2">
        <f>Superstore_Sales[[#This Row],[TotalSales]]-Superstore_Sales[[#This Row],[Dis_amt]]-Superstore_Sales[[#This Row],[Shipping Cost]]</f>
        <v>3475.8240000000001</v>
      </c>
    </row>
    <row r="267" spans="1:28" x14ac:dyDescent="0.35">
      <c r="A267">
        <v>41299</v>
      </c>
      <c r="B267" t="s">
        <v>1544</v>
      </c>
      <c r="C267" s="1">
        <v>42082</v>
      </c>
      <c r="D267" s="1">
        <v>42086</v>
      </c>
      <c r="E267">
        <f>Superstore_Sales[[#This Row],[Ship Date]]-Superstore_Sales[[#This Row],[Order Date]]</f>
        <v>4</v>
      </c>
      <c r="F267" t="s">
        <v>40</v>
      </c>
      <c r="G267" t="s">
        <v>1545</v>
      </c>
      <c r="H267" t="s">
        <v>1546</v>
      </c>
      <c r="I267" t="s">
        <v>65</v>
      </c>
      <c r="K267" t="s">
        <v>1547</v>
      </c>
      <c r="L267" t="s">
        <v>1548</v>
      </c>
      <c r="M267" t="s">
        <v>1180</v>
      </c>
      <c r="N267" t="s">
        <v>195</v>
      </c>
      <c r="O267" t="s">
        <v>69</v>
      </c>
      <c r="P267" t="s">
        <v>221</v>
      </c>
      <c r="Q267" t="s">
        <v>35</v>
      </c>
      <c r="R267" t="s">
        <v>36</v>
      </c>
      <c r="S267" t="s">
        <v>222</v>
      </c>
      <c r="T267">
        <v>2570.7600000000002</v>
      </c>
      <c r="U267">
        <v>4</v>
      </c>
      <c r="V267">
        <v>0</v>
      </c>
      <c r="W267">
        <v>976.8</v>
      </c>
      <c r="X267">
        <v>357.89</v>
      </c>
      <c r="Y267" t="s">
        <v>61</v>
      </c>
      <c r="Z267">
        <f>Superstore_Sales[[#This Row],[Sales]]*Superstore_Sales[[#This Row],[Quantity]]</f>
        <v>10283.040000000001</v>
      </c>
      <c r="AA267" s="3">
        <f>Superstore_Sales[[#This Row],[TotalSales]]*Superstore_Sales[[#This Row],[Discount]]/100</f>
        <v>0</v>
      </c>
      <c r="AB267" s="2">
        <f>Superstore_Sales[[#This Row],[TotalSales]]-Superstore_Sales[[#This Row],[Dis_amt]]-Superstore_Sales[[#This Row],[Shipping Cost]]</f>
        <v>9925.1500000000015</v>
      </c>
    </row>
    <row r="268" spans="1:28" x14ac:dyDescent="0.35">
      <c r="A268">
        <v>8753</v>
      </c>
      <c r="B268" t="s">
        <v>1549</v>
      </c>
      <c r="C268" s="1">
        <v>42258</v>
      </c>
      <c r="D268" s="1">
        <v>42265</v>
      </c>
      <c r="E268">
        <f>Superstore_Sales[[#This Row],[Ship Date]]-Superstore_Sales[[#This Row],[Order Date]]</f>
        <v>7</v>
      </c>
      <c r="F268" t="s">
        <v>98</v>
      </c>
      <c r="G268" t="s">
        <v>1550</v>
      </c>
      <c r="H268" t="s">
        <v>1551</v>
      </c>
      <c r="I268" t="s">
        <v>65</v>
      </c>
      <c r="K268" t="s">
        <v>1552</v>
      </c>
      <c r="L268" t="s">
        <v>831</v>
      </c>
      <c r="M268" t="s">
        <v>134</v>
      </c>
      <c r="N268" t="s">
        <v>135</v>
      </c>
      <c r="O268" t="s">
        <v>136</v>
      </c>
      <c r="P268" t="s">
        <v>1553</v>
      </c>
      <c r="Q268" t="s">
        <v>50</v>
      </c>
      <c r="R268" t="s">
        <v>104</v>
      </c>
      <c r="S268" t="s">
        <v>1554</v>
      </c>
      <c r="T268">
        <v>2332.96</v>
      </c>
      <c r="U268">
        <v>5</v>
      </c>
      <c r="V268">
        <v>0.2</v>
      </c>
      <c r="W268">
        <v>349.86</v>
      </c>
      <c r="X268">
        <v>357.78899999999999</v>
      </c>
      <c r="Y268" t="s">
        <v>164</v>
      </c>
      <c r="Z268">
        <f>Superstore_Sales[[#This Row],[Sales]]*Superstore_Sales[[#This Row],[Quantity]]</f>
        <v>11664.8</v>
      </c>
      <c r="AA268" s="3">
        <f>Superstore_Sales[[#This Row],[TotalSales]]*Superstore_Sales[[#This Row],[Discount]]/100</f>
        <v>23.329599999999999</v>
      </c>
      <c r="AB268" s="2">
        <f>Superstore_Sales[[#This Row],[TotalSales]]-Superstore_Sales[[#This Row],[Dis_amt]]-Superstore_Sales[[#This Row],[Shipping Cost]]</f>
        <v>11283.681399999999</v>
      </c>
    </row>
    <row r="269" spans="1:28" x14ac:dyDescent="0.35">
      <c r="A269">
        <v>31293</v>
      </c>
      <c r="B269" t="s">
        <v>1555</v>
      </c>
      <c r="C269" s="1">
        <v>41514</v>
      </c>
      <c r="D269" s="1">
        <v>41514</v>
      </c>
      <c r="E269">
        <f>Superstore_Sales[[#This Row],[Ship Date]]-Superstore_Sales[[#This Row],[Order Date]]</f>
        <v>0</v>
      </c>
      <c r="F269" t="s">
        <v>73</v>
      </c>
      <c r="G269" t="s">
        <v>1556</v>
      </c>
      <c r="H269" t="s">
        <v>1423</v>
      </c>
      <c r="I269" t="s">
        <v>65</v>
      </c>
      <c r="K269" t="s">
        <v>286</v>
      </c>
      <c r="L269" t="s">
        <v>58</v>
      </c>
      <c r="M269" t="s">
        <v>46</v>
      </c>
      <c r="N269" t="s">
        <v>47</v>
      </c>
      <c r="O269" t="s">
        <v>48</v>
      </c>
      <c r="P269" t="s">
        <v>1517</v>
      </c>
      <c r="Q269" t="s">
        <v>50</v>
      </c>
      <c r="R269" t="s">
        <v>336</v>
      </c>
      <c r="S269" t="s">
        <v>1518</v>
      </c>
      <c r="T269">
        <v>1582.2</v>
      </c>
      <c r="U269">
        <v>6</v>
      </c>
      <c r="V269">
        <v>0.4</v>
      </c>
      <c r="W269">
        <v>-870.3</v>
      </c>
      <c r="X269">
        <v>357.21</v>
      </c>
      <c r="Y269" t="s">
        <v>53</v>
      </c>
      <c r="Z269">
        <f>Superstore_Sales[[#This Row],[Sales]]*Superstore_Sales[[#This Row],[Quantity]]</f>
        <v>9493.2000000000007</v>
      </c>
      <c r="AA269" s="3">
        <f>Superstore_Sales[[#This Row],[TotalSales]]*Superstore_Sales[[#This Row],[Discount]]/100</f>
        <v>37.972800000000007</v>
      </c>
      <c r="AB269" s="2">
        <f>Superstore_Sales[[#This Row],[TotalSales]]-Superstore_Sales[[#This Row],[Dis_amt]]-Superstore_Sales[[#This Row],[Shipping Cost]]</f>
        <v>9098.017200000002</v>
      </c>
    </row>
    <row r="270" spans="1:28" x14ac:dyDescent="0.35">
      <c r="A270">
        <v>31033</v>
      </c>
      <c r="B270" t="s">
        <v>1557</v>
      </c>
      <c r="C270" s="1">
        <v>41852</v>
      </c>
      <c r="D270" s="1">
        <v>41855</v>
      </c>
      <c r="E270">
        <f>Superstore_Sales[[#This Row],[Ship Date]]-Superstore_Sales[[#This Row],[Order Date]]</f>
        <v>3</v>
      </c>
      <c r="F270" t="s">
        <v>40</v>
      </c>
      <c r="G270" t="s">
        <v>1558</v>
      </c>
      <c r="H270" t="s">
        <v>1559</v>
      </c>
      <c r="I270" t="s">
        <v>43</v>
      </c>
      <c r="K270" t="s">
        <v>1560</v>
      </c>
      <c r="L270" t="s">
        <v>1561</v>
      </c>
      <c r="M270" t="s">
        <v>46</v>
      </c>
      <c r="N270" t="s">
        <v>47</v>
      </c>
      <c r="O270" t="s">
        <v>48</v>
      </c>
      <c r="P270" t="s">
        <v>1562</v>
      </c>
      <c r="Q270" t="s">
        <v>50</v>
      </c>
      <c r="R270" t="s">
        <v>104</v>
      </c>
      <c r="S270" t="s">
        <v>1563</v>
      </c>
      <c r="T270">
        <v>1512</v>
      </c>
      <c r="U270">
        <v>6</v>
      </c>
      <c r="V270">
        <v>0</v>
      </c>
      <c r="W270">
        <v>498.96</v>
      </c>
      <c r="X270">
        <v>356.84</v>
      </c>
      <c r="Y270" t="s">
        <v>53</v>
      </c>
      <c r="Z270">
        <f>Superstore_Sales[[#This Row],[Sales]]*Superstore_Sales[[#This Row],[Quantity]]</f>
        <v>9072</v>
      </c>
      <c r="AA270" s="3">
        <f>Superstore_Sales[[#This Row],[TotalSales]]*Superstore_Sales[[#This Row],[Discount]]/100</f>
        <v>0</v>
      </c>
      <c r="AB270" s="2">
        <f>Superstore_Sales[[#This Row],[TotalSales]]-Superstore_Sales[[#This Row],[Dis_amt]]-Superstore_Sales[[#This Row],[Shipping Cost]]</f>
        <v>8715.16</v>
      </c>
    </row>
    <row r="271" spans="1:28" x14ac:dyDescent="0.35">
      <c r="A271">
        <v>49752</v>
      </c>
      <c r="B271" t="s">
        <v>1564</v>
      </c>
      <c r="C271" s="1">
        <v>42362</v>
      </c>
      <c r="D271" s="1">
        <v>42365</v>
      </c>
      <c r="E271">
        <f>Superstore_Sales[[#This Row],[Ship Date]]-Superstore_Sales[[#This Row],[Order Date]]</f>
        <v>3</v>
      </c>
      <c r="F271" t="s">
        <v>25</v>
      </c>
      <c r="G271" t="s">
        <v>1565</v>
      </c>
      <c r="H271" t="s">
        <v>1566</v>
      </c>
      <c r="I271" t="s">
        <v>28</v>
      </c>
      <c r="K271" t="s">
        <v>1567</v>
      </c>
      <c r="L271" t="s">
        <v>1568</v>
      </c>
      <c r="M271" t="s">
        <v>1099</v>
      </c>
      <c r="N271" t="s">
        <v>1100</v>
      </c>
      <c r="O271" t="s">
        <v>79</v>
      </c>
      <c r="P271" t="s">
        <v>295</v>
      </c>
      <c r="Q271" t="s">
        <v>35</v>
      </c>
      <c r="R271" t="s">
        <v>36</v>
      </c>
      <c r="S271" t="s">
        <v>296</v>
      </c>
      <c r="T271">
        <v>2550</v>
      </c>
      <c r="U271">
        <v>4</v>
      </c>
      <c r="V271">
        <v>0</v>
      </c>
      <c r="W271">
        <v>714</v>
      </c>
      <c r="X271">
        <v>355.92</v>
      </c>
      <c r="Y271" t="s">
        <v>61</v>
      </c>
      <c r="Z271">
        <f>Superstore_Sales[[#This Row],[Sales]]*Superstore_Sales[[#This Row],[Quantity]]</f>
        <v>10200</v>
      </c>
      <c r="AA271" s="3">
        <f>Superstore_Sales[[#This Row],[TotalSales]]*Superstore_Sales[[#This Row],[Discount]]/100</f>
        <v>0</v>
      </c>
      <c r="AB271" s="2">
        <f>Superstore_Sales[[#This Row],[TotalSales]]-Superstore_Sales[[#This Row],[Dis_amt]]-Superstore_Sales[[#This Row],[Shipping Cost]]</f>
        <v>9844.08</v>
      </c>
    </row>
    <row r="272" spans="1:28" x14ac:dyDescent="0.35">
      <c r="A272">
        <v>20145</v>
      </c>
      <c r="B272" t="s">
        <v>1569</v>
      </c>
      <c r="C272" s="1">
        <v>41327</v>
      </c>
      <c r="D272" s="1">
        <v>41330</v>
      </c>
      <c r="E272">
        <f>Superstore_Sales[[#This Row],[Ship Date]]-Superstore_Sales[[#This Row],[Order Date]]</f>
        <v>3</v>
      </c>
      <c r="F272" t="s">
        <v>25</v>
      </c>
      <c r="G272" t="s">
        <v>1570</v>
      </c>
      <c r="H272" t="s">
        <v>1571</v>
      </c>
      <c r="I272" t="s">
        <v>65</v>
      </c>
      <c r="K272" t="s">
        <v>1572</v>
      </c>
      <c r="L272" t="s">
        <v>310</v>
      </c>
      <c r="M272" t="s">
        <v>210</v>
      </c>
      <c r="N272" t="s">
        <v>211</v>
      </c>
      <c r="O272" t="s">
        <v>69</v>
      </c>
      <c r="P272" t="s">
        <v>1573</v>
      </c>
      <c r="Q272" t="s">
        <v>50</v>
      </c>
      <c r="R272" t="s">
        <v>51</v>
      </c>
      <c r="S272" t="s">
        <v>1574</v>
      </c>
      <c r="T272">
        <v>2285.6999999999998</v>
      </c>
      <c r="U272">
        <v>5</v>
      </c>
      <c r="V272">
        <v>0</v>
      </c>
      <c r="W272">
        <v>845.7</v>
      </c>
      <c r="X272">
        <v>355.06</v>
      </c>
      <c r="Y272" t="s">
        <v>38</v>
      </c>
      <c r="Z272">
        <f>Superstore_Sales[[#This Row],[Sales]]*Superstore_Sales[[#This Row],[Quantity]]</f>
        <v>11428.5</v>
      </c>
      <c r="AA272" s="3">
        <f>Superstore_Sales[[#This Row],[TotalSales]]*Superstore_Sales[[#This Row],[Discount]]/100</f>
        <v>0</v>
      </c>
      <c r="AB272" s="2">
        <f>Superstore_Sales[[#This Row],[TotalSales]]-Superstore_Sales[[#This Row],[Dis_amt]]-Superstore_Sales[[#This Row],[Shipping Cost]]</f>
        <v>11073.44</v>
      </c>
    </row>
    <row r="273" spans="1:28" x14ac:dyDescent="0.35">
      <c r="A273">
        <v>24211</v>
      </c>
      <c r="B273" t="s">
        <v>1575</v>
      </c>
      <c r="C273" s="1">
        <v>42288</v>
      </c>
      <c r="D273" s="1">
        <v>42290</v>
      </c>
      <c r="E273">
        <f>Superstore_Sales[[#This Row],[Ship Date]]-Superstore_Sales[[#This Row],[Order Date]]</f>
        <v>2</v>
      </c>
      <c r="F273" t="s">
        <v>40</v>
      </c>
      <c r="G273" t="s">
        <v>1576</v>
      </c>
      <c r="H273" t="s">
        <v>1577</v>
      </c>
      <c r="I273" t="s">
        <v>28</v>
      </c>
      <c r="K273" t="s">
        <v>572</v>
      </c>
      <c r="L273" t="s">
        <v>573</v>
      </c>
      <c r="M273" t="s">
        <v>321</v>
      </c>
      <c r="N273" t="s">
        <v>322</v>
      </c>
      <c r="O273" t="s">
        <v>48</v>
      </c>
      <c r="P273" t="s">
        <v>1578</v>
      </c>
      <c r="Q273" t="s">
        <v>50</v>
      </c>
      <c r="R273" t="s">
        <v>336</v>
      </c>
      <c r="S273" t="s">
        <v>1579</v>
      </c>
      <c r="T273">
        <v>1029.26</v>
      </c>
      <c r="U273">
        <v>9</v>
      </c>
      <c r="V273">
        <v>7.0000000000000007E-2</v>
      </c>
      <c r="W273">
        <v>10.82</v>
      </c>
      <c r="X273">
        <v>354.47</v>
      </c>
      <c r="Y273" t="s">
        <v>53</v>
      </c>
      <c r="Z273">
        <f>Superstore_Sales[[#This Row],[Sales]]*Superstore_Sales[[#This Row],[Quantity]]</f>
        <v>9263.34</v>
      </c>
      <c r="AA273" s="3">
        <f>Superstore_Sales[[#This Row],[TotalSales]]*Superstore_Sales[[#This Row],[Discount]]/100</f>
        <v>6.4843380000000002</v>
      </c>
      <c r="AB273" s="2">
        <f>Superstore_Sales[[#This Row],[TotalSales]]-Superstore_Sales[[#This Row],[Dis_amt]]-Superstore_Sales[[#This Row],[Shipping Cost]]</f>
        <v>8902.3856620000006</v>
      </c>
    </row>
    <row r="274" spans="1:28" x14ac:dyDescent="0.35">
      <c r="A274">
        <v>4027</v>
      </c>
      <c r="B274" t="s">
        <v>1580</v>
      </c>
      <c r="C274" s="1">
        <v>42115</v>
      </c>
      <c r="D274" s="1">
        <v>42117</v>
      </c>
      <c r="E274">
        <f>Superstore_Sales[[#This Row],[Ship Date]]-Superstore_Sales[[#This Row],[Order Date]]</f>
        <v>2</v>
      </c>
      <c r="F274" t="s">
        <v>40</v>
      </c>
      <c r="G274" t="s">
        <v>1581</v>
      </c>
      <c r="H274" t="s">
        <v>1582</v>
      </c>
      <c r="I274" t="s">
        <v>43</v>
      </c>
      <c r="K274" t="s">
        <v>895</v>
      </c>
      <c r="L274" t="s">
        <v>896</v>
      </c>
      <c r="M274" t="s">
        <v>896</v>
      </c>
      <c r="N274" t="s">
        <v>220</v>
      </c>
      <c r="O274" t="s">
        <v>136</v>
      </c>
      <c r="P274" t="s">
        <v>785</v>
      </c>
      <c r="Q274" t="s">
        <v>35</v>
      </c>
      <c r="R274" t="s">
        <v>81</v>
      </c>
      <c r="S274" t="s">
        <v>786</v>
      </c>
      <c r="T274">
        <v>1058.28</v>
      </c>
      <c r="U274">
        <v>5</v>
      </c>
      <c r="V274">
        <v>2E-3</v>
      </c>
      <c r="W274">
        <v>-2.12</v>
      </c>
      <c r="X274">
        <v>354.423</v>
      </c>
      <c r="Y274" t="s">
        <v>53</v>
      </c>
      <c r="Z274">
        <f>Superstore_Sales[[#This Row],[Sales]]*Superstore_Sales[[#This Row],[Quantity]]</f>
        <v>5291.4</v>
      </c>
      <c r="AA274" s="3">
        <f>Superstore_Sales[[#This Row],[TotalSales]]*Superstore_Sales[[#This Row],[Discount]]/100</f>
        <v>0.10582799999999999</v>
      </c>
      <c r="AB274" s="2">
        <f>Superstore_Sales[[#This Row],[TotalSales]]-Superstore_Sales[[#This Row],[Dis_amt]]-Superstore_Sales[[#This Row],[Shipping Cost]]</f>
        <v>4936.8711720000001</v>
      </c>
    </row>
    <row r="275" spans="1:28" x14ac:dyDescent="0.35">
      <c r="A275">
        <v>23212</v>
      </c>
      <c r="B275" t="s">
        <v>1583</v>
      </c>
      <c r="C275" s="1">
        <v>41802</v>
      </c>
      <c r="D275" s="1">
        <v>41807</v>
      </c>
      <c r="E275">
        <f>Superstore_Sales[[#This Row],[Ship Date]]-Superstore_Sales[[#This Row],[Order Date]]</f>
        <v>5</v>
      </c>
      <c r="F275" t="s">
        <v>98</v>
      </c>
      <c r="G275" t="s">
        <v>1584</v>
      </c>
      <c r="H275" t="s">
        <v>1585</v>
      </c>
      <c r="I275" t="s">
        <v>28</v>
      </c>
      <c r="K275" t="s">
        <v>1586</v>
      </c>
      <c r="L275" t="s">
        <v>1587</v>
      </c>
      <c r="M275" t="s">
        <v>258</v>
      </c>
      <c r="N275" t="s">
        <v>118</v>
      </c>
      <c r="O275" t="s">
        <v>48</v>
      </c>
      <c r="P275" t="s">
        <v>701</v>
      </c>
      <c r="Q275" t="s">
        <v>35</v>
      </c>
      <c r="R275" t="s">
        <v>36</v>
      </c>
      <c r="S275" t="s">
        <v>702</v>
      </c>
      <c r="T275">
        <v>5751.54</v>
      </c>
      <c r="U275">
        <v>9</v>
      </c>
      <c r="V275">
        <v>0</v>
      </c>
      <c r="W275">
        <v>2817.99</v>
      </c>
      <c r="X275">
        <v>353.85</v>
      </c>
      <c r="Y275" t="s">
        <v>61</v>
      </c>
      <c r="Z275">
        <f>Superstore_Sales[[#This Row],[Sales]]*Superstore_Sales[[#This Row],[Quantity]]</f>
        <v>51763.86</v>
      </c>
      <c r="AA275" s="3">
        <f>Superstore_Sales[[#This Row],[TotalSales]]*Superstore_Sales[[#This Row],[Discount]]/100</f>
        <v>0</v>
      </c>
      <c r="AB275" s="2">
        <f>Superstore_Sales[[#This Row],[TotalSales]]-Superstore_Sales[[#This Row],[Dis_amt]]-Superstore_Sales[[#This Row],[Shipping Cost]]</f>
        <v>51410.01</v>
      </c>
    </row>
    <row r="276" spans="1:28" x14ac:dyDescent="0.35">
      <c r="A276">
        <v>14952</v>
      </c>
      <c r="B276" t="s">
        <v>1588</v>
      </c>
      <c r="C276" s="1">
        <v>41899</v>
      </c>
      <c r="D276" s="1">
        <v>41902</v>
      </c>
      <c r="E276">
        <f>Superstore_Sales[[#This Row],[Ship Date]]-Superstore_Sales[[#This Row],[Order Date]]</f>
        <v>3</v>
      </c>
      <c r="F276" t="s">
        <v>25</v>
      </c>
      <c r="G276" t="s">
        <v>1589</v>
      </c>
      <c r="H276" t="s">
        <v>1590</v>
      </c>
      <c r="I276" t="s">
        <v>65</v>
      </c>
      <c r="K276" t="s">
        <v>436</v>
      </c>
      <c r="L276" t="s">
        <v>437</v>
      </c>
      <c r="M276" t="s">
        <v>67</v>
      </c>
      <c r="N276" t="s">
        <v>68</v>
      </c>
      <c r="O276" t="s">
        <v>69</v>
      </c>
      <c r="P276" t="s">
        <v>1591</v>
      </c>
      <c r="Q276" t="s">
        <v>50</v>
      </c>
      <c r="R276" t="s">
        <v>336</v>
      </c>
      <c r="S276" t="s">
        <v>1592</v>
      </c>
      <c r="T276">
        <v>2442.0700000000002</v>
      </c>
      <c r="U276">
        <v>7</v>
      </c>
      <c r="V276">
        <v>0.1</v>
      </c>
      <c r="W276">
        <v>-244.25</v>
      </c>
      <c r="X276">
        <v>353.57</v>
      </c>
      <c r="Y276" t="s">
        <v>38</v>
      </c>
      <c r="Z276">
        <f>Superstore_Sales[[#This Row],[Sales]]*Superstore_Sales[[#This Row],[Quantity]]</f>
        <v>17094.490000000002</v>
      </c>
      <c r="AA276" s="3">
        <f>Superstore_Sales[[#This Row],[TotalSales]]*Superstore_Sales[[#This Row],[Discount]]/100</f>
        <v>17.094490000000004</v>
      </c>
      <c r="AB276" s="2">
        <f>Superstore_Sales[[#This Row],[TotalSales]]-Superstore_Sales[[#This Row],[Dis_amt]]-Superstore_Sales[[#This Row],[Shipping Cost]]</f>
        <v>16723.825510000002</v>
      </c>
    </row>
    <row r="277" spans="1:28" x14ac:dyDescent="0.35">
      <c r="A277">
        <v>30312</v>
      </c>
      <c r="B277" t="s">
        <v>1593</v>
      </c>
      <c r="C277" s="1">
        <v>42266</v>
      </c>
      <c r="D277" s="1">
        <v>42266</v>
      </c>
      <c r="E277">
        <f>Superstore_Sales[[#This Row],[Ship Date]]-Superstore_Sales[[#This Row],[Order Date]]</f>
        <v>0</v>
      </c>
      <c r="F277" t="s">
        <v>73</v>
      </c>
      <c r="G277" t="s">
        <v>1594</v>
      </c>
      <c r="H277" t="s">
        <v>1595</v>
      </c>
      <c r="I277" t="s">
        <v>65</v>
      </c>
      <c r="K277" t="s">
        <v>1596</v>
      </c>
      <c r="L277" t="s">
        <v>1597</v>
      </c>
      <c r="M277" t="s">
        <v>94</v>
      </c>
      <c r="N277" t="s">
        <v>47</v>
      </c>
      <c r="O277" t="s">
        <v>48</v>
      </c>
      <c r="P277" t="s">
        <v>1598</v>
      </c>
      <c r="Q277" t="s">
        <v>147</v>
      </c>
      <c r="R277" t="s">
        <v>162</v>
      </c>
      <c r="S277" t="s">
        <v>1599</v>
      </c>
      <c r="T277">
        <v>1190.52</v>
      </c>
      <c r="U277">
        <v>6</v>
      </c>
      <c r="V277">
        <v>0</v>
      </c>
      <c r="W277">
        <v>178.56</v>
      </c>
      <c r="X277">
        <v>353.42</v>
      </c>
      <c r="Y277" t="s">
        <v>53</v>
      </c>
      <c r="Z277">
        <f>Superstore_Sales[[#This Row],[Sales]]*Superstore_Sales[[#This Row],[Quantity]]</f>
        <v>7143.12</v>
      </c>
      <c r="AA277" s="3">
        <f>Superstore_Sales[[#This Row],[TotalSales]]*Superstore_Sales[[#This Row],[Discount]]/100</f>
        <v>0</v>
      </c>
      <c r="AB277" s="2">
        <f>Superstore_Sales[[#This Row],[TotalSales]]-Superstore_Sales[[#This Row],[Dis_amt]]-Superstore_Sales[[#This Row],[Shipping Cost]]</f>
        <v>6789.7</v>
      </c>
    </row>
    <row r="278" spans="1:28" x14ac:dyDescent="0.35">
      <c r="A278">
        <v>11657</v>
      </c>
      <c r="B278" t="s">
        <v>1600</v>
      </c>
      <c r="C278" s="1">
        <v>42334</v>
      </c>
      <c r="D278" s="1">
        <v>42341</v>
      </c>
      <c r="E278">
        <f>Superstore_Sales[[#This Row],[Ship Date]]-Superstore_Sales[[#This Row],[Order Date]]</f>
        <v>7</v>
      </c>
      <c r="F278" t="s">
        <v>98</v>
      </c>
      <c r="G278" t="s">
        <v>1601</v>
      </c>
      <c r="H278" t="s">
        <v>1602</v>
      </c>
      <c r="I278" t="s">
        <v>28</v>
      </c>
      <c r="K278" t="s">
        <v>1603</v>
      </c>
      <c r="L278" t="s">
        <v>154</v>
      </c>
      <c r="M278" t="s">
        <v>155</v>
      </c>
      <c r="N278" t="s">
        <v>68</v>
      </c>
      <c r="O278" t="s">
        <v>69</v>
      </c>
      <c r="P278" t="s">
        <v>915</v>
      </c>
      <c r="Q278" t="s">
        <v>147</v>
      </c>
      <c r="R278" t="s">
        <v>148</v>
      </c>
      <c r="S278" t="s">
        <v>916</v>
      </c>
      <c r="T278">
        <v>3150.82</v>
      </c>
      <c r="U278">
        <v>7</v>
      </c>
      <c r="V278">
        <v>0.1</v>
      </c>
      <c r="W278">
        <v>-35.090000000000003</v>
      </c>
      <c r="X278">
        <v>353.04</v>
      </c>
      <c r="Y278" t="s">
        <v>61</v>
      </c>
      <c r="Z278">
        <f>Superstore_Sales[[#This Row],[Sales]]*Superstore_Sales[[#This Row],[Quantity]]</f>
        <v>22055.74</v>
      </c>
      <c r="AA278" s="3">
        <f>Superstore_Sales[[#This Row],[TotalSales]]*Superstore_Sales[[#This Row],[Discount]]/100</f>
        <v>22.05574</v>
      </c>
      <c r="AB278" s="2">
        <f>Superstore_Sales[[#This Row],[TotalSales]]-Superstore_Sales[[#This Row],[Dis_amt]]-Superstore_Sales[[#This Row],[Shipping Cost]]</f>
        <v>21680.644260000001</v>
      </c>
    </row>
    <row r="279" spans="1:28" x14ac:dyDescent="0.35">
      <c r="A279">
        <v>26759</v>
      </c>
      <c r="B279" t="s">
        <v>1604</v>
      </c>
      <c r="C279" s="1">
        <v>42175</v>
      </c>
      <c r="D279" s="1">
        <v>42181</v>
      </c>
      <c r="E279">
        <f>Superstore_Sales[[#This Row],[Ship Date]]-Superstore_Sales[[#This Row],[Order Date]]</f>
        <v>6</v>
      </c>
      <c r="F279" t="s">
        <v>98</v>
      </c>
      <c r="G279" t="s">
        <v>1605</v>
      </c>
      <c r="H279" t="s">
        <v>1606</v>
      </c>
      <c r="I279" t="s">
        <v>43</v>
      </c>
      <c r="K279" t="s">
        <v>1607</v>
      </c>
      <c r="L279" t="s">
        <v>1607</v>
      </c>
      <c r="M279" t="s">
        <v>144</v>
      </c>
      <c r="N279" t="s">
        <v>145</v>
      </c>
      <c r="O279" t="s">
        <v>48</v>
      </c>
      <c r="P279" t="s">
        <v>1361</v>
      </c>
      <c r="Q279" t="s">
        <v>50</v>
      </c>
      <c r="R279" t="s">
        <v>336</v>
      </c>
      <c r="S279" t="s">
        <v>1362</v>
      </c>
      <c r="T279">
        <v>2063.4</v>
      </c>
      <c r="U279">
        <v>5</v>
      </c>
      <c r="V279">
        <v>0</v>
      </c>
      <c r="W279">
        <v>123.75</v>
      </c>
      <c r="X279">
        <v>352.64</v>
      </c>
      <c r="Y279" t="s">
        <v>164</v>
      </c>
      <c r="Z279">
        <f>Superstore_Sales[[#This Row],[Sales]]*Superstore_Sales[[#This Row],[Quantity]]</f>
        <v>10317</v>
      </c>
      <c r="AA279" s="3">
        <f>Superstore_Sales[[#This Row],[TotalSales]]*Superstore_Sales[[#This Row],[Discount]]/100</f>
        <v>0</v>
      </c>
      <c r="AB279" s="2">
        <f>Superstore_Sales[[#This Row],[TotalSales]]-Superstore_Sales[[#This Row],[Dis_amt]]-Superstore_Sales[[#This Row],[Shipping Cost]]</f>
        <v>9964.36</v>
      </c>
    </row>
    <row r="280" spans="1:28" x14ac:dyDescent="0.35">
      <c r="A280">
        <v>50837</v>
      </c>
      <c r="B280" t="s">
        <v>1608</v>
      </c>
      <c r="C280" s="1">
        <v>42300</v>
      </c>
      <c r="D280" s="1">
        <v>42302</v>
      </c>
      <c r="E280">
        <f>Superstore_Sales[[#This Row],[Ship Date]]-Superstore_Sales[[#This Row],[Order Date]]</f>
        <v>2</v>
      </c>
      <c r="F280" t="s">
        <v>25</v>
      </c>
      <c r="G280" t="s">
        <v>1609</v>
      </c>
      <c r="H280" t="s">
        <v>1011</v>
      </c>
      <c r="I280" t="s">
        <v>65</v>
      </c>
      <c r="K280" t="s">
        <v>1610</v>
      </c>
      <c r="L280" t="s">
        <v>1611</v>
      </c>
      <c r="M280" t="s">
        <v>1612</v>
      </c>
      <c r="N280" t="s">
        <v>195</v>
      </c>
      <c r="O280" t="s">
        <v>69</v>
      </c>
      <c r="P280" t="s">
        <v>1613</v>
      </c>
      <c r="Q280" t="s">
        <v>147</v>
      </c>
      <c r="R280" t="s">
        <v>162</v>
      </c>
      <c r="S280" t="s">
        <v>1614</v>
      </c>
      <c r="T280">
        <v>1269.9000000000001</v>
      </c>
      <c r="U280">
        <v>6</v>
      </c>
      <c r="V280">
        <v>0</v>
      </c>
      <c r="W280">
        <v>558.72</v>
      </c>
      <c r="X280">
        <v>352.52</v>
      </c>
      <c r="Y280" t="s">
        <v>38</v>
      </c>
      <c r="Z280">
        <f>Superstore_Sales[[#This Row],[Sales]]*Superstore_Sales[[#This Row],[Quantity]]</f>
        <v>7619.4000000000005</v>
      </c>
      <c r="AA280" s="3">
        <f>Superstore_Sales[[#This Row],[TotalSales]]*Superstore_Sales[[#This Row],[Discount]]/100</f>
        <v>0</v>
      </c>
      <c r="AB280" s="2">
        <f>Superstore_Sales[[#This Row],[TotalSales]]-Superstore_Sales[[#This Row],[Dis_amt]]-Superstore_Sales[[#This Row],[Shipping Cost]]</f>
        <v>7266.880000000001</v>
      </c>
    </row>
    <row r="281" spans="1:28" x14ac:dyDescent="0.35">
      <c r="A281">
        <v>20869</v>
      </c>
      <c r="B281" t="s">
        <v>1615</v>
      </c>
      <c r="C281" s="1">
        <v>41136</v>
      </c>
      <c r="D281" s="1">
        <v>41140</v>
      </c>
      <c r="E281">
        <f>Superstore_Sales[[#This Row],[Ship Date]]-Superstore_Sales[[#This Row],[Order Date]]</f>
        <v>4</v>
      </c>
      <c r="F281" t="s">
        <v>98</v>
      </c>
      <c r="G281" t="s">
        <v>1616</v>
      </c>
      <c r="H281" t="s">
        <v>1617</v>
      </c>
      <c r="I281" t="s">
        <v>43</v>
      </c>
      <c r="K281" t="s">
        <v>1618</v>
      </c>
      <c r="L281" t="s">
        <v>1418</v>
      </c>
      <c r="M281" t="s">
        <v>258</v>
      </c>
      <c r="N281" t="s">
        <v>118</v>
      </c>
      <c r="O281" t="s">
        <v>48</v>
      </c>
      <c r="P281" t="s">
        <v>736</v>
      </c>
      <c r="Q281" t="s">
        <v>50</v>
      </c>
      <c r="R281" t="s">
        <v>336</v>
      </c>
      <c r="S281" t="s">
        <v>737</v>
      </c>
      <c r="T281">
        <v>3274.02</v>
      </c>
      <c r="U281">
        <v>9</v>
      </c>
      <c r="V281">
        <v>0</v>
      </c>
      <c r="W281">
        <v>261.89999999999998</v>
      </c>
      <c r="X281">
        <v>351.08</v>
      </c>
      <c r="Y281" t="s">
        <v>61</v>
      </c>
      <c r="Z281">
        <f>Superstore_Sales[[#This Row],[Sales]]*Superstore_Sales[[#This Row],[Quantity]]</f>
        <v>29466.18</v>
      </c>
      <c r="AA281" s="3">
        <f>Superstore_Sales[[#This Row],[TotalSales]]*Superstore_Sales[[#This Row],[Discount]]/100</f>
        <v>0</v>
      </c>
      <c r="AB281" s="2">
        <f>Superstore_Sales[[#This Row],[TotalSales]]-Superstore_Sales[[#This Row],[Dis_amt]]-Superstore_Sales[[#This Row],[Shipping Cost]]</f>
        <v>29115.1</v>
      </c>
    </row>
    <row r="282" spans="1:28" x14ac:dyDescent="0.35">
      <c r="A282">
        <v>33698</v>
      </c>
      <c r="B282" t="s">
        <v>1619</v>
      </c>
      <c r="C282" s="1">
        <v>42096</v>
      </c>
      <c r="D282" s="1">
        <v>42099</v>
      </c>
      <c r="E282">
        <f>Superstore_Sales[[#This Row],[Ship Date]]-Superstore_Sales[[#This Row],[Order Date]]</f>
        <v>3</v>
      </c>
      <c r="F282" t="s">
        <v>40</v>
      </c>
      <c r="G282" t="s">
        <v>1473</v>
      </c>
      <c r="H282" t="s">
        <v>1466</v>
      </c>
      <c r="I282" t="s">
        <v>28</v>
      </c>
      <c r="J282">
        <v>65807</v>
      </c>
      <c r="K282" t="s">
        <v>1474</v>
      </c>
      <c r="L282" t="s">
        <v>1475</v>
      </c>
      <c r="M282" t="s">
        <v>31</v>
      </c>
      <c r="N282" t="s">
        <v>32</v>
      </c>
      <c r="O282" t="s">
        <v>33</v>
      </c>
      <c r="P282" t="s">
        <v>695</v>
      </c>
      <c r="Q282" t="s">
        <v>147</v>
      </c>
      <c r="R282" t="s">
        <v>162</v>
      </c>
      <c r="S282" t="s">
        <v>696</v>
      </c>
      <c r="T282">
        <v>94.2</v>
      </c>
      <c r="U282">
        <v>6</v>
      </c>
      <c r="V282">
        <v>0</v>
      </c>
      <c r="W282">
        <v>23.55</v>
      </c>
      <c r="X282">
        <v>12.42</v>
      </c>
      <c r="Y282" t="s">
        <v>38</v>
      </c>
      <c r="Z282">
        <f>Superstore_Sales[[#This Row],[Sales]]*Superstore_Sales[[#This Row],[Quantity]]</f>
        <v>565.20000000000005</v>
      </c>
      <c r="AA282" s="3">
        <f>Superstore_Sales[[#This Row],[TotalSales]]*Superstore_Sales[[#This Row],[Discount]]/100</f>
        <v>0</v>
      </c>
      <c r="AB282" s="2">
        <f>Superstore_Sales[[#This Row],[TotalSales]]-Superstore_Sales[[#This Row],[Dis_amt]]-Superstore_Sales[[#This Row],[Shipping Cost]]</f>
        <v>552.78000000000009</v>
      </c>
    </row>
    <row r="283" spans="1:28" x14ac:dyDescent="0.35">
      <c r="A283">
        <v>15132</v>
      </c>
      <c r="B283" t="s">
        <v>1620</v>
      </c>
      <c r="C283" s="1">
        <v>42018</v>
      </c>
      <c r="D283" s="1">
        <v>42020</v>
      </c>
      <c r="E283">
        <f>Superstore_Sales[[#This Row],[Ship Date]]-Superstore_Sales[[#This Row],[Order Date]]</f>
        <v>2</v>
      </c>
      <c r="F283" t="s">
        <v>25</v>
      </c>
      <c r="G283" t="s">
        <v>1621</v>
      </c>
      <c r="H283" t="s">
        <v>1622</v>
      </c>
      <c r="I283" t="s">
        <v>28</v>
      </c>
      <c r="K283" t="s">
        <v>1623</v>
      </c>
      <c r="L283" t="s">
        <v>1624</v>
      </c>
      <c r="M283" t="s">
        <v>170</v>
      </c>
      <c r="N283" t="s">
        <v>171</v>
      </c>
      <c r="O283" t="s">
        <v>69</v>
      </c>
      <c r="P283" t="s">
        <v>713</v>
      </c>
      <c r="Q283" t="s">
        <v>35</v>
      </c>
      <c r="R283" t="s">
        <v>81</v>
      </c>
      <c r="S283" t="s">
        <v>714</v>
      </c>
      <c r="T283">
        <v>2847.36</v>
      </c>
      <c r="U283">
        <v>8</v>
      </c>
      <c r="V283">
        <v>0</v>
      </c>
      <c r="W283">
        <v>711.84</v>
      </c>
      <c r="X283">
        <v>350.68</v>
      </c>
      <c r="Y283" t="s">
        <v>38</v>
      </c>
      <c r="Z283">
        <f>Superstore_Sales[[#This Row],[Sales]]*Superstore_Sales[[#This Row],[Quantity]]</f>
        <v>22778.880000000001</v>
      </c>
      <c r="AA283" s="3">
        <f>Superstore_Sales[[#This Row],[TotalSales]]*Superstore_Sales[[#This Row],[Discount]]/100</f>
        <v>0</v>
      </c>
      <c r="AB283" s="2">
        <f>Superstore_Sales[[#This Row],[TotalSales]]-Superstore_Sales[[#This Row],[Dis_amt]]-Superstore_Sales[[#This Row],[Shipping Cost]]</f>
        <v>22428.2</v>
      </c>
    </row>
    <row r="284" spans="1:28" x14ac:dyDescent="0.35">
      <c r="A284">
        <v>27129</v>
      </c>
      <c r="B284" t="s">
        <v>1625</v>
      </c>
      <c r="C284" s="1">
        <v>42321</v>
      </c>
      <c r="D284" s="1">
        <v>42323</v>
      </c>
      <c r="E284">
        <f>Superstore_Sales[[#This Row],[Ship Date]]-Superstore_Sales[[#This Row],[Order Date]]</f>
        <v>2</v>
      </c>
      <c r="F284" t="s">
        <v>40</v>
      </c>
      <c r="G284" t="s">
        <v>1626</v>
      </c>
      <c r="H284" t="s">
        <v>131</v>
      </c>
      <c r="I284" t="s">
        <v>65</v>
      </c>
      <c r="K284" t="s">
        <v>609</v>
      </c>
      <c r="L284" t="s">
        <v>610</v>
      </c>
      <c r="M284" t="s">
        <v>611</v>
      </c>
      <c r="N284" t="s">
        <v>322</v>
      </c>
      <c r="O284" t="s">
        <v>48</v>
      </c>
      <c r="P284" t="s">
        <v>366</v>
      </c>
      <c r="Q284" t="s">
        <v>50</v>
      </c>
      <c r="R284" t="s">
        <v>51</v>
      </c>
      <c r="S284" t="s">
        <v>367</v>
      </c>
      <c r="T284">
        <v>1725.75</v>
      </c>
      <c r="U284">
        <v>5</v>
      </c>
      <c r="V284">
        <v>0.25</v>
      </c>
      <c r="W284">
        <v>-483.3</v>
      </c>
      <c r="X284">
        <v>350.68</v>
      </c>
      <c r="Y284" t="s">
        <v>53</v>
      </c>
      <c r="Z284">
        <f>Superstore_Sales[[#This Row],[Sales]]*Superstore_Sales[[#This Row],[Quantity]]</f>
        <v>8628.75</v>
      </c>
      <c r="AA284" s="3">
        <f>Superstore_Sales[[#This Row],[TotalSales]]*Superstore_Sales[[#This Row],[Discount]]/100</f>
        <v>21.571874999999999</v>
      </c>
      <c r="AB284" s="2">
        <f>Superstore_Sales[[#This Row],[TotalSales]]-Superstore_Sales[[#This Row],[Dis_amt]]-Superstore_Sales[[#This Row],[Shipping Cost]]</f>
        <v>8256.4981250000001</v>
      </c>
    </row>
    <row r="285" spans="1:28" x14ac:dyDescent="0.35">
      <c r="A285">
        <v>25179</v>
      </c>
      <c r="B285" t="s">
        <v>1627</v>
      </c>
      <c r="C285" s="1">
        <v>41803</v>
      </c>
      <c r="D285" s="1">
        <v>41803</v>
      </c>
      <c r="E285">
        <f>Superstore_Sales[[#This Row],[Ship Date]]-Superstore_Sales[[#This Row],[Order Date]]</f>
        <v>0</v>
      </c>
      <c r="F285" t="s">
        <v>73</v>
      </c>
      <c r="G285" t="s">
        <v>570</v>
      </c>
      <c r="H285" t="s">
        <v>571</v>
      </c>
      <c r="I285" t="s">
        <v>28</v>
      </c>
      <c r="K285" t="s">
        <v>938</v>
      </c>
      <c r="L285" t="s">
        <v>939</v>
      </c>
      <c r="M285" t="s">
        <v>321</v>
      </c>
      <c r="N285" t="s">
        <v>322</v>
      </c>
      <c r="O285" t="s">
        <v>48</v>
      </c>
      <c r="P285" t="s">
        <v>1628</v>
      </c>
      <c r="Q285" t="s">
        <v>35</v>
      </c>
      <c r="R285" t="s">
        <v>81</v>
      </c>
      <c r="S285" t="s">
        <v>1629</v>
      </c>
      <c r="T285">
        <v>1479.31</v>
      </c>
      <c r="U285">
        <v>6</v>
      </c>
      <c r="V285">
        <v>7.0000000000000007E-2</v>
      </c>
      <c r="W285">
        <v>-63.65</v>
      </c>
      <c r="X285">
        <v>350.31</v>
      </c>
      <c r="Y285" t="s">
        <v>38</v>
      </c>
      <c r="Z285">
        <f>Superstore_Sales[[#This Row],[Sales]]*Superstore_Sales[[#This Row],[Quantity]]</f>
        <v>8875.86</v>
      </c>
      <c r="AA285" s="3">
        <f>Superstore_Sales[[#This Row],[TotalSales]]*Superstore_Sales[[#This Row],[Discount]]/100</f>
        <v>6.213102000000001</v>
      </c>
      <c r="AB285" s="2">
        <f>Superstore_Sales[[#This Row],[TotalSales]]-Superstore_Sales[[#This Row],[Dis_amt]]-Superstore_Sales[[#This Row],[Shipping Cost]]</f>
        <v>8519.3368980000014</v>
      </c>
    </row>
    <row r="286" spans="1:28" x14ac:dyDescent="0.35">
      <c r="A286">
        <v>24610</v>
      </c>
      <c r="B286" t="s">
        <v>1630</v>
      </c>
      <c r="C286" s="1">
        <v>42269</v>
      </c>
      <c r="D286" s="1">
        <v>42272</v>
      </c>
      <c r="E286">
        <f>Superstore_Sales[[#This Row],[Ship Date]]-Superstore_Sales[[#This Row],[Order Date]]</f>
        <v>3</v>
      </c>
      <c r="F286" t="s">
        <v>40</v>
      </c>
      <c r="G286" t="s">
        <v>1631</v>
      </c>
      <c r="H286" t="s">
        <v>1632</v>
      </c>
      <c r="I286" t="s">
        <v>28</v>
      </c>
      <c r="K286" t="s">
        <v>1633</v>
      </c>
      <c r="L286" t="s">
        <v>1633</v>
      </c>
      <c r="M286" t="s">
        <v>1633</v>
      </c>
      <c r="N286" t="s">
        <v>322</v>
      </c>
      <c r="O286" t="s">
        <v>48</v>
      </c>
      <c r="P286" t="s">
        <v>1634</v>
      </c>
      <c r="Q286" t="s">
        <v>35</v>
      </c>
      <c r="R286" t="s">
        <v>81</v>
      </c>
      <c r="S286" t="s">
        <v>1635</v>
      </c>
      <c r="T286">
        <v>1282.23</v>
      </c>
      <c r="U286">
        <v>9</v>
      </c>
      <c r="V286">
        <v>0</v>
      </c>
      <c r="W286">
        <v>12.69</v>
      </c>
      <c r="X286">
        <v>349.88</v>
      </c>
      <c r="Y286" t="s">
        <v>53</v>
      </c>
      <c r="Z286">
        <f>Superstore_Sales[[#This Row],[Sales]]*Superstore_Sales[[#This Row],[Quantity]]</f>
        <v>11540.07</v>
      </c>
      <c r="AA286" s="3">
        <f>Superstore_Sales[[#This Row],[TotalSales]]*Superstore_Sales[[#This Row],[Discount]]/100</f>
        <v>0</v>
      </c>
      <c r="AB286" s="2">
        <f>Superstore_Sales[[#This Row],[TotalSales]]-Superstore_Sales[[#This Row],[Dis_amt]]-Superstore_Sales[[#This Row],[Shipping Cost]]</f>
        <v>11190.19</v>
      </c>
    </row>
    <row r="287" spans="1:28" x14ac:dyDescent="0.35">
      <c r="A287">
        <v>50724</v>
      </c>
      <c r="B287" t="s">
        <v>1636</v>
      </c>
      <c r="C287" s="1">
        <v>40916</v>
      </c>
      <c r="D287" s="1">
        <v>40921</v>
      </c>
      <c r="E287">
        <f>Superstore_Sales[[#This Row],[Ship Date]]-Superstore_Sales[[#This Row],[Order Date]]</f>
        <v>5</v>
      </c>
      <c r="F287" t="s">
        <v>98</v>
      </c>
      <c r="G287" t="s">
        <v>1637</v>
      </c>
      <c r="H287" t="s">
        <v>1638</v>
      </c>
      <c r="I287" t="s">
        <v>28</v>
      </c>
      <c r="K287" t="s">
        <v>1639</v>
      </c>
      <c r="L287" t="s">
        <v>1639</v>
      </c>
      <c r="M287" t="s">
        <v>1640</v>
      </c>
      <c r="N287" t="s">
        <v>294</v>
      </c>
      <c r="O287" t="s">
        <v>79</v>
      </c>
      <c r="P287" t="s">
        <v>1641</v>
      </c>
      <c r="Q287" t="s">
        <v>50</v>
      </c>
      <c r="R287" t="s">
        <v>336</v>
      </c>
      <c r="S287" t="s">
        <v>1642</v>
      </c>
      <c r="T287">
        <v>2478.6</v>
      </c>
      <c r="U287">
        <v>6</v>
      </c>
      <c r="V287">
        <v>0</v>
      </c>
      <c r="W287">
        <v>49.5</v>
      </c>
      <c r="X287">
        <v>349.87</v>
      </c>
      <c r="Y287" t="s">
        <v>38</v>
      </c>
      <c r="Z287">
        <f>Superstore_Sales[[#This Row],[Sales]]*Superstore_Sales[[#This Row],[Quantity]]</f>
        <v>14871.599999999999</v>
      </c>
      <c r="AA287" s="3">
        <f>Superstore_Sales[[#This Row],[TotalSales]]*Superstore_Sales[[#This Row],[Discount]]/100</f>
        <v>0</v>
      </c>
      <c r="AB287" s="2">
        <f>Superstore_Sales[[#This Row],[TotalSales]]-Superstore_Sales[[#This Row],[Dis_amt]]-Superstore_Sales[[#This Row],[Shipping Cost]]</f>
        <v>14521.729999999998</v>
      </c>
    </row>
    <row r="288" spans="1:28" x14ac:dyDescent="0.35">
      <c r="A288">
        <v>28226</v>
      </c>
      <c r="B288" t="s">
        <v>1643</v>
      </c>
      <c r="C288" s="1">
        <v>41850</v>
      </c>
      <c r="D288" s="1">
        <v>41850</v>
      </c>
      <c r="E288">
        <f>Superstore_Sales[[#This Row],[Ship Date]]-Superstore_Sales[[#This Row],[Order Date]]</f>
        <v>0</v>
      </c>
      <c r="F288" t="s">
        <v>73</v>
      </c>
      <c r="G288" t="s">
        <v>1644</v>
      </c>
      <c r="H288" t="s">
        <v>1645</v>
      </c>
      <c r="I288" t="s">
        <v>43</v>
      </c>
      <c r="K288" t="s">
        <v>1646</v>
      </c>
      <c r="L288" t="s">
        <v>1647</v>
      </c>
      <c r="M288" t="s">
        <v>1155</v>
      </c>
      <c r="N288" t="s">
        <v>145</v>
      </c>
      <c r="O288" t="s">
        <v>48</v>
      </c>
      <c r="P288" t="s">
        <v>1648</v>
      </c>
      <c r="Q288" t="s">
        <v>35</v>
      </c>
      <c r="R288" t="s">
        <v>81</v>
      </c>
      <c r="S288" t="s">
        <v>1649</v>
      </c>
      <c r="T288">
        <v>959.76</v>
      </c>
      <c r="U288">
        <v>3</v>
      </c>
      <c r="V288">
        <v>0</v>
      </c>
      <c r="W288">
        <v>460.62</v>
      </c>
      <c r="X288">
        <v>348.48</v>
      </c>
      <c r="Y288" t="s">
        <v>53</v>
      </c>
      <c r="Z288">
        <f>Superstore_Sales[[#This Row],[Sales]]*Superstore_Sales[[#This Row],[Quantity]]</f>
        <v>2879.2799999999997</v>
      </c>
      <c r="AA288" s="3">
        <f>Superstore_Sales[[#This Row],[TotalSales]]*Superstore_Sales[[#This Row],[Discount]]/100</f>
        <v>0</v>
      </c>
      <c r="AB288" s="2">
        <f>Superstore_Sales[[#This Row],[TotalSales]]-Superstore_Sales[[#This Row],[Dis_amt]]-Superstore_Sales[[#This Row],[Shipping Cost]]</f>
        <v>2530.7999999999997</v>
      </c>
    </row>
    <row r="289" spans="1:28" x14ac:dyDescent="0.35">
      <c r="A289">
        <v>33191</v>
      </c>
      <c r="B289" t="s">
        <v>1650</v>
      </c>
      <c r="C289" s="1">
        <v>42341</v>
      </c>
      <c r="D289" s="1">
        <v>42344</v>
      </c>
      <c r="E289">
        <f>Superstore_Sales[[#This Row],[Ship Date]]-Superstore_Sales[[#This Row],[Order Date]]</f>
        <v>3</v>
      </c>
      <c r="F289" t="s">
        <v>25</v>
      </c>
      <c r="G289" t="s">
        <v>1651</v>
      </c>
      <c r="H289" t="s">
        <v>1466</v>
      </c>
      <c r="I289" t="s">
        <v>28</v>
      </c>
      <c r="J289">
        <v>22901</v>
      </c>
      <c r="K289" t="s">
        <v>1652</v>
      </c>
      <c r="L289" t="s">
        <v>694</v>
      </c>
      <c r="M289" t="s">
        <v>31</v>
      </c>
      <c r="N289" t="s">
        <v>351</v>
      </c>
      <c r="O289" t="s">
        <v>33</v>
      </c>
      <c r="P289" t="s">
        <v>1653</v>
      </c>
      <c r="Q289" t="s">
        <v>147</v>
      </c>
      <c r="R289" t="s">
        <v>431</v>
      </c>
      <c r="S289" t="s">
        <v>1654</v>
      </c>
      <c r="T289">
        <v>34.65</v>
      </c>
      <c r="U289">
        <v>3</v>
      </c>
      <c r="V289">
        <v>0</v>
      </c>
      <c r="W289">
        <v>10.4</v>
      </c>
      <c r="X289">
        <v>4.99</v>
      </c>
      <c r="Y289" t="s">
        <v>61</v>
      </c>
      <c r="Z289">
        <f>Superstore_Sales[[#This Row],[Sales]]*Superstore_Sales[[#This Row],[Quantity]]</f>
        <v>103.94999999999999</v>
      </c>
      <c r="AA289" s="3">
        <f>Superstore_Sales[[#This Row],[TotalSales]]*Superstore_Sales[[#This Row],[Discount]]/100</f>
        <v>0</v>
      </c>
      <c r="AB289" s="2">
        <f>Superstore_Sales[[#This Row],[TotalSales]]-Superstore_Sales[[#This Row],[Dis_amt]]-Superstore_Sales[[#This Row],[Shipping Cost]]</f>
        <v>98.96</v>
      </c>
    </row>
    <row r="290" spans="1:28" x14ac:dyDescent="0.35">
      <c r="A290">
        <v>25941</v>
      </c>
      <c r="B290" t="s">
        <v>1655</v>
      </c>
      <c r="C290" s="1">
        <v>42124</v>
      </c>
      <c r="D290" s="1">
        <v>42128</v>
      </c>
      <c r="E290">
        <f>Superstore_Sales[[#This Row],[Ship Date]]-Superstore_Sales[[#This Row],[Order Date]]</f>
        <v>4</v>
      </c>
      <c r="F290" t="s">
        <v>98</v>
      </c>
      <c r="G290" t="s">
        <v>1656</v>
      </c>
      <c r="H290" t="s">
        <v>1657</v>
      </c>
      <c r="I290" t="s">
        <v>65</v>
      </c>
      <c r="K290" t="s">
        <v>1658</v>
      </c>
      <c r="L290" t="s">
        <v>1659</v>
      </c>
      <c r="M290" t="s">
        <v>321</v>
      </c>
      <c r="N290" t="s">
        <v>322</v>
      </c>
      <c r="O290" t="s">
        <v>48</v>
      </c>
      <c r="P290" t="s">
        <v>1660</v>
      </c>
      <c r="Q290" t="s">
        <v>147</v>
      </c>
      <c r="R290" t="s">
        <v>148</v>
      </c>
      <c r="S290" t="s">
        <v>1661</v>
      </c>
      <c r="T290">
        <v>4135.6400000000003</v>
      </c>
      <c r="U290">
        <v>10</v>
      </c>
      <c r="V290">
        <v>0.17</v>
      </c>
      <c r="W290">
        <v>847.04</v>
      </c>
      <c r="X290">
        <v>348.08</v>
      </c>
      <c r="Y290" t="s">
        <v>61</v>
      </c>
      <c r="Z290">
        <f>Superstore_Sales[[#This Row],[Sales]]*Superstore_Sales[[#This Row],[Quantity]]</f>
        <v>41356.400000000001</v>
      </c>
      <c r="AA290" s="3">
        <f>Superstore_Sales[[#This Row],[TotalSales]]*Superstore_Sales[[#This Row],[Discount]]/100</f>
        <v>70.305880000000002</v>
      </c>
      <c r="AB290" s="2">
        <f>Superstore_Sales[[#This Row],[TotalSales]]-Superstore_Sales[[#This Row],[Dis_amt]]-Superstore_Sales[[#This Row],[Shipping Cost]]</f>
        <v>40938.01412</v>
      </c>
    </row>
    <row r="291" spans="1:28" x14ac:dyDescent="0.35">
      <c r="A291">
        <v>581</v>
      </c>
      <c r="B291" t="s">
        <v>1662</v>
      </c>
      <c r="C291" s="1">
        <v>41179</v>
      </c>
      <c r="D291" s="1">
        <v>41181</v>
      </c>
      <c r="E291">
        <f>Superstore_Sales[[#This Row],[Ship Date]]-Superstore_Sales[[#This Row],[Order Date]]</f>
        <v>2</v>
      </c>
      <c r="F291" t="s">
        <v>40</v>
      </c>
      <c r="G291" t="s">
        <v>1663</v>
      </c>
      <c r="H291" t="s">
        <v>1664</v>
      </c>
      <c r="I291" t="s">
        <v>28</v>
      </c>
      <c r="K291" t="s">
        <v>1665</v>
      </c>
      <c r="L291" t="s">
        <v>227</v>
      </c>
      <c r="M291" t="s">
        <v>228</v>
      </c>
      <c r="N291" t="s">
        <v>220</v>
      </c>
      <c r="O291" t="s">
        <v>136</v>
      </c>
      <c r="P291" t="s">
        <v>335</v>
      </c>
      <c r="Q291" t="s">
        <v>50</v>
      </c>
      <c r="R291" t="s">
        <v>336</v>
      </c>
      <c r="S291" t="s">
        <v>337</v>
      </c>
      <c r="T291">
        <v>2325.2800000000002</v>
      </c>
      <c r="U291">
        <v>8</v>
      </c>
      <c r="V291">
        <v>0</v>
      </c>
      <c r="W291">
        <v>511.52</v>
      </c>
      <c r="X291">
        <v>347.815</v>
      </c>
      <c r="Y291" t="s">
        <v>38</v>
      </c>
      <c r="Z291">
        <f>Superstore_Sales[[#This Row],[Sales]]*Superstore_Sales[[#This Row],[Quantity]]</f>
        <v>18602.240000000002</v>
      </c>
      <c r="AA291" s="3">
        <f>Superstore_Sales[[#This Row],[TotalSales]]*Superstore_Sales[[#This Row],[Discount]]/100</f>
        <v>0</v>
      </c>
      <c r="AB291" s="2">
        <f>Superstore_Sales[[#This Row],[TotalSales]]-Superstore_Sales[[#This Row],[Dis_amt]]-Superstore_Sales[[#This Row],[Shipping Cost]]</f>
        <v>18254.425000000003</v>
      </c>
    </row>
    <row r="292" spans="1:28" x14ac:dyDescent="0.35">
      <c r="A292">
        <v>21263</v>
      </c>
      <c r="B292" t="s">
        <v>1666</v>
      </c>
      <c r="C292" s="1">
        <v>42179</v>
      </c>
      <c r="D292" s="1">
        <v>42183</v>
      </c>
      <c r="E292">
        <f>Superstore_Sales[[#This Row],[Ship Date]]-Superstore_Sales[[#This Row],[Order Date]]</f>
        <v>4</v>
      </c>
      <c r="F292" t="s">
        <v>98</v>
      </c>
      <c r="G292" t="s">
        <v>1667</v>
      </c>
      <c r="H292" t="s">
        <v>1668</v>
      </c>
      <c r="I292" t="s">
        <v>28</v>
      </c>
      <c r="K292" t="s">
        <v>86</v>
      </c>
      <c r="L292" t="s">
        <v>45</v>
      </c>
      <c r="M292" t="s">
        <v>46</v>
      </c>
      <c r="N292" t="s">
        <v>47</v>
      </c>
      <c r="O292" t="s">
        <v>48</v>
      </c>
      <c r="P292" t="s">
        <v>708</v>
      </c>
      <c r="Q292" t="s">
        <v>50</v>
      </c>
      <c r="R292" t="s">
        <v>336</v>
      </c>
      <c r="S292" t="s">
        <v>709</v>
      </c>
      <c r="T292">
        <v>5486.67</v>
      </c>
      <c r="U292">
        <v>14</v>
      </c>
      <c r="V292">
        <v>0.1</v>
      </c>
      <c r="W292">
        <v>2316.5100000000002</v>
      </c>
      <c r="X292">
        <v>346.6</v>
      </c>
      <c r="Y292" t="s">
        <v>61</v>
      </c>
      <c r="Z292">
        <f>Superstore_Sales[[#This Row],[Sales]]*Superstore_Sales[[#This Row],[Quantity]]</f>
        <v>76813.38</v>
      </c>
      <c r="AA292" s="3">
        <f>Superstore_Sales[[#This Row],[TotalSales]]*Superstore_Sales[[#This Row],[Discount]]/100</f>
        <v>76.813380000000009</v>
      </c>
      <c r="AB292" s="2">
        <f>Superstore_Sales[[#This Row],[TotalSales]]-Superstore_Sales[[#This Row],[Dis_amt]]-Superstore_Sales[[#This Row],[Shipping Cost]]</f>
        <v>76389.966619999992</v>
      </c>
    </row>
    <row r="293" spans="1:28" x14ac:dyDescent="0.35">
      <c r="A293">
        <v>13571</v>
      </c>
      <c r="B293" t="s">
        <v>1669</v>
      </c>
      <c r="C293" s="1">
        <v>41004</v>
      </c>
      <c r="D293" s="1">
        <v>41006</v>
      </c>
      <c r="E293">
        <f>Superstore_Sales[[#This Row],[Ship Date]]-Superstore_Sales[[#This Row],[Order Date]]</f>
        <v>2</v>
      </c>
      <c r="F293" t="s">
        <v>25</v>
      </c>
      <c r="G293" t="s">
        <v>1670</v>
      </c>
      <c r="H293" t="s">
        <v>1671</v>
      </c>
      <c r="I293" t="s">
        <v>65</v>
      </c>
      <c r="K293" t="s">
        <v>1672</v>
      </c>
      <c r="L293" t="s">
        <v>1425</v>
      </c>
      <c r="M293" t="s">
        <v>463</v>
      </c>
      <c r="N293" t="s">
        <v>171</v>
      </c>
      <c r="O293" t="s">
        <v>69</v>
      </c>
      <c r="P293" t="s">
        <v>1673</v>
      </c>
      <c r="Q293" t="s">
        <v>147</v>
      </c>
      <c r="R293" t="s">
        <v>162</v>
      </c>
      <c r="S293" t="s">
        <v>1674</v>
      </c>
      <c r="T293">
        <v>1523.66</v>
      </c>
      <c r="U293">
        <v>8</v>
      </c>
      <c r="V293">
        <v>0.1</v>
      </c>
      <c r="W293">
        <v>-50.98</v>
      </c>
      <c r="X293">
        <v>345.81</v>
      </c>
      <c r="Y293" t="s">
        <v>38</v>
      </c>
      <c r="Z293">
        <f>Superstore_Sales[[#This Row],[Sales]]*Superstore_Sales[[#This Row],[Quantity]]</f>
        <v>12189.28</v>
      </c>
      <c r="AA293" s="3">
        <f>Superstore_Sales[[#This Row],[TotalSales]]*Superstore_Sales[[#This Row],[Discount]]/100</f>
        <v>12.189280000000002</v>
      </c>
      <c r="AB293" s="2">
        <f>Superstore_Sales[[#This Row],[TotalSales]]-Superstore_Sales[[#This Row],[Dis_amt]]-Superstore_Sales[[#This Row],[Shipping Cost]]</f>
        <v>11831.280720000001</v>
      </c>
    </row>
    <row r="294" spans="1:28" x14ac:dyDescent="0.35">
      <c r="A294">
        <v>11639</v>
      </c>
      <c r="B294" t="s">
        <v>1675</v>
      </c>
      <c r="C294" s="1">
        <v>42223</v>
      </c>
      <c r="D294" s="1">
        <v>42225</v>
      </c>
      <c r="E294">
        <f>Superstore_Sales[[#This Row],[Ship Date]]-Superstore_Sales[[#This Row],[Order Date]]</f>
        <v>2</v>
      </c>
      <c r="F294" t="s">
        <v>40</v>
      </c>
      <c r="G294" t="s">
        <v>1676</v>
      </c>
      <c r="H294" t="s">
        <v>1677</v>
      </c>
      <c r="I294" t="s">
        <v>43</v>
      </c>
      <c r="K294" t="s">
        <v>1678</v>
      </c>
      <c r="L294" t="s">
        <v>668</v>
      </c>
      <c r="M294" t="s">
        <v>155</v>
      </c>
      <c r="N294" t="s">
        <v>68</v>
      </c>
      <c r="O294" t="s">
        <v>69</v>
      </c>
      <c r="P294" t="s">
        <v>510</v>
      </c>
      <c r="Q294" t="s">
        <v>35</v>
      </c>
      <c r="R294" t="s">
        <v>36</v>
      </c>
      <c r="S294" t="s">
        <v>511</v>
      </c>
      <c r="T294">
        <v>1625.24</v>
      </c>
      <c r="U294">
        <v>3</v>
      </c>
      <c r="V294">
        <v>0.15</v>
      </c>
      <c r="W294">
        <v>-76.569999999999993</v>
      </c>
      <c r="X294">
        <v>345.78</v>
      </c>
      <c r="Y294" t="s">
        <v>53</v>
      </c>
      <c r="Z294">
        <f>Superstore_Sales[[#This Row],[Sales]]*Superstore_Sales[[#This Row],[Quantity]]</f>
        <v>4875.72</v>
      </c>
      <c r="AA294" s="3">
        <f>Superstore_Sales[[#This Row],[TotalSales]]*Superstore_Sales[[#This Row],[Discount]]/100</f>
        <v>7.3135800000000009</v>
      </c>
      <c r="AB294" s="2">
        <f>Superstore_Sales[[#This Row],[TotalSales]]-Superstore_Sales[[#This Row],[Dis_amt]]-Superstore_Sales[[#This Row],[Shipping Cost]]</f>
        <v>4522.6264200000005</v>
      </c>
    </row>
    <row r="295" spans="1:28" x14ac:dyDescent="0.35">
      <c r="A295">
        <v>13307</v>
      </c>
      <c r="B295" t="s">
        <v>1679</v>
      </c>
      <c r="C295" s="1">
        <v>42049</v>
      </c>
      <c r="D295" s="1">
        <v>42051</v>
      </c>
      <c r="E295">
        <f>Superstore_Sales[[#This Row],[Ship Date]]-Superstore_Sales[[#This Row],[Order Date]]</f>
        <v>2</v>
      </c>
      <c r="F295" t="s">
        <v>25</v>
      </c>
      <c r="G295" t="s">
        <v>1680</v>
      </c>
      <c r="H295" t="s">
        <v>100</v>
      </c>
      <c r="I295" t="s">
        <v>28</v>
      </c>
      <c r="K295" t="s">
        <v>1681</v>
      </c>
      <c r="L295" t="s">
        <v>1682</v>
      </c>
      <c r="M295" t="s">
        <v>155</v>
      </c>
      <c r="N295" t="s">
        <v>68</v>
      </c>
      <c r="O295" t="s">
        <v>69</v>
      </c>
      <c r="P295" t="s">
        <v>1683</v>
      </c>
      <c r="Q295" t="s">
        <v>147</v>
      </c>
      <c r="R295" t="s">
        <v>162</v>
      </c>
      <c r="S295" t="s">
        <v>1684</v>
      </c>
      <c r="T295">
        <v>734.94</v>
      </c>
      <c r="U295">
        <v>4</v>
      </c>
      <c r="V295">
        <v>0.1</v>
      </c>
      <c r="W295">
        <v>130.62</v>
      </c>
      <c r="X295">
        <v>344.98</v>
      </c>
      <c r="Y295" t="s">
        <v>53</v>
      </c>
      <c r="Z295">
        <f>Superstore_Sales[[#This Row],[Sales]]*Superstore_Sales[[#This Row],[Quantity]]</f>
        <v>2939.76</v>
      </c>
      <c r="AA295" s="3">
        <f>Superstore_Sales[[#This Row],[TotalSales]]*Superstore_Sales[[#This Row],[Discount]]/100</f>
        <v>2.9397600000000006</v>
      </c>
      <c r="AB295" s="2">
        <f>Superstore_Sales[[#This Row],[TotalSales]]-Superstore_Sales[[#This Row],[Dis_amt]]-Superstore_Sales[[#This Row],[Shipping Cost]]</f>
        <v>2591.84024</v>
      </c>
    </row>
    <row r="296" spans="1:28" x14ac:dyDescent="0.35">
      <c r="A296">
        <v>40245</v>
      </c>
      <c r="B296" t="s">
        <v>1685</v>
      </c>
      <c r="C296" s="1">
        <v>41266</v>
      </c>
      <c r="D296" s="1">
        <v>41268</v>
      </c>
      <c r="E296">
        <f>Superstore_Sales[[#This Row],[Ship Date]]-Superstore_Sales[[#This Row],[Order Date]]</f>
        <v>2</v>
      </c>
      <c r="F296" t="s">
        <v>25</v>
      </c>
      <c r="G296" t="s">
        <v>1686</v>
      </c>
      <c r="H296" t="s">
        <v>1466</v>
      </c>
      <c r="I296" t="s">
        <v>28</v>
      </c>
      <c r="J296">
        <v>92037</v>
      </c>
      <c r="K296" t="s">
        <v>1687</v>
      </c>
      <c r="L296" t="s">
        <v>280</v>
      </c>
      <c r="M296" t="s">
        <v>31</v>
      </c>
      <c r="N296" t="s">
        <v>110</v>
      </c>
      <c r="O296" t="s">
        <v>33</v>
      </c>
      <c r="P296" t="s">
        <v>1688</v>
      </c>
      <c r="Q296" t="s">
        <v>147</v>
      </c>
      <c r="R296" t="s">
        <v>148</v>
      </c>
      <c r="S296" t="s">
        <v>1689</v>
      </c>
      <c r="T296">
        <v>13.97</v>
      </c>
      <c r="U296">
        <v>1</v>
      </c>
      <c r="V296">
        <v>0</v>
      </c>
      <c r="W296">
        <v>3.63</v>
      </c>
      <c r="X296">
        <v>2.16</v>
      </c>
      <c r="Y296" t="s">
        <v>38</v>
      </c>
      <c r="Z296">
        <f>Superstore_Sales[[#This Row],[Sales]]*Superstore_Sales[[#This Row],[Quantity]]</f>
        <v>13.97</v>
      </c>
      <c r="AA296" s="3">
        <f>Superstore_Sales[[#This Row],[TotalSales]]*Superstore_Sales[[#This Row],[Discount]]/100</f>
        <v>0</v>
      </c>
      <c r="AB296" s="2">
        <f>Superstore_Sales[[#This Row],[TotalSales]]-Superstore_Sales[[#This Row],[Dis_amt]]-Superstore_Sales[[#This Row],[Shipping Cost]]</f>
        <v>11.81</v>
      </c>
    </row>
    <row r="297" spans="1:28" x14ac:dyDescent="0.35">
      <c r="A297">
        <v>43307</v>
      </c>
      <c r="B297" t="s">
        <v>1690</v>
      </c>
      <c r="C297" s="1">
        <v>41503</v>
      </c>
      <c r="D297" s="1">
        <v>41505</v>
      </c>
      <c r="E297">
        <f>Superstore_Sales[[#This Row],[Ship Date]]-Superstore_Sales[[#This Row],[Order Date]]</f>
        <v>2</v>
      </c>
      <c r="F297" t="s">
        <v>40</v>
      </c>
      <c r="G297" t="s">
        <v>1691</v>
      </c>
      <c r="H297" t="s">
        <v>1692</v>
      </c>
      <c r="I297" t="s">
        <v>28</v>
      </c>
      <c r="K297" t="s">
        <v>1693</v>
      </c>
      <c r="L297" t="s">
        <v>1693</v>
      </c>
      <c r="M297" t="s">
        <v>1451</v>
      </c>
      <c r="N297" t="s">
        <v>195</v>
      </c>
      <c r="O297" t="s">
        <v>69</v>
      </c>
      <c r="P297" t="s">
        <v>1694</v>
      </c>
      <c r="Q297" t="s">
        <v>50</v>
      </c>
      <c r="R297" t="s">
        <v>51</v>
      </c>
      <c r="S297" t="s">
        <v>1695</v>
      </c>
      <c r="T297">
        <v>1391.52</v>
      </c>
      <c r="U297">
        <v>8</v>
      </c>
      <c r="V297">
        <v>0</v>
      </c>
      <c r="W297">
        <v>69.36</v>
      </c>
      <c r="X297">
        <v>344.5</v>
      </c>
      <c r="Y297" t="s">
        <v>53</v>
      </c>
      <c r="Z297">
        <f>Superstore_Sales[[#This Row],[Sales]]*Superstore_Sales[[#This Row],[Quantity]]</f>
        <v>11132.16</v>
      </c>
      <c r="AA297" s="3">
        <f>Superstore_Sales[[#This Row],[TotalSales]]*Superstore_Sales[[#This Row],[Discount]]/100</f>
        <v>0</v>
      </c>
      <c r="AB297" s="2">
        <f>Superstore_Sales[[#This Row],[TotalSales]]-Superstore_Sales[[#This Row],[Dis_amt]]-Superstore_Sales[[#This Row],[Shipping Cost]]</f>
        <v>10787.66</v>
      </c>
    </row>
    <row r="298" spans="1:28" x14ac:dyDescent="0.35">
      <c r="A298">
        <v>9702</v>
      </c>
      <c r="B298" t="s">
        <v>1696</v>
      </c>
      <c r="C298" s="1">
        <v>41493</v>
      </c>
      <c r="D298" s="1">
        <v>41494</v>
      </c>
      <c r="E298">
        <f>Superstore_Sales[[#This Row],[Ship Date]]-Superstore_Sales[[#This Row],[Order Date]]</f>
        <v>1</v>
      </c>
      <c r="F298" t="s">
        <v>25</v>
      </c>
      <c r="G298" t="s">
        <v>1697</v>
      </c>
      <c r="H298" t="s">
        <v>1175</v>
      </c>
      <c r="I298" t="s">
        <v>28</v>
      </c>
      <c r="K298" t="s">
        <v>1698</v>
      </c>
      <c r="L298" t="s">
        <v>1699</v>
      </c>
      <c r="M298" t="s">
        <v>134</v>
      </c>
      <c r="N298" t="s">
        <v>135</v>
      </c>
      <c r="O298" t="s">
        <v>136</v>
      </c>
      <c r="P298" t="s">
        <v>212</v>
      </c>
      <c r="Q298" t="s">
        <v>147</v>
      </c>
      <c r="R298" t="s">
        <v>148</v>
      </c>
      <c r="S298" t="s">
        <v>213</v>
      </c>
      <c r="T298">
        <v>2461.06</v>
      </c>
      <c r="U298">
        <v>7</v>
      </c>
      <c r="V298">
        <v>0</v>
      </c>
      <c r="W298">
        <v>566.02</v>
      </c>
      <c r="X298">
        <v>343.80900000000003</v>
      </c>
      <c r="Y298" t="s">
        <v>38</v>
      </c>
      <c r="Z298">
        <f>Superstore_Sales[[#This Row],[Sales]]*Superstore_Sales[[#This Row],[Quantity]]</f>
        <v>17227.419999999998</v>
      </c>
      <c r="AA298" s="3">
        <f>Superstore_Sales[[#This Row],[TotalSales]]*Superstore_Sales[[#This Row],[Discount]]/100</f>
        <v>0</v>
      </c>
      <c r="AB298" s="2">
        <f>Superstore_Sales[[#This Row],[TotalSales]]-Superstore_Sales[[#This Row],[Dis_amt]]-Superstore_Sales[[#This Row],[Shipping Cost]]</f>
        <v>16883.610999999997</v>
      </c>
    </row>
    <row r="299" spans="1:28" x14ac:dyDescent="0.35">
      <c r="A299">
        <v>39145</v>
      </c>
      <c r="B299" t="s">
        <v>1700</v>
      </c>
      <c r="C299" s="1">
        <v>41762</v>
      </c>
      <c r="D299" s="1">
        <v>41766</v>
      </c>
      <c r="E299">
        <f>Superstore_Sales[[#This Row],[Ship Date]]-Superstore_Sales[[#This Row],[Order Date]]</f>
        <v>4</v>
      </c>
      <c r="F299" t="s">
        <v>98</v>
      </c>
      <c r="G299" t="s">
        <v>1473</v>
      </c>
      <c r="H299" t="s">
        <v>1466</v>
      </c>
      <c r="I299" t="s">
        <v>28</v>
      </c>
      <c r="J299">
        <v>75061</v>
      </c>
      <c r="K299" t="s">
        <v>1701</v>
      </c>
      <c r="L299" t="s">
        <v>160</v>
      </c>
      <c r="M299" t="s">
        <v>31</v>
      </c>
      <c r="N299" t="s">
        <v>32</v>
      </c>
      <c r="O299" t="s">
        <v>33</v>
      </c>
      <c r="P299" t="s">
        <v>161</v>
      </c>
      <c r="Q299" t="s">
        <v>147</v>
      </c>
      <c r="R299" t="s">
        <v>162</v>
      </c>
      <c r="S299" t="s">
        <v>163</v>
      </c>
      <c r="T299">
        <v>18.940000000000001</v>
      </c>
      <c r="U299">
        <v>3</v>
      </c>
      <c r="V299">
        <v>0.2</v>
      </c>
      <c r="W299">
        <v>-3.79</v>
      </c>
      <c r="X299">
        <v>1.79</v>
      </c>
      <c r="Y299" t="s">
        <v>61</v>
      </c>
      <c r="Z299">
        <f>Superstore_Sales[[#This Row],[Sales]]*Superstore_Sales[[#This Row],[Quantity]]</f>
        <v>56.820000000000007</v>
      </c>
      <c r="AA299" s="3">
        <f>Superstore_Sales[[#This Row],[TotalSales]]*Superstore_Sales[[#This Row],[Discount]]/100</f>
        <v>0.11364000000000002</v>
      </c>
      <c r="AB299" s="2">
        <f>Superstore_Sales[[#This Row],[TotalSales]]-Superstore_Sales[[#This Row],[Dis_amt]]-Superstore_Sales[[#This Row],[Shipping Cost]]</f>
        <v>54.916360000000012</v>
      </c>
    </row>
    <row r="300" spans="1:28" x14ac:dyDescent="0.35">
      <c r="A300">
        <v>22762</v>
      </c>
      <c r="B300" t="s">
        <v>1702</v>
      </c>
      <c r="C300" s="1">
        <v>41495</v>
      </c>
      <c r="D300" s="1">
        <v>41497</v>
      </c>
      <c r="E300">
        <f>Superstore_Sales[[#This Row],[Ship Date]]-Superstore_Sales[[#This Row],[Order Date]]</f>
        <v>2</v>
      </c>
      <c r="F300" t="s">
        <v>25</v>
      </c>
      <c r="G300" t="s">
        <v>1703</v>
      </c>
      <c r="H300" t="s">
        <v>1704</v>
      </c>
      <c r="I300" t="s">
        <v>28</v>
      </c>
      <c r="K300" t="s">
        <v>1176</v>
      </c>
      <c r="L300" t="s">
        <v>1176</v>
      </c>
      <c r="M300" t="s">
        <v>767</v>
      </c>
      <c r="N300" t="s">
        <v>322</v>
      </c>
      <c r="O300" t="s">
        <v>48</v>
      </c>
      <c r="P300" t="s">
        <v>1705</v>
      </c>
      <c r="Q300" t="s">
        <v>35</v>
      </c>
      <c r="R300" t="s">
        <v>275</v>
      </c>
      <c r="S300" t="s">
        <v>1706</v>
      </c>
      <c r="T300">
        <v>1226.19</v>
      </c>
      <c r="U300">
        <v>7</v>
      </c>
      <c r="V300">
        <v>0</v>
      </c>
      <c r="W300">
        <v>612.99</v>
      </c>
      <c r="X300">
        <v>340.09</v>
      </c>
      <c r="Y300" t="s">
        <v>53</v>
      </c>
      <c r="Z300">
        <f>Superstore_Sales[[#This Row],[Sales]]*Superstore_Sales[[#This Row],[Quantity]]</f>
        <v>8583.33</v>
      </c>
      <c r="AA300" s="3">
        <f>Superstore_Sales[[#This Row],[TotalSales]]*Superstore_Sales[[#This Row],[Discount]]/100</f>
        <v>0</v>
      </c>
      <c r="AB300" s="2">
        <f>Superstore_Sales[[#This Row],[TotalSales]]-Superstore_Sales[[#This Row],[Dis_amt]]-Superstore_Sales[[#This Row],[Shipping Cost]]</f>
        <v>8243.24</v>
      </c>
    </row>
    <row r="301" spans="1:28" x14ac:dyDescent="0.35">
      <c r="A301">
        <v>20867</v>
      </c>
      <c r="B301" t="s">
        <v>1707</v>
      </c>
      <c r="C301" s="1">
        <v>41691</v>
      </c>
      <c r="D301" s="1">
        <v>41692</v>
      </c>
      <c r="E301">
        <f>Superstore_Sales[[#This Row],[Ship Date]]-Superstore_Sales[[#This Row],[Order Date]]</f>
        <v>1</v>
      </c>
      <c r="F301" t="s">
        <v>25</v>
      </c>
      <c r="G301" t="s">
        <v>1708</v>
      </c>
      <c r="H301" t="s">
        <v>1709</v>
      </c>
      <c r="I301" t="s">
        <v>28</v>
      </c>
      <c r="K301" t="s">
        <v>644</v>
      </c>
      <c r="L301" t="s">
        <v>417</v>
      </c>
      <c r="M301" t="s">
        <v>46</v>
      </c>
      <c r="N301" t="s">
        <v>47</v>
      </c>
      <c r="O301" t="s">
        <v>48</v>
      </c>
      <c r="P301" t="s">
        <v>1710</v>
      </c>
      <c r="Q301" t="s">
        <v>50</v>
      </c>
      <c r="R301" t="s">
        <v>104</v>
      </c>
      <c r="S301" t="s">
        <v>1711</v>
      </c>
      <c r="T301">
        <v>1809.26</v>
      </c>
      <c r="U301">
        <v>5</v>
      </c>
      <c r="V301">
        <v>0.3</v>
      </c>
      <c r="W301">
        <v>-258.5</v>
      </c>
      <c r="X301">
        <v>339.47</v>
      </c>
      <c r="Y301" t="s">
        <v>38</v>
      </c>
      <c r="Z301">
        <f>Superstore_Sales[[#This Row],[Sales]]*Superstore_Sales[[#This Row],[Quantity]]</f>
        <v>9046.2999999999993</v>
      </c>
      <c r="AA301" s="3">
        <f>Superstore_Sales[[#This Row],[TotalSales]]*Superstore_Sales[[#This Row],[Discount]]/100</f>
        <v>27.1389</v>
      </c>
      <c r="AB301" s="2">
        <f>Superstore_Sales[[#This Row],[TotalSales]]-Superstore_Sales[[#This Row],[Dis_amt]]-Superstore_Sales[[#This Row],[Shipping Cost]]</f>
        <v>8679.6911</v>
      </c>
    </row>
    <row r="302" spans="1:28" x14ac:dyDescent="0.35">
      <c r="A302">
        <v>28836</v>
      </c>
      <c r="B302" t="s">
        <v>1712</v>
      </c>
      <c r="C302" s="1">
        <v>41473</v>
      </c>
      <c r="D302" s="1">
        <v>41474</v>
      </c>
      <c r="E302">
        <f>Superstore_Sales[[#This Row],[Ship Date]]-Superstore_Sales[[#This Row],[Order Date]]</f>
        <v>1</v>
      </c>
      <c r="F302" t="s">
        <v>25</v>
      </c>
      <c r="G302" t="s">
        <v>1713</v>
      </c>
      <c r="H302" t="s">
        <v>1521</v>
      </c>
      <c r="I302" t="s">
        <v>43</v>
      </c>
      <c r="K302" t="s">
        <v>1714</v>
      </c>
      <c r="L302" t="s">
        <v>1715</v>
      </c>
      <c r="M302" t="s">
        <v>46</v>
      </c>
      <c r="N302" t="s">
        <v>47</v>
      </c>
      <c r="O302" t="s">
        <v>48</v>
      </c>
      <c r="P302" t="s">
        <v>1716</v>
      </c>
      <c r="Q302" t="s">
        <v>35</v>
      </c>
      <c r="R302" t="s">
        <v>304</v>
      </c>
      <c r="S302" t="s">
        <v>1717</v>
      </c>
      <c r="T302">
        <v>1863</v>
      </c>
      <c r="U302">
        <v>8</v>
      </c>
      <c r="V302">
        <v>0.1</v>
      </c>
      <c r="W302">
        <v>393.24</v>
      </c>
      <c r="X302">
        <v>339.06</v>
      </c>
      <c r="Y302" t="s">
        <v>38</v>
      </c>
      <c r="Z302">
        <f>Superstore_Sales[[#This Row],[Sales]]*Superstore_Sales[[#This Row],[Quantity]]</f>
        <v>14904</v>
      </c>
      <c r="AA302" s="3">
        <f>Superstore_Sales[[#This Row],[TotalSales]]*Superstore_Sales[[#This Row],[Discount]]/100</f>
        <v>14.904000000000002</v>
      </c>
      <c r="AB302" s="2">
        <f>Superstore_Sales[[#This Row],[TotalSales]]-Superstore_Sales[[#This Row],[Dis_amt]]-Superstore_Sales[[#This Row],[Shipping Cost]]</f>
        <v>14550.036</v>
      </c>
    </row>
    <row r="303" spans="1:28" x14ac:dyDescent="0.35">
      <c r="A303">
        <v>37405</v>
      </c>
      <c r="B303" t="s">
        <v>1718</v>
      </c>
      <c r="C303" s="1">
        <v>41894</v>
      </c>
      <c r="D303" s="1">
        <v>41899</v>
      </c>
      <c r="E303">
        <f>Superstore_Sales[[#This Row],[Ship Date]]-Superstore_Sales[[#This Row],[Order Date]]</f>
        <v>5</v>
      </c>
      <c r="F303" t="s">
        <v>98</v>
      </c>
      <c r="G303" t="s">
        <v>1473</v>
      </c>
      <c r="H303" t="s">
        <v>1466</v>
      </c>
      <c r="I303" t="s">
        <v>28</v>
      </c>
      <c r="J303">
        <v>60653</v>
      </c>
      <c r="K303" t="s">
        <v>1719</v>
      </c>
      <c r="L303" t="s">
        <v>1720</v>
      </c>
      <c r="M303" t="s">
        <v>31</v>
      </c>
      <c r="N303" t="s">
        <v>32</v>
      </c>
      <c r="O303" t="s">
        <v>33</v>
      </c>
      <c r="P303" t="s">
        <v>1721</v>
      </c>
      <c r="Q303" t="s">
        <v>147</v>
      </c>
      <c r="R303" t="s">
        <v>1332</v>
      </c>
      <c r="S303" t="s">
        <v>1722</v>
      </c>
      <c r="T303">
        <v>6</v>
      </c>
      <c r="U303">
        <v>2</v>
      </c>
      <c r="V303">
        <v>0.2</v>
      </c>
      <c r="W303">
        <v>2.1</v>
      </c>
      <c r="X303">
        <v>1.46</v>
      </c>
      <c r="Y303" t="s">
        <v>38</v>
      </c>
      <c r="Z303">
        <f>Superstore_Sales[[#This Row],[Sales]]*Superstore_Sales[[#This Row],[Quantity]]</f>
        <v>12</v>
      </c>
      <c r="AA303" s="3">
        <f>Superstore_Sales[[#This Row],[TotalSales]]*Superstore_Sales[[#This Row],[Discount]]/100</f>
        <v>2.4000000000000004E-2</v>
      </c>
      <c r="AB303" s="2">
        <f>Superstore_Sales[[#This Row],[TotalSales]]-Superstore_Sales[[#This Row],[Dis_amt]]-Superstore_Sales[[#This Row],[Shipping Cost]]</f>
        <v>10.516000000000002</v>
      </c>
    </row>
    <row r="304" spans="1:28" x14ac:dyDescent="0.35">
      <c r="A304">
        <v>12815</v>
      </c>
      <c r="B304" t="s">
        <v>1723</v>
      </c>
      <c r="C304" s="1">
        <v>42103</v>
      </c>
      <c r="D304" s="1">
        <v>42106</v>
      </c>
      <c r="E304">
        <f>Superstore_Sales[[#This Row],[Ship Date]]-Superstore_Sales[[#This Row],[Order Date]]</f>
        <v>3</v>
      </c>
      <c r="F304" t="s">
        <v>25</v>
      </c>
      <c r="G304" t="s">
        <v>1724</v>
      </c>
      <c r="H304" t="s">
        <v>1725</v>
      </c>
      <c r="I304" t="s">
        <v>28</v>
      </c>
      <c r="K304" t="s">
        <v>1698</v>
      </c>
      <c r="L304" t="s">
        <v>878</v>
      </c>
      <c r="M304" t="s">
        <v>155</v>
      </c>
      <c r="N304" t="s">
        <v>68</v>
      </c>
      <c r="O304" t="s">
        <v>69</v>
      </c>
      <c r="P304" t="s">
        <v>1071</v>
      </c>
      <c r="Q304" t="s">
        <v>147</v>
      </c>
      <c r="R304" t="s">
        <v>162</v>
      </c>
      <c r="S304" t="s">
        <v>1072</v>
      </c>
      <c r="T304">
        <v>1244.19</v>
      </c>
      <c r="U304">
        <v>7</v>
      </c>
      <c r="V304">
        <v>0.1</v>
      </c>
      <c r="W304">
        <v>-13.92</v>
      </c>
      <c r="X304">
        <v>338.33</v>
      </c>
      <c r="Y304" t="s">
        <v>53</v>
      </c>
      <c r="Z304">
        <f>Superstore_Sales[[#This Row],[Sales]]*Superstore_Sales[[#This Row],[Quantity]]</f>
        <v>8709.33</v>
      </c>
      <c r="AA304" s="3">
        <f>Superstore_Sales[[#This Row],[TotalSales]]*Superstore_Sales[[#This Row],[Discount]]/100</f>
        <v>8.7093299999999996</v>
      </c>
      <c r="AB304" s="2">
        <f>Superstore_Sales[[#This Row],[TotalSales]]-Superstore_Sales[[#This Row],[Dis_amt]]-Superstore_Sales[[#This Row],[Shipping Cost]]</f>
        <v>8362.2906700000003</v>
      </c>
    </row>
    <row r="305" spans="1:28" x14ac:dyDescent="0.35">
      <c r="A305">
        <v>16587</v>
      </c>
      <c r="B305" t="s">
        <v>1726</v>
      </c>
      <c r="C305" s="1">
        <v>41443</v>
      </c>
      <c r="D305" s="1">
        <v>41445</v>
      </c>
      <c r="E305">
        <f>Superstore_Sales[[#This Row],[Ship Date]]-Superstore_Sales[[#This Row],[Order Date]]</f>
        <v>2</v>
      </c>
      <c r="F305" t="s">
        <v>40</v>
      </c>
      <c r="G305" t="s">
        <v>1727</v>
      </c>
      <c r="H305" t="s">
        <v>1728</v>
      </c>
      <c r="I305" t="s">
        <v>28</v>
      </c>
      <c r="K305" t="s">
        <v>1729</v>
      </c>
      <c r="L305" t="s">
        <v>546</v>
      </c>
      <c r="M305" t="s">
        <v>155</v>
      </c>
      <c r="N305" t="s">
        <v>68</v>
      </c>
      <c r="O305" t="s">
        <v>69</v>
      </c>
      <c r="P305" t="s">
        <v>1730</v>
      </c>
      <c r="Q305" t="s">
        <v>50</v>
      </c>
      <c r="R305" t="s">
        <v>104</v>
      </c>
      <c r="S305" t="s">
        <v>1731</v>
      </c>
      <c r="T305">
        <v>2364.1</v>
      </c>
      <c r="U305">
        <v>4</v>
      </c>
      <c r="V305">
        <v>0.35</v>
      </c>
      <c r="W305">
        <v>-218.3</v>
      </c>
      <c r="X305">
        <v>338.1</v>
      </c>
      <c r="Y305" t="s">
        <v>61</v>
      </c>
      <c r="Z305">
        <f>Superstore_Sales[[#This Row],[Sales]]*Superstore_Sales[[#This Row],[Quantity]]</f>
        <v>9456.4</v>
      </c>
      <c r="AA305" s="3">
        <f>Superstore_Sales[[#This Row],[TotalSales]]*Superstore_Sales[[#This Row],[Discount]]/100</f>
        <v>33.0974</v>
      </c>
      <c r="AB305" s="2">
        <f>Superstore_Sales[[#This Row],[TotalSales]]-Superstore_Sales[[#This Row],[Dis_amt]]-Superstore_Sales[[#This Row],[Shipping Cost]]</f>
        <v>9085.2025999999987</v>
      </c>
    </row>
    <row r="306" spans="1:28" x14ac:dyDescent="0.35">
      <c r="A306">
        <v>18691</v>
      </c>
      <c r="B306" t="s">
        <v>1732</v>
      </c>
      <c r="C306" s="1">
        <v>42004</v>
      </c>
      <c r="D306" s="1">
        <v>42006</v>
      </c>
      <c r="E306">
        <f>Superstore_Sales[[#This Row],[Ship Date]]-Superstore_Sales[[#This Row],[Order Date]]</f>
        <v>2</v>
      </c>
      <c r="F306" t="s">
        <v>25</v>
      </c>
      <c r="G306" t="s">
        <v>1733</v>
      </c>
      <c r="H306" t="s">
        <v>894</v>
      </c>
      <c r="I306" t="s">
        <v>43</v>
      </c>
      <c r="K306" t="s">
        <v>1734</v>
      </c>
      <c r="L306" t="s">
        <v>273</v>
      </c>
      <c r="M306" t="s">
        <v>155</v>
      </c>
      <c r="N306" t="s">
        <v>68</v>
      </c>
      <c r="O306" t="s">
        <v>69</v>
      </c>
      <c r="P306" t="s">
        <v>405</v>
      </c>
      <c r="Q306" t="s">
        <v>35</v>
      </c>
      <c r="R306" t="s">
        <v>81</v>
      </c>
      <c r="S306" t="s">
        <v>406</v>
      </c>
      <c r="T306">
        <v>1946.31</v>
      </c>
      <c r="U306">
        <v>6</v>
      </c>
      <c r="V306">
        <v>0.15</v>
      </c>
      <c r="W306">
        <v>114.45</v>
      </c>
      <c r="X306">
        <v>337.93</v>
      </c>
      <c r="Y306" t="s">
        <v>38</v>
      </c>
      <c r="Z306">
        <f>Superstore_Sales[[#This Row],[Sales]]*Superstore_Sales[[#This Row],[Quantity]]</f>
        <v>11677.86</v>
      </c>
      <c r="AA306" s="3">
        <f>Superstore_Sales[[#This Row],[TotalSales]]*Superstore_Sales[[#This Row],[Discount]]/100</f>
        <v>17.51679</v>
      </c>
      <c r="AB306" s="2">
        <f>Superstore_Sales[[#This Row],[TotalSales]]-Superstore_Sales[[#This Row],[Dis_amt]]-Superstore_Sales[[#This Row],[Shipping Cost]]</f>
        <v>11322.413210000001</v>
      </c>
    </row>
    <row r="307" spans="1:28" x14ac:dyDescent="0.35">
      <c r="A307">
        <v>17534</v>
      </c>
      <c r="B307" t="s">
        <v>1735</v>
      </c>
      <c r="C307" s="1">
        <v>41289</v>
      </c>
      <c r="D307" s="1">
        <v>41291</v>
      </c>
      <c r="E307">
        <f>Superstore_Sales[[#This Row],[Ship Date]]-Superstore_Sales[[#This Row],[Order Date]]</f>
        <v>2</v>
      </c>
      <c r="F307" t="s">
        <v>25</v>
      </c>
      <c r="G307" t="s">
        <v>1736</v>
      </c>
      <c r="H307" t="s">
        <v>1737</v>
      </c>
      <c r="I307" t="s">
        <v>43</v>
      </c>
      <c r="K307" t="s">
        <v>1738</v>
      </c>
      <c r="L307" t="s">
        <v>527</v>
      </c>
      <c r="M307" t="s">
        <v>67</v>
      </c>
      <c r="N307" t="s">
        <v>68</v>
      </c>
      <c r="O307" t="s">
        <v>69</v>
      </c>
      <c r="P307" t="s">
        <v>492</v>
      </c>
      <c r="Q307" t="s">
        <v>147</v>
      </c>
      <c r="R307" t="s">
        <v>148</v>
      </c>
      <c r="S307" t="s">
        <v>493</v>
      </c>
      <c r="T307">
        <v>2283.71</v>
      </c>
      <c r="U307">
        <v>9</v>
      </c>
      <c r="V307">
        <v>0.1</v>
      </c>
      <c r="W307">
        <v>-0.22</v>
      </c>
      <c r="X307">
        <v>337.07</v>
      </c>
      <c r="Y307" t="s">
        <v>38</v>
      </c>
      <c r="Z307">
        <f>Superstore_Sales[[#This Row],[Sales]]*Superstore_Sales[[#This Row],[Quantity]]</f>
        <v>20553.39</v>
      </c>
      <c r="AA307" s="3">
        <f>Superstore_Sales[[#This Row],[TotalSales]]*Superstore_Sales[[#This Row],[Discount]]/100</f>
        <v>20.55339</v>
      </c>
      <c r="AB307" s="2">
        <f>Superstore_Sales[[#This Row],[TotalSales]]-Superstore_Sales[[#This Row],[Dis_amt]]-Superstore_Sales[[#This Row],[Shipping Cost]]</f>
        <v>20195.766609999999</v>
      </c>
    </row>
    <row r="308" spans="1:28" x14ac:dyDescent="0.35">
      <c r="A308">
        <v>46920</v>
      </c>
      <c r="B308" t="s">
        <v>1739</v>
      </c>
      <c r="C308" s="1">
        <v>41437</v>
      </c>
      <c r="D308" s="1">
        <v>41439</v>
      </c>
      <c r="E308">
        <f>Superstore_Sales[[#This Row],[Ship Date]]-Superstore_Sales[[#This Row],[Order Date]]</f>
        <v>2</v>
      </c>
      <c r="F308" t="s">
        <v>25</v>
      </c>
      <c r="G308" t="s">
        <v>495</v>
      </c>
      <c r="H308" t="s">
        <v>496</v>
      </c>
      <c r="I308" t="s">
        <v>28</v>
      </c>
      <c r="K308" t="s">
        <v>1740</v>
      </c>
      <c r="L308" t="s">
        <v>292</v>
      </c>
      <c r="M308" t="s">
        <v>293</v>
      </c>
      <c r="N308" t="s">
        <v>294</v>
      </c>
      <c r="O308" t="s">
        <v>79</v>
      </c>
      <c r="P308" t="s">
        <v>652</v>
      </c>
      <c r="Q308" t="s">
        <v>35</v>
      </c>
      <c r="R308" t="s">
        <v>36</v>
      </c>
      <c r="S308" t="s">
        <v>653</v>
      </c>
      <c r="T308">
        <v>2549.7600000000002</v>
      </c>
      <c r="U308">
        <v>4</v>
      </c>
      <c r="V308">
        <v>0</v>
      </c>
      <c r="W308">
        <v>1172.8800000000001</v>
      </c>
      <c r="X308">
        <v>336.65</v>
      </c>
      <c r="Y308" t="s">
        <v>61</v>
      </c>
      <c r="Z308">
        <f>Superstore_Sales[[#This Row],[Sales]]*Superstore_Sales[[#This Row],[Quantity]]</f>
        <v>10199.040000000001</v>
      </c>
      <c r="AA308" s="3">
        <f>Superstore_Sales[[#This Row],[TotalSales]]*Superstore_Sales[[#This Row],[Discount]]/100</f>
        <v>0</v>
      </c>
      <c r="AB308" s="2">
        <f>Superstore_Sales[[#This Row],[TotalSales]]-Superstore_Sales[[#This Row],[Dis_amt]]-Superstore_Sales[[#This Row],[Shipping Cost]]</f>
        <v>9862.3900000000012</v>
      </c>
    </row>
    <row r="309" spans="1:28" x14ac:dyDescent="0.35">
      <c r="A309">
        <v>20521</v>
      </c>
      <c r="B309" t="s">
        <v>1741</v>
      </c>
      <c r="C309" s="1">
        <v>42080</v>
      </c>
      <c r="D309" s="1">
        <v>42085</v>
      </c>
      <c r="E309">
        <f>Superstore_Sales[[#This Row],[Ship Date]]-Superstore_Sales[[#This Row],[Order Date]]</f>
        <v>5</v>
      </c>
      <c r="F309" t="s">
        <v>40</v>
      </c>
      <c r="G309" t="s">
        <v>1742</v>
      </c>
      <c r="H309" t="s">
        <v>1743</v>
      </c>
      <c r="I309" t="s">
        <v>65</v>
      </c>
      <c r="K309" t="s">
        <v>86</v>
      </c>
      <c r="L309" t="s">
        <v>45</v>
      </c>
      <c r="M309" t="s">
        <v>46</v>
      </c>
      <c r="N309" t="s">
        <v>47</v>
      </c>
      <c r="O309" t="s">
        <v>48</v>
      </c>
      <c r="P309" t="s">
        <v>1628</v>
      </c>
      <c r="Q309" t="s">
        <v>35</v>
      </c>
      <c r="R309" t="s">
        <v>81</v>
      </c>
      <c r="S309" t="s">
        <v>1629</v>
      </c>
      <c r="T309">
        <v>3299.56</v>
      </c>
      <c r="U309">
        <v>14</v>
      </c>
      <c r="V309">
        <v>0.1</v>
      </c>
      <c r="W309">
        <v>366.28</v>
      </c>
      <c r="X309">
        <v>336.02</v>
      </c>
      <c r="Y309" t="s">
        <v>61</v>
      </c>
      <c r="Z309">
        <f>Superstore_Sales[[#This Row],[Sales]]*Superstore_Sales[[#This Row],[Quantity]]</f>
        <v>46193.84</v>
      </c>
      <c r="AA309" s="3">
        <f>Superstore_Sales[[#This Row],[TotalSales]]*Superstore_Sales[[#This Row],[Discount]]/100</f>
        <v>46.193840000000002</v>
      </c>
      <c r="AB309" s="2">
        <f>Superstore_Sales[[#This Row],[TotalSales]]-Superstore_Sales[[#This Row],[Dis_amt]]-Superstore_Sales[[#This Row],[Shipping Cost]]</f>
        <v>45811.62616</v>
      </c>
    </row>
    <row r="310" spans="1:28" x14ac:dyDescent="0.35">
      <c r="A310">
        <v>12032</v>
      </c>
      <c r="B310" t="s">
        <v>1744</v>
      </c>
      <c r="C310" s="1">
        <v>41591</v>
      </c>
      <c r="D310" s="1">
        <v>41595</v>
      </c>
      <c r="E310">
        <f>Superstore_Sales[[#This Row],[Ship Date]]-Superstore_Sales[[#This Row],[Order Date]]</f>
        <v>4</v>
      </c>
      <c r="F310" t="s">
        <v>98</v>
      </c>
      <c r="G310" t="s">
        <v>1745</v>
      </c>
      <c r="H310" t="s">
        <v>388</v>
      </c>
      <c r="I310" t="s">
        <v>28</v>
      </c>
      <c r="K310" t="s">
        <v>1746</v>
      </c>
      <c r="L310" t="s">
        <v>1747</v>
      </c>
      <c r="M310" t="s">
        <v>1748</v>
      </c>
      <c r="N310" t="s">
        <v>68</v>
      </c>
      <c r="O310" t="s">
        <v>69</v>
      </c>
      <c r="P310" t="s">
        <v>1749</v>
      </c>
      <c r="Q310" t="s">
        <v>147</v>
      </c>
      <c r="R310" t="s">
        <v>148</v>
      </c>
      <c r="S310" t="s">
        <v>1750</v>
      </c>
      <c r="T310">
        <v>2489.4</v>
      </c>
      <c r="U310">
        <v>9</v>
      </c>
      <c r="V310">
        <v>0</v>
      </c>
      <c r="W310">
        <v>273.77999999999997</v>
      </c>
      <c r="X310">
        <v>335.95</v>
      </c>
      <c r="Y310" t="s">
        <v>38</v>
      </c>
      <c r="Z310">
        <f>Superstore_Sales[[#This Row],[Sales]]*Superstore_Sales[[#This Row],[Quantity]]</f>
        <v>22404.600000000002</v>
      </c>
      <c r="AA310" s="3">
        <f>Superstore_Sales[[#This Row],[TotalSales]]*Superstore_Sales[[#This Row],[Discount]]/100</f>
        <v>0</v>
      </c>
      <c r="AB310" s="2">
        <f>Superstore_Sales[[#This Row],[TotalSales]]-Superstore_Sales[[#This Row],[Dis_amt]]-Superstore_Sales[[#This Row],[Shipping Cost]]</f>
        <v>22068.65</v>
      </c>
    </row>
    <row r="311" spans="1:28" x14ac:dyDescent="0.35">
      <c r="A311">
        <v>11549</v>
      </c>
      <c r="B311" t="s">
        <v>1751</v>
      </c>
      <c r="C311" s="1">
        <v>42140</v>
      </c>
      <c r="D311" s="1">
        <v>42143</v>
      </c>
      <c r="E311">
        <f>Superstore_Sales[[#This Row],[Ship Date]]-Superstore_Sales[[#This Row],[Order Date]]</f>
        <v>3</v>
      </c>
      <c r="F311" t="s">
        <v>25</v>
      </c>
      <c r="G311" t="s">
        <v>1752</v>
      </c>
      <c r="H311" t="s">
        <v>687</v>
      </c>
      <c r="I311" t="s">
        <v>65</v>
      </c>
      <c r="K311" t="s">
        <v>1753</v>
      </c>
      <c r="L311" t="s">
        <v>668</v>
      </c>
      <c r="M311" t="s">
        <v>155</v>
      </c>
      <c r="N311" t="s">
        <v>68</v>
      </c>
      <c r="O311" t="s">
        <v>69</v>
      </c>
      <c r="P311" t="s">
        <v>1754</v>
      </c>
      <c r="Q311" t="s">
        <v>50</v>
      </c>
      <c r="R311" t="s">
        <v>336</v>
      </c>
      <c r="S311" t="s">
        <v>1755</v>
      </c>
      <c r="T311">
        <v>1189.24</v>
      </c>
      <c r="U311">
        <v>9</v>
      </c>
      <c r="V311">
        <v>0.1</v>
      </c>
      <c r="W311">
        <v>250.99</v>
      </c>
      <c r="X311">
        <v>334.23</v>
      </c>
      <c r="Y311" t="s">
        <v>38</v>
      </c>
      <c r="Z311">
        <f>Superstore_Sales[[#This Row],[Sales]]*Superstore_Sales[[#This Row],[Quantity]]</f>
        <v>10703.16</v>
      </c>
      <c r="AA311" s="3">
        <f>Superstore_Sales[[#This Row],[TotalSales]]*Superstore_Sales[[#This Row],[Discount]]/100</f>
        <v>10.70316</v>
      </c>
      <c r="AB311" s="2">
        <f>Superstore_Sales[[#This Row],[TotalSales]]-Superstore_Sales[[#This Row],[Dis_amt]]-Superstore_Sales[[#This Row],[Shipping Cost]]</f>
        <v>10358.226840000001</v>
      </c>
    </row>
    <row r="312" spans="1:28" x14ac:dyDescent="0.35">
      <c r="A312">
        <v>2808</v>
      </c>
      <c r="B312" t="s">
        <v>1756</v>
      </c>
      <c r="C312" s="1">
        <v>42360</v>
      </c>
      <c r="D312" s="1">
        <v>42362</v>
      </c>
      <c r="E312">
        <f>Superstore_Sales[[#This Row],[Ship Date]]-Superstore_Sales[[#This Row],[Order Date]]</f>
        <v>2</v>
      </c>
      <c r="F312" t="s">
        <v>25</v>
      </c>
      <c r="G312" t="s">
        <v>1757</v>
      </c>
      <c r="H312" t="s">
        <v>608</v>
      </c>
      <c r="I312" t="s">
        <v>43</v>
      </c>
      <c r="K312" t="s">
        <v>226</v>
      </c>
      <c r="L312" t="s">
        <v>227</v>
      </c>
      <c r="M312" t="s">
        <v>228</v>
      </c>
      <c r="N312" t="s">
        <v>220</v>
      </c>
      <c r="O312" t="s">
        <v>136</v>
      </c>
      <c r="P312" t="s">
        <v>137</v>
      </c>
      <c r="Q312" t="s">
        <v>50</v>
      </c>
      <c r="R312" t="s">
        <v>51</v>
      </c>
      <c r="S312" t="s">
        <v>138</v>
      </c>
      <c r="T312">
        <v>1269.5999999999999</v>
      </c>
      <c r="U312">
        <v>4</v>
      </c>
      <c r="V312">
        <v>0</v>
      </c>
      <c r="W312">
        <v>355.44</v>
      </c>
      <c r="X312">
        <v>333.14800000000002</v>
      </c>
      <c r="Y312" t="s">
        <v>38</v>
      </c>
      <c r="Z312">
        <f>Superstore_Sales[[#This Row],[Sales]]*Superstore_Sales[[#This Row],[Quantity]]</f>
        <v>5078.3999999999996</v>
      </c>
      <c r="AA312" s="3">
        <f>Superstore_Sales[[#This Row],[TotalSales]]*Superstore_Sales[[#This Row],[Discount]]/100</f>
        <v>0</v>
      </c>
      <c r="AB312" s="2">
        <f>Superstore_Sales[[#This Row],[TotalSales]]-Superstore_Sales[[#This Row],[Dis_amt]]-Superstore_Sales[[#This Row],[Shipping Cost]]</f>
        <v>4745.2519999999995</v>
      </c>
    </row>
    <row r="313" spans="1:28" x14ac:dyDescent="0.35">
      <c r="A313">
        <v>29513</v>
      </c>
      <c r="B313" t="s">
        <v>1758</v>
      </c>
      <c r="C313" s="1">
        <v>41896</v>
      </c>
      <c r="D313" s="1">
        <v>41896</v>
      </c>
      <c r="E313">
        <f>Superstore_Sales[[#This Row],[Ship Date]]-Superstore_Sales[[#This Row],[Order Date]]</f>
        <v>0</v>
      </c>
      <c r="F313" t="s">
        <v>73</v>
      </c>
      <c r="G313" t="s">
        <v>1759</v>
      </c>
      <c r="H313" t="s">
        <v>1760</v>
      </c>
      <c r="I313" t="s">
        <v>65</v>
      </c>
      <c r="K313" t="s">
        <v>1761</v>
      </c>
      <c r="L313" t="s">
        <v>1762</v>
      </c>
      <c r="M313" t="s">
        <v>1763</v>
      </c>
      <c r="N313" t="s">
        <v>118</v>
      </c>
      <c r="O313" t="s">
        <v>48</v>
      </c>
      <c r="P313" t="s">
        <v>295</v>
      </c>
      <c r="Q313" t="s">
        <v>35</v>
      </c>
      <c r="R313" t="s">
        <v>36</v>
      </c>
      <c r="S313" t="s">
        <v>296</v>
      </c>
      <c r="T313">
        <v>3499.16</v>
      </c>
      <c r="U313">
        <v>11</v>
      </c>
      <c r="V313">
        <v>0.5</v>
      </c>
      <c r="W313">
        <v>-3009.44</v>
      </c>
      <c r="X313">
        <v>333.1</v>
      </c>
      <c r="Y313" t="s">
        <v>61</v>
      </c>
      <c r="Z313">
        <f>Superstore_Sales[[#This Row],[Sales]]*Superstore_Sales[[#This Row],[Quantity]]</f>
        <v>38490.759999999995</v>
      </c>
      <c r="AA313" s="3">
        <f>Superstore_Sales[[#This Row],[TotalSales]]*Superstore_Sales[[#This Row],[Discount]]/100</f>
        <v>192.45379999999997</v>
      </c>
      <c r="AB313" s="2">
        <f>Superstore_Sales[[#This Row],[TotalSales]]-Superstore_Sales[[#This Row],[Dis_amt]]-Superstore_Sales[[#This Row],[Shipping Cost]]</f>
        <v>37965.206199999993</v>
      </c>
    </row>
    <row r="314" spans="1:28" x14ac:dyDescent="0.35">
      <c r="A314">
        <v>25671</v>
      </c>
      <c r="B314" t="s">
        <v>1764</v>
      </c>
      <c r="C314" s="1">
        <v>41646</v>
      </c>
      <c r="D314" s="1">
        <v>41652</v>
      </c>
      <c r="E314">
        <f>Superstore_Sales[[#This Row],[Ship Date]]-Superstore_Sales[[#This Row],[Order Date]]</f>
        <v>6</v>
      </c>
      <c r="F314" t="s">
        <v>98</v>
      </c>
      <c r="G314" t="s">
        <v>1765</v>
      </c>
      <c r="H314" t="s">
        <v>1766</v>
      </c>
      <c r="I314" t="s">
        <v>28</v>
      </c>
      <c r="K314" t="s">
        <v>86</v>
      </c>
      <c r="L314" t="s">
        <v>45</v>
      </c>
      <c r="M314" t="s">
        <v>46</v>
      </c>
      <c r="N314" t="s">
        <v>47</v>
      </c>
      <c r="O314" t="s">
        <v>48</v>
      </c>
      <c r="P314" t="s">
        <v>1767</v>
      </c>
      <c r="Q314" t="s">
        <v>50</v>
      </c>
      <c r="R314" t="s">
        <v>104</v>
      </c>
      <c r="S314" t="s">
        <v>1768</v>
      </c>
      <c r="T314">
        <v>2993.03</v>
      </c>
      <c r="U314">
        <v>5</v>
      </c>
      <c r="V314">
        <v>0.3</v>
      </c>
      <c r="W314">
        <v>726.83</v>
      </c>
      <c r="X314">
        <v>333.06</v>
      </c>
      <c r="Y314" t="s">
        <v>61</v>
      </c>
      <c r="Z314">
        <f>Superstore_Sales[[#This Row],[Sales]]*Superstore_Sales[[#This Row],[Quantity]]</f>
        <v>14965.150000000001</v>
      </c>
      <c r="AA314" s="3">
        <f>Superstore_Sales[[#This Row],[TotalSales]]*Superstore_Sales[[#This Row],[Discount]]/100</f>
        <v>44.895450000000004</v>
      </c>
      <c r="AB314" s="2">
        <f>Superstore_Sales[[#This Row],[TotalSales]]-Superstore_Sales[[#This Row],[Dis_amt]]-Superstore_Sales[[#This Row],[Shipping Cost]]</f>
        <v>14587.194550000002</v>
      </c>
    </row>
    <row r="315" spans="1:28" x14ac:dyDescent="0.35">
      <c r="A315">
        <v>14419</v>
      </c>
      <c r="B315" t="s">
        <v>1769</v>
      </c>
      <c r="C315" s="1">
        <v>42182</v>
      </c>
      <c r="D315" s="1">
        <v>42182</v>
      </c>
      <c r="E315">
        <f>Superstore_Sales[[#This Row],[Ship Date]]-Superstore_Sales[[#This Row],[Order Date]]</f>
        <v>0</v>
      </c>
      <c r="F315" t="s">
        <v>73</v>
      </c>
      <c r="G315" t="s">
        <v>1770</v>
      </c>
      <c r="H315" t="s">
        <v>1493</v>
      </c>
      <c r="I315" t="s">
        <v>65</v>
      </c>
      <c r="K315" t="s">
        <v>1771</v>
      </c>
      <c r="L315" t="s">
        <v>1772</v>
      </c>
      <c r="M315" t="s">
        <v>155</v>
      </c>
      <c r="N315" t="s">
        <v>68</v>
      </c>
      <c r="O315" t="s">
        <v>69</v>
      </c>
      <c r="P315" t="s">
        <v>1773</v>
      </c>
      <c r="Q315" t="s">
        <v>35</v>
      </c>
      <c r="R315" t="s">
        <v>81</v>
      </c>
      <c r="S315" t="s">
        <v>1774</v>
      </c>
      <c r="T315">
        <v>815.95</v>
      </c>
      <c r="U315">
        <v>3</v>
      </c>
      <c r="V315">
        <v>0.15</v>
      </c>
      <c r="W315">
        <v>287.92</v>
      </c>
      <c r="X315">
        <v>333.02</v>
      </c>
      <c r="Y315" t="s">
        <v>53</v>
      </c>
      <c r="Z315">
        <f>Superstore_Sales[[#This Row],[Sales]]*Superstore_Sales[[#This Row],[Quantity]]</f>
        <v>2447.8500000000004</v>
      </c>
      <c r="AA315" s="3">
        <f>Superstore_Sales[[#This Row],[TotalSales]]*Superstore_Sales[[#This Row],[Discount]]/100</f>
        <v>3.6717750000000007</v>
      </c>
      <c r="AB315" s="2">
        <f>Superstore_Sales[[#This Row],[TotalSales]]-Superstore_Sales[[#This Row],[Dis_amt]]-Superstore_Sales[[#This Row],[Shipping Cost]]</f>
        <v>2111.1582250000006</v>
      </c>
    </row>
    <row r="316" spans="1:28" x14ac:dyDescent="0.35">
      <c r="A316">
        <v>17361</v>
      </c>
      <c r="B316" t="s">
        <v>1775</v>
      </c>
      <c r="C316" s="1">
        <v>41468</v>
      </c>
      <c r="D316" s="1">
        <v>41471</v>
      </c>
      <c r="E316">
        <f>Superstore_Sales[[#This Row],[Ship Date]]-Superstore_Sales[[#This Row],[Order Date]]</f>
        <v>3</v>
      </c>
      <c r="F316" t="s">
        <v>40</v>
      </c>
      <c r="G316" t="s">
        <v>1776</v>
      </c>
      <c r="H316" t="s">
        <v>1777</v>
      </c>
      <c r="I316" t="s">
        <v>28</v>
      </c>
      <c r="K316" t="s">
        <v>1778</v>
      </c>
      <c r="L316" t="s">
        <v>1779</v>
      </c>
      <c r="M316" t="s">
        <v>1780</v>
      </c>
      <c r="N316" t="s">
        <v>211</v>
      </c>
      <c r="O316" t="s">
        <v>69</v>
      </c>
      <c r="P316" t="s">
        <v>1781</v>
      </c>
      <c r="Q316" t="s">
        <v>35</v>
      </c>
      <c r="R316" t="s">
        <v>275</v>
      </c>
      <c r="S316" t="s">
        <v>1782</v>
      </c>
      <c r="T316">
        <v>1245</v>
      </c>
      <c r="U316">
        <v>4</v>
      </c>
      <c r="V316">
        <v>0</v>
      </c>
      <c r="W316">
        <v>161.76</v>
      </c>
      <c r="X316">
        <v>332.96</v>
      </c>
      <c r="Y316" t="s">
        <v>53</v>
      </c>
      <c r="Z316">
        <f>Superstore_Sales[[#This Row],[Sales]]*Superstore_Sales[[#This Row],[Quantity]]</f>
        <v>4980</v>
      </c>
      <c r="AA316" s="3">
        <f>Superstore_Sales[[#This Row],[TotalSales]]*Superstore_Sales[[#This Row],[Discount]]/100</f>
        <v>0</v>
      </c>
      <c r="AB316" s="2">
        <f>Superstore_Sales[[#This Row],[TotalSales]]-Superstore_Sales[[#This Row],[Dis_amt]]-Superstore_Sales[[#This Row],[Shipping Cost]]</f>
        <v>4647.04</v>
      </c>
    </row>
    <row r="317" spans="1:28" x14ac:dyDescent="0.35">
      <c r="A317">
        <v>30082</v>
      </c>
      <c r="B317" t="s">
        <v>1783</v>
      </c>
      <c r="C317" s="1">
        <v>42046</v>
      </c>
      <c r="D317" s="1">
        <v>42046</v>
      </c>
      <c r="E317">
        <f>Superstore_Sales[[#This Row],[Ship Date]]-Superstore_Sales[[#This Row],[Order Date]]</f>
        <v>0</v>
      </c>
      <c r="F317" t="s">
        <v>73</v>
      </c>
      <c r="G317" t="s">
        <v>1784</v>
      </c>
      <c r="H317" t="s">
        <v>1785</v>
      </c>
      <c r="I317" t="s">
        <v>28</v>
      </c>
      <c r="K317" t="s">
        <v>1786</v>
      </c>
      <c r="L317" t="s">
        <v>742</v>
      </c>
      <c r="M317" t="s">
        <v>46</v>
      </c>
      <c r="N317" t="s">
        <v>47</v>
      </c>
      <c r="O317" t="s">
        <v>48</v>
      </c>
      <c r="P317" t="s">
        <v>1787</v>
      </c>
      <c r="Q317" t="s">
        <v>35</v>
      </c>
      <c r="R317" t="s">
        <v>81</v>
      </c>
      <c r="S317" t="s">
        <v>1788</v>
      </c>
      <c r="T317">
        <v>1027.73</v>
      </c>
      <c r="U317">
        <v>8</v>
      </c>
      <c r="V317">
        <v>0.1</v>
      </c>
      <c r="W317">
        <v>182.69</v>
      </c>
      <c r="X317">
        <v>332.2</v>
      </c>
      <c r="Y317" t="s">
        <v>53</v>
      </c>
      <c r="Z317">
        <f>Superstore_Sales[[#This Row],[Sales]]*Superstore_Sales[[#This Row],[Quantity]]</f>
        <v>8221.84</v>
      </c>
      <c r="AA317" s="3">
        <f>Superstore_Sales[[#This Row],[TotalSales]]*Superstore_Sales[[#This Row],[Discount]]/100</f>
        <v>8.2218400000000003</v>
      </c>
      <c r="AB317" s="2">
        <f>Superstore_Sales[[#This Row],[TotalSales]]-Superstore_Sales[[#This Row],[Dis_amt]]-Superstore_Sales[[#This Row],[Shipping Cost]]</f>
        <v>7881.4181600000002</v>
      </c>
    </row>
    <row r="318" spans="1:28" x14ac:dyDescent="0.35">
      <c r="A318">
        <v>22207</v>
      </c>
      <c r="B318" t="s">
        <v>1789</v>
      </c>
      <c r="C318" s="1">
        <v>42153</v>
      </c>
      <c r="D318" s="1">
        <v>42160</v>
      </c>
      <c r="E318">
        <f>Superstore_Sales[[#This Row],[Ship Date]]-Superstore_Sales[[#This Row],[Order Date]]</f>
        <v>7</v>
      </c>
      <c r="F318" t="s">
        <v>98</v>
      </c>
      <c r="G318" t="s">
        <v>1790</v>
      </c>
      <c r="H318" t="s">
        <v>1297</v>
      </c>
      <c r="I318" t="s">
        <v>28</v>
      </c>
      <c r="K318" t="s">
        <v>741</v>
      </c>
      <c r="L318" t="s">
        <v>742</v>
      </c>
      <c r="M318" t="s">
        <v>46</v>
      </c>
      <c r="N318" t="s">
        <v>47</v>
      </c>
      <c r="O318" t="s">
        <v>48</v>
      </c>
      <c r="P318" t="s">
        <v>1791</v>
      </c>
      <c r="Q318" t="s">
        <v>35</v>
      </c>
      <c r="R318" t="s">
        <v>81</v>
      </c>
      <c r="S318" t="s">
        <v>1792</v>
      </c>
      <c r="T318">
        <v>1703.03</v>
      </c>
      <c r="U318">
        <v>5</v>
      </c>
      <c r="V318">
        <v>0.1</v>
      </c>
      <c r="W318">
        <v>737.93</v>
      </c>
      <c r="X318">
        <v>332.14</v>
      </c>
      <c r="Y318" t="s">
        <v>164</v>
      </c>
      <c r="Z318">
        <f>Superstore_Sales[[#This Row],[Sales]]*Superstore_Sales[[#This Row],[Quantity]]</f>
        <v>8515.15</v>
      </c>
      <c r="AA318" s="3">
        <f>Superstore_Sales[[#This Row],[TotalSales]]*Superstore_Sales[[#This Row],[Discount]]/100</f>
        <v>8.5151500000000002</v>
      </c>
      <c r="AB318" s="2">
        <f>Superstore_Sales[[#This Row],[TotalSales]]-Superstore_Sales[[#This Row],[Dis_amt]]-Superstore_Sales[[#This Row],[Shipping Cost]]</f>
        <v>8174.49485</v>
      </c>
    </row>
    <row r="319" spans="1:28" x14ac:dyDescent="0.35">
      <c r="A319">
        <v>29552</v>
      </c>
      <c r="B319" t="s">
        <v>1793</v>
      </c>
      <c r="C319" s="1">
        <v>42110</v>
      </c>
      <c r="D319" s="1">
        <v>42112</v>
      </c>
      <c r="E319">
        <f>Superstore_Sales[[#This Row],[Ship Date]]-Superstore_Sales[[#This Row],[Order Date]]</f>
        <v>2</v>
      </c>
      <c r="F319" t="s">
        <v>40</v>
      </c>
      <c r="G319" t="s">
        <v>1794</v>
      </c>
      <c r="H319" t="s">
        <v>1795</v>
      </c>
      <c r="I319" t="s">
        <v>28</v>
      </c>
      <c r="K319" t="s">
        <v>938</v>
      </c>
      <c r="L319" t="s">
        <v>939</v>
      </c>
      <c r="M319" t="s">
        <v>321</v>
      </c>
      <c r="N319" t="s">
        <v>322</v>
      </c>
      <c r="O319" t="s">
        <v>48</v>
      </c>
      <c r="P319" t="s">
        <v>1071</v>
      </c>
      <c r="Q319" t="s">
        <v>147</v>
      </c>
      <c r="R319" t="s">
        <v>162</v>
      </c>
      <c r="S319" t="s">
        <v>1072</v>
      </c>
      <c r="T319">
        <v>1803.08</v>
      </c>
      <c r="U319">
        <v>11</v>
      </c>
      <c r="V319">
        <v>0.17</v>
      </c>
      <c r="W319">
        <v>-130.38999999999999</v>
      </c>
      <c r="X319">
        <v>332.13</v>
      </c>
      <c r="Y319" t="s">
        <v>38</v>
      </c>
      <c r="Z319">
        <f>Superstore_Sales[[#This Row],[Sales]]*Superstore_Sales[[#This Row],[Quantity]]</f>
        <v>19833.879999999997</v>
      </c>
      <c r="AA319" s="3">
        <f>Superstore_Sales[[#This Row],[TotalSales]]*Superstore_Sales[[#This Row],[Discount]]/100</f>
        <v>33.717596</v>
      </c>
      <c r="AB319" s="2">
        <f>Superstore_Sales[[#This Row],[TotalSales]]-Superstore_Sales[[#This Row],[Dis_amt]]-Superstore_Sales[[#This Row],[Shipping Cost]]</f>
        <v>19468.032403999998</v>
      </c>
    </row>
    <row r="320" spans="1:28" x14ac:dyDescent="0.35">
      <c r="A320">
        <v>17894</v>
      </c>
      <c r="B320" t="s">
        <v>1796</v>
      </c>
      <c r="C320" s="1">
        <v>42335</v>
      </c>
      <c r="D320" s="1">
        <v>42337</v>
      </c>
      <c r="E320">
        <f>Superstore_Sales[[#This Row],[Ship Date]]-Superstore_Sales[[#This Row],[Order Date]]</f>
        <v>2</v>
      </c>
      <c r="F320" t="s">
        <v>25</v>
      </c>
      <c r="G320" t="s">
        <v>1797</v>
      </c>
      <c r="H320" t="s">
        <v>1798</v>
      </c>
      <c r="I320" t="s">
        <v>43</v>
      </c>
      <c r="K320" t="s">
        <v>1799</v>
      </c>
      <c r="L320" t="s">
        <v>154</v>
      </c>
      <c r="M320" t="s">
        <v>155</v>
      </c>
      <c r="N320" t="s">
        <v>68</v>
      </c>
      <c r="O320" t="s">
        <v>69</v>
      </c>
      <c r="P320" t="s">
        <v>1800</v>
      </c>
      <c r="Q320" t="s">
        <v>50</v>
      </c>
      <c r="R320" t="s">
        <v>336</v>
      </c>
      <c r="S320" t="s">
        <v>1801</v>
      </c>
      <c r="T320">
        <v>676.49</v>
      </c>
      <c r="U320">
        <v>5</v>
      </c>
      <c r="V320">
        <v>0.1</v>
      </c>
      <c r="W320">
        <v>195.29</v>
      </c>
      <c r="X320">
        <v>330.51</v>
      </c>
      <c r="Y320" t="s">
        <v>53</v>
      </c>
      <c r="Z320">
        <f>Superstore_Sales[[#This Row],[Sales]]*Superstore_Sales[[#This Row],[Quantity]]</f>
        <v>3382.45</v>
      </c>
      <c r="AA320" s="3">
        <f>Superstore_Sales[[#This Row],[TotalSales]]*Superstore_Sales[[#This Row],[Discount]]/100</f>
        <v>3.38245</v>
      </c>
      <c r="AB320" s="2">
        <f>Superstore_Sales[[#This Row],[TotalSales]]-Superstore_Sales[[#This Row],[Dis_amt]]-Superstore_Sales[[#This Row],[Shipping Cost]]</f>
        <v>3048.5575499999995</v>
      </c>
    </row>
    <row r="321" spans="1:28" x14ac:dyDescent="0.35">
      <c r="A321">
        <v>20583</v>
      </c>
      <c r="B321" t="s">
        <v>1802</v>
      </c>
      <c r="C321" s="1">
        <v>41221</v>
      </c>
      <c r="D321" s="1">
        <v>41223</v>
      </c>
      <c r="E321">
        <f>Superstore_Sales[[#This Row],[Ship Date]]-Superstore_Sales[[#This Row],[Order Date]]</f>
        <v>2</v>
      </c>
      <c r="F321" t="s">
        <v>25</v>
      </c>
      <c r="G321" t="s">
        <v>1803</v>
      </c>
      <c r="H321" t="s">
        <v>1804</v>
      </c>
      <c r="I321" t="s">
        <v>43</v>
      </c>
      <c r="K321" t="s">
        <v>1805</v>
      </c>
      <c r="L321" t="s">
        <v>1418</v>
      </c>
      <c r="M321" t="s">
        <v>258</v>
      </c>
      <c r="N321" t="s">
        <v>118</v>
      </c>
      <c r="O321" t="s">
        <v>48</v>
      </c>
      <c r="P321" t="s">
        <v>1806</v>
      </c>
      <c r="Q321" t="s">
        <v>50</v>
      </c>
      <c r="R321" t="s">
        <v>51</v>
      </c>
      <c r="S321" t="s">
        <v>1807</v>
      </c>
      <c r="T321">
        <v>969.36</v>
      </c>
      <c r="U321">
        <v>7</v>
      </c>
      <c r="V321">
        <v>0</v>
      </c>
      <c r="W321">
        <v>348.81</v>
      </c>
      <c r="X321">
        <v>330.01</v>
      </c>
      <c r="Y321" t="s">
        <v>53</v>
      </c>
      <c r="Z321">
        <f>Superstore_Sales[[#This Row],[Sales]]*Superstore_Sales[[#This Row],[Quantity]]</f>
        <v>6785.52</v>
      </c>
      <c r="AA321" s="3">
        <f>Superstore_Sales[[#This Row],[TotalSales]]*Superstore_Sales[[#This Row],[Discount]]/100</f>
        <v>0</v>
      </c>
      <c r="AB321" s="2">
        <f>Superstore_Sales[[#This Row],[TotalSales]]-Superstore_Sales[[#This Row],[Dis_amt]]-Superstore_Sales[[#This Row],[Shipping Cost]]</f>
        <v>6455.51</v>
      </c>
    </row>
    <row r="322" spans="1:28" x14ac:dyDescent="0.35">
      <c r="A322">
        <v>13924</v>
      </c>
      <c r="B322" t="s">
        <v>1808</v>
      </c>
      <c r="C322" s="1">
        <v>42265</v>
      </c>
      <c r="D322" s="1">
        <v>42265</v>
      </c>
      <c r="E322">
        <f>Superstore_Sales[[#This Row],[Ship Date]]-Superstore_Sales[[#This Row],[Order Date]]</f>
        <v>0</v>
      </c>
      <c r="F322" t="s">
        <v>73</v>
      </c>
      <c r="G322" t="s">
        <v>1809</v>
      </c>
      <c r="H322" t="s">
        <v>1810</v>
      </c>
      <c r="I322" t="s">
        <v>43</v>
      </c>
      <c r="K322" t="s">
        <v>1811</v>
      </c>
      <c r="L322" t="s">
        <v>668</v>
      </c>
      <c r="M322" t="s">
        <v>155</v>
      </c>
      <c r="N322" t="s">
        <v>68</v>
      </c>
      <c r="O322" t="s">
        <v>69</v>
      </c>
      <c r="P322" t="s">
        <v>736</v>
      </c>
      <c r="Q322" t="s">
        <v>50</v>
      </c>
      <c r="R322" t="s">
        <v>336</v>
      </c>
      <c r="S322" t="s">
        <v>737</v>
      </c>
      <c r="T322">
        <v>1637.01</v>
      </c>
      <c r="U322">
        <v>5</v>
      </c>
      <c r="V322">
        <v>0.1</v>
      </c>
      <c r="W322">
        <v>90.81</v>
      </c>
      <c r="X322">
        <v>329.73</v>
      </c>
      <c r="Y322" t="s">
        <v>38</v>
      </c>
      <c r="Z322">
        <f>Superstore_Sales[[#This Row],[Sales]]*Superstore_Sales[[#This Row],[Quantity]]</f>
        <v>8185.05</v>
      </c>
      <c r="AA322" s="3">
        <f>Superstore_Sales[[#This Row],[TotalSales]]*Superstore_Sales[[#This Row],[Discount]]/100</f>
        <v>8.1850500000000004</v>
      </c>
      <c r="AB322" s="2">
        <f>Superstore_Sales[[#This Row],[TotalSales]]-Superstore_Sales[[#This Row],[Dis_amt]]-Superstore_Sales[[#This Row],[Shipping Cost]]</f>
        <v>7847.1349499999997</v>
      </c>
    </row>
    <row r="323" spans="1:28" x14ac:dyDescent="0.35">
      <c r="A323">
        <v>9294</v>
      </c>
      <c r="B323" t="s">
        <v>1812</v>
      </c>
      <c r="C323" s="1">
        <v>42059</v>
      </c>
      <c r="D323" s="1">
        <v>42062</v>
      </c>
      <c r="E323">
        <f>Superstore_Sales[[#This Row],[Ship Date]]-Superstore_Sales[[#This Row],[Order Date]]</f>
        <v>3</v>
      </c>
      <c r="F323" t="s">
        <v>25</v>
      </c>
      <c r="G323" t="s">
        <v>1813</v>
      </c>
      <c r="H323" t="s">
        <v>1814</v>
      </c>
      <c r="I323" t="s">
        <v>28</v>
      </c>
      <c r="K323" t="s">
        <v>1815</v>
      </c>
      <c r="L323" t="s">
        <v>1816</v>
      </c>
      <c r="M323" t="s">
        <v>679</v>
      </c>
      <c r="N323" t="s">
        <v>135</v>
      </c>
      <c r="O323" t="s">
        <v>136</v>
      </c>
      <c r="P323" t="s">
        <v>535</v>
      </c>
      <c r="Q323" t="s">
        <v>35</v>
      </c>
      <c r="R323" t="s">
        <v>81</v>
      </c>
      <c r="S323" t="s">
        <v>536</v>
      </c>
      <c r="T323">
        <v>1655.96</v>
      </c>
      <c r="U323">
        <v>7</v>
      </c>
      <c r="V323">
        <v>2E-3</v>
      </c>
      <c r="W323">
        <v>13.2</v>
      </c>
      <c r="X323">
        <v>329.577</v>
      </c>
      <c r="Y323" t="s">
        <v>38</v>
      </c>
      <c r="Z323">
        <f>Superstore_Sales[[#This Row],[Sales]]*Superstore_Sales[[#This Row],[Quantity]]</f>
        <v>11591.720000000001</v>
      </c>
      <c r="AA323" s="3">
        <f>Superstore_Sales[[#This Row],[TotalSales]]*Superstore_Sales[[#This Row],[Discount]]/100</f>
        <v>0.23183440000000005</v>
      </c>
      <c r="AB323" s="2">
        <f>Superstore_Sales[[#This Row],[TotalSales]]-Superstore_Sales[[#This Row],[Dis_amt]]-Superstore_Sales[[#This Row],[Shipping Cost]]</f>
        <v>11261.911165600002</v>
      </c>
    </row>
    <row r="324" spans="1:28" x14ac:dyDescent="0.35">
      <c r="A324">
        <v>4116</v>
      </c>
      <c r="B324" t="s">
        <v>1817</v>
      </c>
      <c r="C324" s="1">
        <v>41885</v>
      </c>
      <c r="D324" s="1">
        <v>41887</v>
      </c>
      <c r="E324">
        <f>Superstore_Sales[[#This Row],[Ship Date]]-Superstore_Sales[[#This Row],[Order Date]]</f>
        <v>2</v>
      </c>
      <c r="F324" t="s">
        <v>25</v>
      </c>
      <c r="G324" t="s">
        <v>1818</v>
      </c>
      <c r="H324" t="s">
        <v>1819</v>
      </c>
      <c r="I324" t="s">
        <v>43</v>
      </c>
      <c r="K324" t="s">
        <v>1820</v>
      </c>
      <c r="L324" t="s">
        <v>1821</v>
      </c>
      <c r="M324" t="s">
        <v>219</v>
      </c>
      <c r="N324" t="s">
        <v>220</v>
      </c>
      <c r="O324" t="s">
        <v>136</v>
      </c>
      <c r="P324" t="s">
        <v>49</v>
      </c>
      <c r="Q324" t="s">
        <v>50</v>
      </c>
      <c r="R324" t="s">
        <v>51</v>
      </c>
      <c r="S324" t="s">
        <v>52</v>
      </c>
      <c r="T324">
        <v>976.96</v>
      </c>
      <c r="U324">
        <v>4</v>
      </c>
      <c r="V324">
        <v>0.2</v>
      </c>
      <c r="W324">
        <v>232</v>
      </c>
      <c r="X324">
        <v>328.65899999999999</v>
      </c>
      <c r="Y324" t="s">
        <v>53</v>
      </c>
      <c r="Z324">
        <f>Superstore_Sales[[#This Row],[Sales]]*Superstore_Sales[[#This Row],[Quantity]]</f>
        <v>3907.84</v>
      </c>
      <c r="AA324" s="3">
        <f>Superstore_Sales[[#This Row],[TotalSales]]*Superstore_Sales[[#This Row],[Discount]]/100</f>
        <v>7.8156800000000013</v>
      </c>
      <c r="AB324" s="2">
        <f>Superstore_Sales[[#This Row],[TotalSales]]-Superstore_Sales[[#This Row],[Dis_amt]]-Superstore_Sales[[#This Row],[Shipping Cost]]</f>
        <v>3571.3653199999999</v>
      </c>
    </row>
    <row r="325" spans="1:28" x14ac:dyDescent="0.35">
      <c r="A325">
        <v>20795</v>
      </c>
      <c r="B325" t="s">
        <v>1822</v>
      </c>
      <c r="C325" s="1">
        <v>41996</v>
      </c>
      <c r="D325" s="1">
        <v>41998</v>
      </c>
      <c r="E325">
        <f>Superstore_Sales[[#This Row],[Ship Date]]-Superstore_Sales[[#This Row],[Order Date]]</f>
        <v>2</v>
      </c>
      <c r="F325" t="s">
        <v>25</v>
      </c>
      <c r="G325" t="s">
        <v>1823</v>
      </c>
      <c r="H325" t="s">
        <v>332</v>
      </c>
      <c r="I325" t="s">
        <v>43</v>
      </c>
      <c r="K325" t="s">
        <v>1824</v>
      </c>
      <c r="L325" t="s">
        <v>143</v>
      </c>
      <c r="M325" t="s">
        <v>144</v>
      </c>
      <c r="N325" t="s">
        <v>145</v>
      </c>
      <c r="O325" t="s">
        <v>48</v>
      </c>
      <c r="P325" t="s">
        <v>1825</v>
      </c>
      <c r="Q325" t="s">
        <v>50</v>
      </c>
      <c r="R325" t="s">
        <v>336</v>
      </c>
      <c r="S325" t="s">
        <v>1826</v>
      </c>
      <c r="T325">
        <v>731.34</v>
      </c>
      <c r="U325">
        <v>2</v>
      </c>
      <c r="V325">
        <v>0</v>
      </c>
      <c r="W325">
        <v>175.5</v>
      </c>
      <c r="X325">
        <v>328.35</v>
      </c>
      <c r="Y325" t="s">
        <v>53</v>
      </c>
      <c r="Z325">
        <f>Superstore_Sales[[#This Row],[Sales]]*Superstore_Sales[[#This Row],[Quantity]]</f>
        <v>1462.68</v>
      </c>
      <c r="AA325" s="3">
        <f>Superstore_Sales[[#This Row],[TotalSales]]*Superstore_Sales[[#This Row],[Discount]]/100</f>
        <v>0</v>
      </c>
      <c r="AB325" s="2">
        <f>Superstore_Sales[[#This Row],[TotalSales]]-Superstore_Sales[[#This Row],[Dis_amt]]-Superstore_Sales[[#This Row],[Shipping Cost]]</f>
        <v>1134.33</v>
      </c>
    </row>
    <row r="326" spans="1:28" x14ac:dyDescent="0.35">
      <c r="A326">
        <v>42763</v>
      </c>
      <c r="B326" t="s">
        <v>1827</v>
      </c>
      <c r="C326" s="1">
        <v>42172</v>
      </c>
      <c r="D326" s="1">
        <v>42174</v>
      </c>
      <c r="E326">
        <f>Superstore_Sales[[#This Row],[Ship Date]]-Superstore_Sales[[#This Row],[Order Date]]</f>
        <v>2</v>
      </c>
      <c r="F326" t="s">
        <v>25</v>
      </c>
      <c r="G326" t="s">
        <v>1828</v>
      </c>
      <c r="H326" t="s">
        <v>1524</v>
      </c>
      <c r="I326" t="s">
        <v>28</v>
      </c>
      <c r="K326" t="s">
        <v>1829</v>
      </c>
      <c r="L326" t="s">
        <v>1830</v>
      </c>
      <c r="M326" t="s">
        <v>1831</v>
      </c>
      <c r="N326" t="s">
        <v>78</v>
      </c>
      <c r="O326" t="s">
        <v>79</v>
      </c>
      <c r="P326" t="s">
        <v>1832</v>
      </c>
      <c r="Q326" t="s">
        <v>147</v>
      </c>
      <c r="R326" t="s">
        <v>148</v>
      </c>
      <c r="S326" t="s">
        <v>1833</v>
      </c>
      <c r="T326">
        <v>1239</v>
      </c>
      <c r="U326">
        <v>4</v>
      </c>
      <c r="V326">
        <v>0</v>
      </c>
      <c r="W326">
        <v>0</v>
      </c>
      <c r="X326">
        <v>327.94</v>
      </c>
      <c r="Y326" t="s">
        <v>53</v>
      </c>
      <c r="Z326">
        <f>Superstore_Sales[[#This Row],[Sales]]*Superstore_Sales[[#This Row],[Quantity]]</f>
        <v>4956</v>
      </c>
      <c r="AA326" s="3">
        <f>Superstore_Sales[[#This Row],[TotalSales]]*Superstore_Sales[[#This Row],[Discount]]/100</f>
        <v>0</v>
      </c>
      <c r="AB326" s="2">
        <f>Superstore_Sales[[#This Row],[TotalSales]]-Superstore_Sales[[#This Row],[Dis_amt]]-Superstore_Sales[[#This Row],[Shipping Cost]]</f>
        <v>4628.0600000000004</v>
      </c>
    </row>
    <row r="327" spans="1:28" x14ac:dyDescent="0.35">
      <c r="A327">
        <v>26473</v>
      </c>
      <c r="B327" t="s">
        <v>1834</v>
      </c>
      <c r="C327" s="1">
        <v>42078</v>
      </c>
      <c r="D327" s="1">
        <v>42080</v>
      </c>
      <c r="E327">
        <f>Superstore_Sales[[#This Row],[Ship Date]]-Superstore_Sales[[#This Row],[Order Date]]</f>
        <v>2</v>
      </c>
      <c r="F327" t="s">
        <v>40</v>
      </c>
      <c r="G327" t="s">
        <v>1835</v>
      </c>
      <c r="H327" t="s">
        <v>1836</v>
      </c>
      <c r="I327" t="s">
        <v>65</v>
      </c>
      <c r="K327" t="s">
        <v>1431</v>
      </c>
      <c r="L327" t="s">
        <v>1432</v>
      </c>
      <c r="M327" t="s">
        <v>1433</v>
      </c>
      <c r="N327" t="s">
        <v>322</v>
      </c>
      <c r="O327" t="s">
        <v>48</v>
      </c>
      <c r="P327" t="s">
        <v>95</v>
      </c>
      <c r="Q327" t="s">
        <v>50</v>
      </c>
      <c r="R327" t="s">
        <v>51</v>
      </c>
      <c r="S327" t="s">
        <v>96</v>
      </c>
      <c r="T327">
        <v>1680.61</v>
      </c>
      <c r="U327">
        <v>5</v>
      </c>
      <c r="V327">
        <v>0.27</v>
      </c>
      <c r="W327">
        <v>368.26</v>
      </c>
      <c r="X327">
        <v>327.81</v>
      </c>
      <c r="Y327" t="s">
        <v>38</v>
      </c>
      <c r="Z327">
        <f>Superstore_Sales[[#This Row],[Sales]]*Superstore_Sales[[#This Row],[Quantity]]</f>
        <v>8403.0499999999993</v>
      </c>
      <c r="AA327" s="3">
        <f>Superstore_Sales[[#This Row],[TotalSales]]*Superstore_Sales[[#This Row],[Discount]]/100</f>
        <v>22.688234999999999</v>
      </c>
      <c r="AB327" s="2">
        <f>Superstore_Sales[[#This Row],[TotalSales]]-Superstore_Sales[[#This Row],[Dis_amt]]-Superstore_Sales[[#This Row],[Shipping Cost]]</f>
        <v>8052.5517649999992</v>
      </c>
    </row>
    <row r="328" spans="1:28" x14ac:dyDescent="0.35">
      <c r="A328">
        <v>27819</v>
      </c>
      <c r="B328" t="s">
        <v>1837</v>
      </c>
      <c r="C328" s="1">
        <v>42197</v>
      </c>
      <c r="D328" s="1">
        <v>42198</v>
      </c>
      <c r="E328">
        <f>Superstore_Sales[[#This Row],[Ship Date]]-Superstore_Sales[[#This Row],[Order Date]]</f>
        <v>1</v>
      </c>
      <c r="F328" t="s">
        <v>25</v>
      </c>
      <c r="G328" t="s">
        <v>1838</v>
      </c>
      <c r="H328" t="s">
        <v>1766</v>
      </c>
      <c r="I328" t="s">
        <v>28</v>
      </c>
      <c r="K328" t="s">
        <v>410</v>
      </c>
      <c r="L328" t="s">
        <v>410</v>
      </c>
      <c r="M328" t="s">
        <v>258</v>
      </c>
      <c r="N328" t="s">
        <v>118</v>
      </c>
      <c r="O328" t="s">
        <v>48</v>
      </c>
      <c r="P328" t="s">
        <v>863</v>
      </c>
      <c r="Q328" t="s">
        <v>50</v>
      </c>
      <c r="R328" t="s">
        <v>336</v>
      </c>
      <c r="S328" t="s">
        <v>864</v>
      </c>
      <c r="T328">
        <v>2190.75</v>
      </c>
      <c r="U328">
        <v>5</v>
      </c>
      <c r="V328">
        <v>0</v>
      </c>
      <c r="W328">
        <v>65.7</v>
      </c>
      <c r="X328">
        <v>327.55</v>
      </c>
      <c r="Y328" t="s">
        <v>61</v>
      </c>
      <c r="Z328">
        <f>Superstore_Sales[[#This Row],[Sales]]*Superstore_Sales[[#This Row],[Quantity]]</f>
        <v>10953.75</v>
      </c>
      <c r="AA328" s="3">
        <f>Superstore_Sales[[#This Row],[TotalSales]]*Superstore_Sales[[#This Row],[Discount]]/100</f>
        <v>0</v>
      </c>
      <c r="AB328" s="2">
        <f>Superstore_Sales[[#This Row],[TotalSales]]-Superstore_Sales[[#This Row],[Dis_amt]]-Superstore_Sales[[#This Row],[Shipping Cost]]</f>
        <v>10626.2</v>
      </c>
    </row>
    <row r="329" spans="1:28" x14ac:dyDescent="0.35">
      <c r="A329">
        <v>13350</v>
      </c>
      <c r="B329" t="s">
        <v>1839</v>
      </c>
      <c r="C329" s="1">
        <v>42164</v>
      </c>
      <c r="D329" s="1">
        <v>42167</v>
      </c>
      <c r="E329">
        <f>Superstore_Sales[[#This Row],[Ship Date]]-Superstore_Sales[[#This Row],[Order Date]]</f>
        <v>3</v>
      </c>
      <c r="F329" t="s">
        <v>25</v>
      </c>
      <c r="G329" t="s">
        <v>1840</v>
      </c>
      <c r="H329" t="s">
        <v>1841</v>
      </c>
      <c r="I329" t="s">
        <v>28</v>
      </c>
      <c r="K329" t="s">
        <v>509</v>
      </c>
      <c r="L329" t="s">
        <v>310</v>
      </c>
      <c r="M329" t="s">
        <v>210</v>
      </c>
      <c r="N329" t="s">
        <v>211</v>
      </c>
      <c r="O329" t="s">
        <v>69</v>
      </c>
      <c r="P329" t="s">
        <v>1842</v>
      </c>
      <c r="Q329" t="s">
        <v>35</v>
      </c>
      <c r="R329" t="s">
        <v>275</v>
      </c>
      <c r="S329" t="s">
        <v>1843</v>
      </c>
      <c r="T329">
        <v>935.17</v>
      </c>
      <c r="U329">
        <v>4</v>
      </c>
      <c r="V329">
        <v>0.1</v>
      </c>
      <c r="W329">
        <v>114.25</v>
      </c>
      <c r="X329">
        <v>327.11</v>
      </c>
      <c r="Y329" t="s">
        <v>53</v>
      </c>
      <c r="Z329">
        <f>Superstore_Sales[[#This Row],[Sales]]*Superstore_Sales[[#This Row],[Quantity]]</f>
        <v>3740.68</v>
      </c>
      <c r="AA329" s="3">
        <f>Superstore_Sales[[#This Row],[TotalSales]]*Superstore_Sales[[#This Row],[Discount]]/100</f>
        <v>3.7406799999999998</v>
      </c>
      <c r="AB329" s="2">
        <f>Superstore_Sales[[#This Row],[TotalSales]]-Superstore_Sales[[#This Row],[Dis_amt]]-Superstore_Sales[[#This Row],[Shipping Cost]]</f>
        <v>3409.8293199999998</v>
      </c>
    </row>
    <row r="330" spans="1:28" x14ac:dyDescent="0.35">
      <c r="A330">
        <v>16761</v>
      </c>
      <c r="B330" t="s">
        <v>1844</v>
      </c>
      <c r="C330" s="1">
        <v>42292</v>
      </c>
      <c r="D330" s="1">
        <v>42294</v>
      </c>
      <c r="E330">
        <f>Superstore_Sales[[#This Row],[Ship Date]]-Superstore_Sales[[#This Row],[Order Date]]</f>
        <v>2</v>
      </c>
      <c r="F330" t="s">
        <v>40</v>
      </c>
      <c r="G330" t="s">
        <v>1845</v>
      </c>
      <c r="H330" t="s">
        <v>1846</v>
      </c>
      <c r="I330" t="s">
        <v>28</v>
      </c>
      <c r="K330" t="s">
        <v>1382</v>
      </c>
      <c r="L330" t="s">
        <v>1382</v>
      </c>
      <c r="M330" t="s">
        <v>621</v>
      </c>
      <c r="N330" t="s">
        <v>68</v>
      </c>
      <c r="O330" t="s">
        <v>69</v>
      </c>
      <c r="P330" t="s">
        <v>1847</v>
      </c>
      <c r="Q330" t="s">
        <v>147</v>
      </c>
      <c r="R330" t="s">
        <v>162</v>
      </c>
      <c r="S330" t="s">
        <v>1848</v>
      </c>
      <c r="T330">
        <v>1026.96</v>
      </c>
      <c r="U330">
        <v>8</v>
      </c>
      <c r="V330">
        <v>0</v>
      </c>
      <c r="W330">
        <v>441.36</v>
      </c>
      <c r="X330">
        <v>326.35000000000002</v>
      </c>
      <c r="Y330" t="s">
        <v>53</v>
      </c>
      <c r="Z330">
        <f>Superstore_Sales[[#This Row],[Sales]]*Superstore_Sales[[#This Row],[Quantity]]</f>
        <v>8215.68</v>
      </c>
      <c r="AA330" s="3">
        <f>Superstore_Sales[[#This Row],[TotalSales]]*Superstore_Sales[[#This Row],[Discount]]/100</f>
        <v>0</v>
      </c>
      <c r="AB330" s="2">
        <f>Superstore_Sales[[#This Row],[TotalSales]]-Superstore_Sales[[#This Row],[Dis_amt]]-Superstore_Sales[[#This Row],[Shipping Cost]]</f>
        <v>7889.33</v>
      </c>
    </row>
    <row r="331" spans="1:28" x14ac:dyDescent="0.35">
      <c r="A331">
        <v>21010</v>
      </c>
      <c r="B331" t="s">
        <v>1849</v>
      </c>
      <c r="C331" s="1">
        <v>42222</v>
      </c>
      <c r="D331" s="1">
        <v>42225</v>
      </c>
      <c r="E331">
        <f>Superstore_Sales[[#This Row],[Ship Date]]-Superstore_Sales[[#This Row],[Order Date]]</f>
        <v>3</v>
      </c>
      <c r="F331" t="s">
        <v>40</v>
      </c>
      <c r="G331" t="s">
        <v>1850</v>
      </c>
      <c r="H331" t="s">
        <v>1725</v>
      </c>
      <c r="I331" t="s">
        <v>28</v>
      </c>
      <c r="K331" t="s">
        <v>1851</v>
      </c>
      <c r="L331" t="s">
        <v>1852</v>
      </c>
      <c r="M331" t="s">
        <v>258</v>
      </c>
      <c r="N331" t="s">
        <v>118</v>
      </c>
      <c r="O331" t="s">
        <v>48</v>
      </c>
      <c r="P331" t="s">
        <v>295</v>
      </c>
      <c r="Q331" t="s">
        <v>35</v>
      </c>
      <c r="R331" t="s">
        <v>36</v>
      </c>
      <c r="S331" t="s">
        <v>296</v>
      </c>
      <c r="T331">
        <v>2550</v>
      </c>
      <c r="U331">
        <v>4</v>
      </c>
      <c r="V331">
        <v>0</v>
      </c>
      <c r="W331">
        <v>280.44</v>
      </c>
      <c r="X331">
        <v>326.32</v>
      </c>
      <c r="Y331" t="s">
        <v>38</v>
      </c>
      <c r="Z331">
        <f>Superstore_Sales[[#This Row],[Sales]]*Superstore_Sales[[#This Row],[Quantity]]</f>
        <v>10200</v>
      </c>
      <c r="AA331" s="3">
        <f>Superstore_Sales[[#This Row],[TotalSales]]*Superstore_Sales[[#This Row],[Discount]]/100</f>
        <v>0</v>
      </c>
      <c r="AB331" s="2">
        <f>Superstore_Sales[[#This Row],[TotalSales]]-Superstore_Sales[[#This Row],[Dis_amt]]-Superstore_Sales[[#This Row],[Shipping Cost]]</f>
        <v>9873.68</v>
      </c>
    </row>
    <row r="332" spans="1:28" x14ac:dyDescent="0.35">
      <c r="A332">
        <v>27825</v>
      </c>
      <c r="B332" t="s">
        <v>1853</v>
      </c>
      <c r="C332" s="1">
        <v>41633</v>
      </c>
      <c r="D332" s="1">
        <v>41636</v>
      </c>
      <c r="E332">
        <f>Superstore_Sales[[#This Row],[Ship Date]]-Superstore_Sales[[#This Row],[Order Date]]</f>
        <v>3</v>
      </c>
      <c r="F332" t="s">
        <v>40</v>
      </c>
      <c r="G332" t="s">
        <v>1854</v>
      </c>
      <c r="H332" t="s">
        <v>1855</v>
      </c>
      <c r="I332" t="s">
        <v>43</v>
      </c>
      <c r="K332" t="s">
        <v>801</v>
      </c>
      <c r="L332" t="s">
        <v>801</v>
      </c>
      <c r="M332" t="s">
        <v>802</v>
      </c>
      <c r="N332" t="s">
        <v>322</v>
      </c>
      <c r="O332" t="s">
        <v>48</v>
      </c>
      <c r="P332" t="s">
        <v>70</v>
      </c>
      <c r="Q332" t="s">
        <v>35</v>
      </c>
      <c r="R332" t="s">
        <v>36</v>
      </c>
      <c r="S332" t="s">
        <v>71</v>
      </c>
      <c r="T332">
        <v>2667.54</v>
      </c>
      <c r="U332">
        <v>5</v>
      </c>
      <c r="V332">
        <v>0.17</v>
      </c>
      <c r="W332">
        <v>-417.81</v>
      </c>
      <c r="X332">
        <v>326.27</v>
      </c>
      <c r="Y332" t="s">
        <v>61</v>
      </c>
      <c r="Z332">
        <f>Superstore_Sales[[#This Row],[Sales]]*Superstore_Sales[[#This Row],[Quantity]]</f>
        <v>13337.7</v>
      </c>
      <c r="AA332" s="3">
        <f>Superstore_Sales[[#This Row],[TotalSales]]*Superstore_Sales[[#This Row],[Discount]]/100</f>
        <v>22.67409</v>
      </c>
      <c r="AB332" s="2">
        <f>Superstore_Sales[[#This Row],[TotalSales]]-Superstore_Sales[[#This Row],[Dis_amt]]-Superstore_Sales[[#This Row],[Shipping Cost]]</f>
        <v>12988.75591</v>
      </c>
    </row>
    <row r="333" spans="1:28" x14ac:dyDescent="0.35">
      <c r="A333">
        <v>17478</v>
      </c>
      <c r="B333" t="s">
        <v>1856</v>
      </c>
      <c r="C333" s="1">
        <v>41615</v>
      </c>
      <c r="D333" s="1">
        <v>41615</v>
      </c>
      <c r="E333">
        <f>Superstore_Sales[[#This Row],[Ship Date]]-Superstore_Sales[[#This Row],[Order Date]]</f>
        <v>0</v>
      </c>
      <c r="F333" t="s">
        <v>73</v>
      </c>
      <c r="G333" t="s">
        <v>1857</v>
      </c>
      <c r="H333" t="s">
        <v>1858</v>
      </c>
      <c r="I333" t="s">
        <v>43</v>
      </c>
      <c r="K333" t="s">
        <v>1859</v>
      </c>
      <c r="L333" t="s">
        <v>1212</v>
      </c>
      <c r="M333" t="s">
        <v>155</v>
      </c>
      <c r="N333" t="s">
        <v>68</v>
      </c>
      <c r="O333" t="s">
        <v>69</v>
      </c>
      <c r="P333" t="s">
        <v>1444</v>
      </c>
      <c r="Q333" t="s">
        <v>35</v>
      </c>
      <c r="R333" t="s">
        <v>81</v>
      </c>
      <c r="S333" t="s">
        <v>1445</v>
      </c>
      <c r="T333">
        <v>1224.71</v>
      </c>
      <c r="U333">
        <v>4</v>
      </c>
      <c r="V333">
        <v>0.15</v>
      </c>
      <c r="W333">
        <v>-129.72999999999999</v>
      </c>
      <c r="X333">
        <v>326.27</v>
      </c>
      <c r="Y333" t="s">
        <v>38</v>
      </c>
      <c r="Z333">
        <f>Superstore_Sales[[#This Row],[Sales]]*Superstore_Sales[[#This Row],[Quantity]]</f>
        <v>4898.84</v>
      </c>
      <c r="AA333" s="3">
        <f>Superstore_Sales[[#This Row],[TotalSales]]*Superstore_Sales[[#This Row],[Discount]]/100</f>
        <v>7.3482599999999998</v>
      </c>
      <c r="AB333" s="2">
        <f>Superstore_Sales[[#This Row],[TotalSales]]-Superstore_Sales[[#This Row],[Dis_amt]]-Superstore_Sales[[#This Row],[Shipping Cost]]</f>
        <v>4565.2217400000009</v>
      </c>
    </row>
    <row r="334" spans="1:28" x14ac:dyDescent="0.35">
      <c r="A334">
        <v>44597</v>
      </c>
      <c r="B334" t="s">
        <v>1860</v>
      </c>
      <c r="C334" s="1">
        <v>41807</v>
      </c>
      <c r="D334" s="1">
        <v>41808</v>
      </c>
      <c r="E334">
        <f>Superstore_Sales[[#This Row],[Ship Date]]-Superstore_Sales[[#This Row],[Order Date]]</f>
        <v>1</v>
      </c>
      <c r="F334" t="s">
        <v>25</v>
      </c>
      <c r="G334" t="s">
        <v>1861</v>
      </c>
      <c r="H334" t="s">
        <v>1862</v>
      </c>
      <c r="I334" t="s">
        <v>28</v>
      </c>
      <c r="K334" t="s">
        <v>1863</v>
      </c>
      <c r="L334" t="s">
        <v>1864</v>
      </c>
      <c r="M334" t="s">
        <v>391</v>
      </c>
      <c r="N334" t="s">
        <v>118</v>
      </c>
      <c r="O334" t="s">
        <v>48</v>
      </c>
      <c r="P334" t="s">
        <v>1673</v>
      </c>
      <c r="Q334" t="s">
        <v>147</v>
      </c>
      <c r="R334" t="s">
        <v>162</v>
      </c>
      <c r="S334" t="s">
        <v>1674</v>
      </c>
      <c r="T334">
        <v>2962.68</v>
      </c>
      <c r="U334">
        <v>14</v>
      </c>
      <c r="V334">
        <v>0</v>
      </c>
      <c r="W334">
        <v>207.06</v>
      </c>
      <c r="X334">
        <v>325.93</v>
      </c>
      <c r="Y334" t="s">
        <v>61</v>
      </c>
      <c r="Z334">
        <f>Superstore_Sales[[#This Row],[Sales]]*Superstore_Sales[[#This Row],[Quantity]]</f>
        <v>41477.519999999997</v>
      </c>
      <c r="AA334" s="3">
        <f>Superstore_Sales[[#This Row],[TotalSales]]*Superstore_Sales[[#This Row],[Discount]]/100</f>
        <v>0</v>
      </c>
      <c r="AB334" s="2">
        <f>Superstore_Sales[[#This Row],[TotalSales]]-Superstore_Sales[[#This Row],[Dis_amt]]-Superstore_Sales[[#This Row],[Shipping Cost]]</f>
        <v>41151.589999999997</v>
      </c>
    </row>
    <row r="335" spans="1:28" x14ac:dyDescent="0.35">
      <c r="A335">
        <v>20408</v>
      </c>
      <c r="B335" t="s">
        <v>1865</v>
      </c>
      <c r="C335" s="1">
        <v>42311</v>
      </c>
      <c r="D335" s="1">
        <v>42315</v>
      </c>
      <c r="E335">
        <f>Superstore_Sales[[#This Row],[Ship Date]]-Superstore_Sales[[#This Row],[Order Date]]</f>
        <v>4</v>
      </c>
      <c r="F335" t="s">
        <v>98</v>
      </c>
      <c r="G335" t="s">
        <v>1866</v>
      </c>
      <c r="H335" t="s">
        <v>1867</v>
      </c>
      <c r="I335" t="s">
        <v>28</v>
      </c>
      <c r="K335" t="s">
        <v>1868</v>
      </c>
      <c r="L335" t="s">
        <v>1852</v>
      </c>
      <c r="M335" t="s">
        <v>258</v>
      </c>
      <c r="N335" t="s">
        <v>118</v>
      </c>
      <c r="O335" t="s">
        <v>48</v>
      </c>
      <c r="P335" t="s">
        <v>1869</v>
      </c>
      <c r="Q335" t="s">
        <v>50</v>
      </c>
      <c r="R335" t="s">
        <v>104</v>
      </c>
      <c r="S335" t="s">
        <v>1870</v>
      </c>
      <c r="T335">
        <v>2664</v>
      </c>
      <c r="U335">
        <v>5</v>
      </c>
      <c r="V335">
        <v>0</v>
      </c>
      <c r="W335">
        <v>905.7</v>
      </c>
      <c r="X335">
        <v>325.54000000000002</v>
      </c>
      <c r="Y335" t="s">
        <v>61</v>
      </c>
      <c r="Z335">
        <f>Superstore_Sales[[#This Row],[Sales]]*Superstore_Sales[[#This Row],[Quantity]]</f>
        <v>13320</v>
      </c>
      <c r="AA335" s="3">
        <f>Superstore_Sales[[#This Row],[TotalSales]]*Superstore_Sales[[#This Row],[Discount]]/100</f>
        <v>0</v>
      </c>
      <c r="AB335" s="2">
        <f>Superstore_Sales[[#This Row],[TotalSales]]-Superstore_Sales[[#This Row],[Dis_amt]]-Superstore_Sales[[#This Row],[Shipping Cost]]</f>
        <v>12994.46</v>
      </c>
    </row>
    <row r="336" spans="1:28" x14ac:dyDescent="0.35">
      <c r="A336">
        <v>12983</v>
      </c>
      <c r="B336" t="s">
        <v>1871</v>
      </c>
      <c r="C336" s="1">
        <v>41422</v>
      </c>
      <c r="D336" s="1">
        <v>41425</v>
      </c>
      <c r="E336">
        <f>Superstore_Sales[[#This Row],[Ship Date]]-Superstore_Sales[[#This Row],[Order Date]]</f>
        <v>3</v>
      </c>
      <c r="F336" t="s">
        <v>25</v>
      </c>
      <c r="G336" t="s">
        <v>1872</v>
      </c>
      <c r="H336" t="s">
        <v>1873</v>
      </c>
      <c r="I336" t="s">
        <v>28</v>
      </c>
      <c r="K336" t="s">
        <v>1874</v>
      </c>
      <c r="L336" t="s">
        <v>1875</v>
      </c>
      <c r="M336" t="s">
        <v>170</v>
      </c>
      <c r="N336" t="s">
        <v>171</v>
      </c>
      <c r="O336" t="s">
        <v>69</v>
      </c>
      <c r="P336" t="s">
        <v>1876</v>
      </c>
      <c r="Q336" t="s">
        <v>35</v>
      </c>
      <c r="R336" t="s">
        <v>81</v>
      </c>
      <c r="S336" t="s">
        <v>1877</v>
      </c>
      <c r="T336">
        <v>1513.56</v>
      </c>
      <c r="U336">
        <v>4</v>
      </c>
      <c r="V336">
        <v>0</v>
      </c>
      <c r="W336">
        <v>741.6</v>
      </c>
      <c r="X336">
        <v>325.45</v>
      </c>
      <c r="Y336" t="s">
        <v>53</v>
      </c>
      <c r="Z336">
        <f>Superstore_Sales[[#This Row],[Sales]]*Superstore_Sales[[#This Row],[Quantity]]</f>
        <v>6054.24</v>
      </c>
      <c r="AA336" s="3">
        <f>Superstore_Sales[[#This Row],[TotalSales]]*Superstore_Sales[[#This Row],[Discount]]/100</f>
        <v>0</v>
      </c>
      <c r="AB336" s="2">
        <f>Superstore_Sales[[#This Row],[TotalSales]]-Superstore_Sales[[#This Row],[Dis_amt]]-Superstore_Sales[[#This Row],[Shipping Cost]]</f>
        <v>5728.79</v>
      </c>
    </row>
    <row r="337" spans="1:28" x14ac:dyDescent="0.35">
      <c r="A337">
        <v>13735</v>
      </c>
      <c r="B337" t="s">
        <v>1878</v>
      </c>
      <c r="C337" s="1">
        <v>41868</v>
      </c>
      <c r="D337" s="1">
        <v>41871</v>
      </c>
      <c r="E337">
        <f>Superstore_Sales[[#This Row],[Ship Date]]-Superstore_Sales[[#This Row],[Order Date]]</f>
        <v>3</v>
      </c>
      <c r="F337" t="s">
        <v>40</v>
      </c>
      <c r="G337" t="s">
        <v>1879</v>
      </c>
      <c r="H337" t="s">
        <v>1880</v>
      </c>
      <c r="I337" t="s">
        <v>43</v>
      </c>
      <c r="K337" t="s">
        <v>1881</v>
      </c>
      <c r="L337" t="s">
        <v>310</v>
      </c>
      <c r="M337" t="s">
        <v>210</v>
      </c>
      <c r="N337" t="s">
        <v>211</v>
      </c>
      <c r="O337" t="s">
        <v>69</v>
      </c>
      <c r="P337" t="s">
        <v>1383</v>
      </c>
      <c r="Q337" t="s">
        <v>50</v>
      </c>
      <c r="R337" t="s">
        <v>336</v>
      </c>
      <c r="S337" t="s">
        <v>1384</v>
      </c>
      <c r="T337">
        <v>1233.6300000000001</v>
      </c>
      <c r="U337">
        <v>3</v>
      </c>
      <c r="V337">
        <v>0</v>
      </c>
      <c r="W337">
        <v>234.36</v>
      </c>
      <c r="X337">
        <v>325.32</v>
      </c>
      <c r="Y337" t="s">
        <v>53</v>
      </c>
      <c r="Z337">
        <f>Superstore_Sales[[#This Row],[Sales]]*Superstore_Sales[[#This Row],[Quantity]]</f>
        <v>3700.8900000000003</v>
      </c>
      <c r="AA337" s="3">
        <f>Superstore_Sales[[#This Row],[TotalSales]]*Superstore_Sales[[#This Row],[Discount]]/100</f>
        <v>0</v>
      </c>
      <c r="AB337" s="2">
        <f>Superstore_Sales[[#This Row],[TotalSales]]-Superstore_Sales[[#This Row],[Dis_amt]]-Superstore_Sales[[#This Row],[Shipping Cost]]</f>
        <v>3375.57</v>
      </c>
    </row>
    <row r="338" spans="1:28" x14ac:dyDescent="0.35">
      <c r="A338">
        <v>48022</v>
      </c>
      <c r="B338" t="s">
        <v>1882</v>
      </c>
      <c r="C338" s="1">
        <v>41062</v>
      </c>
      <c r="D338" s="1">
        <v>41064</v>
      </c>
      <c r="E338">
        <f>Superstore_Sales[[#This Row],[Ship Date]]-Superstore_Sales[[#This Row],[Order Date]]</f>
        <v>2</v>
      </c>
      <c r="F338" t="s">
        <v>25</v>
      </c>
      <c r="G338" t="s">
        <v>1883</v>
      </c>
      <c r="H338" t="s">
        <v>1785</v>
      </c>
      <c r="I338" t="s">
        <v>28</v>
      </c>
      <c r="K338" t="s">
        <v>479</v>
      </c>
      <c r="L338" t="s">
        <v>479</v>
      </c>
      <c r="M338" t="s">
        <v>480</v>
      </c>
      <c r="N338" t="s">
        <v>195</v>
      </c>
      <c r="O338" t="s">
        <v>69</v>
      </c>
      <c r="P338" t="s">
        <v>1767</v>
      </c>
      <c r="Q338" t="s">
        <v>50</v>
      </c>
      <c r="R338" t="s">
        <v>104</v>
      </c>
      <c r="S338" t="s">
        <v>1768</v>
      </c>
      <c r="T338">
        <v>855.15</v>
      </c>
      <c r="U338">
        <v>1</v>
      </c>
      <c r="V338">
        <v>0</v>
      </c>
      <c r="W338">
        <v>384.81</v>
      </c>
      <c r="X338">
        <v>325.04000000000002</v>
      </c>
      <c r="Y338" t="s">
        <v>53</v>
      </c>
      <c r="Z338">
        <f>Superstore_Sales[[#This Row],[Sales]]*Superstore_Sales[[#This Row],[Quantity]]</f>
        <v>855.15</v>
      </c>
      <c r="AA338" s="3">
        <f>Superstore_Sales[[#This Row],[TotalSales]]*Superstore_Sales[[#This Row],[Discount]]/100</f>
        <v>0</v>
      </c>
      <c r="AB338" s="2">
        <f>Superstore_Sales[[#This Row],[TotalSales]]-Superstore_Sales[[#This Row],[Dis_amt]]-Superstore_Sales[[#This Row],[Shipping Cost]]</f>
        <v>530.1099999999999</v>
      </c>
    </row>
    <row r="339" spans="1:28" x14ac:dyDescent="0.35">
      <c r="A339">
        <v>14389</v>
      </c>
      <c r="B339" t="s">
        <v>1884</v>
      </c>
      <c r="C339" s="1">
        <v>41103</v>
      </c>
      <c r="D339" s="1">
        <v>41104</v>
      </c>
      <c r="E339">
        <f>Superstore_Sales[[#This Row],[Ship Date]]-Superstore_Sales[[#This Row],[Order Date]]</f>
        <v>1</v>
      </c>
      <c r="F339" t="s">
        <v>25</v>
      </c>
      <c r="G339" t="s">
        <v>1885</v>
      </c>
      <c r="H339" t="s">
        <v>1886</v>
      </c>
      <c r="I339" t="s">
        <v>28</v>
      </c>
      <c r="K339" t="s">
        <v>509</v>
      </c>
      <c r="L339" t="s">
        <v>310</v>
      </c>
      <c r="M339" t="s">
        <v>210</v>
      </c>
      <c r="N339" t="s">
        <v>211</v>
      </c>
      <c r="O339" t="s">
        <v>69</v>
      </c>
      <c r="P339" t="s">
        <v>1887</v>
      </c>
      <c r="Q339" t="s">
        <v>35</v>
      </c>
      <c r="R339" t="s">
        <v>275</v>
      </c>
      <c r="S339" t="s">
        <v>1888</v>
      </c>
      <c r="T339">
        <v>956.34</v>
      </c>
      <c r="U339">
        <v>4</v>
      </c>
      <c r="V339">
        <v>0.1</v>
      </c>
      <c r="W339">
        <v>-95.7</v>
      </c>
      <c r="X339">
        <v>324.98</v>
      </c>
      <c r="Y339" t="s">
        <v>53</v>
      </c>
      <c r="Z339">
        <f>Superstore_Sales[[#This Row],[Sales]]*Superstore_Sales[[#This Row],[Quantity]]</f>
        <v>3825.36</v>
      </c>
      <c r="AA339" s="3">
        <f>Superstore_Sales[[#This Row],[TotalSales]]*Superstore_Sales[[#This Row],[Discount]]/100</f>
        <v>3.8253600000000008</v>
      </c>
      <c r="AB339" s="2">
        <f>Superstore_Sales[[#This Row],[TotalSales]]-Superstore_Sales[[#This Row],[Dis_amt]]-Superstore_Sales[[#This Row],[Shipping Cost]]</f>
        <v>3496.5546400000003</v>
      </c>
    </row>
    <row r="340" spans="1:28" x14ac:dyDescent="0.35">
      <c r="A340">
        <v>10404</v>
      </c>
      <c r="B340" t="s">
        <v>1889</v>
      </c>
      <c r="C340" s="1">
        <v>41198</v>
      </c>
      <c r="D340" s="1">
        <v>41205</v>
      </c>
      <c r="E340">
        <f>Superstore_Sales[[#This Row],[Ship Date]]-Superstore_Sales[[#This Row],[Order Date]]</f>
        <v>7</v>
      </c>
      <c r="F340" t="s">
        <v>98</v>
      </c>
      <c r="G340" t="s">
        <v>1890</v>
      </c>
      <c r="H340" t="s">
        <v>340</v>
      </c>
      <c r="I340" t="s">
        <v>28</v>
      </c>
      <c r="K340" t="s">
        <v>1672</v>
      </c>
      <c r="L340" t="s">
        <v>1425</v>
      </c>
      <c r="M340" t="s">
        <v>463</v>
      </c>
      <c r="N340" t="s">
        <v>171</v>
      </c>
      <c r="O340" t="s">
        <v>69</v>
      </c>
      <c r="P340" t="s">
        <v>547</v>
      </c>
      <c r="Q340" t="s">
        <v>50</v>
      </c>
      <c r="R340" t="s">
        <v>51</v>
      </c>
      <c r="S340" t="s">
        <v>548</v>
      </c>
      <c r="T340">
        <v>1838.52</v>
      </c>
      <c r="U340">
        <v>5</v>
      </c>
      <c r="V340">
        <v>0.2</v>
      </c>
      <c r="W340">
        <v>160.77000000000001</v>
      </c>
      <c r="X340">
        <v>324.08999999999997</v>
      </c>
      <c r="Y340" t="s">
        <v>164</v>
      </c>
      <c r="Z340">
        <f>Superstore_Sales[[#This Row],[Sales]]*Superstore_Sales[[#This Row],[Quantity]]</f>
        <v>9192.6</v>
      </c>
      <c r="AA340" s="3">
        <f>Superstore_Sales[[#This Row],[TotalSales]]*Superstore_Sales[[#This Row],[Discount]]/100</f>
        <v>18.385200000000001</v>
      </c>
      <c r="AB340" s="2">
        <f>Superstore_Sales[[#This Row],[TotalSales]]-Superstore_Sales[[#This Row],[Dis_amt]]-Superstore_Sales[[#This Row],[Shipping Cost]]</f>
        <v>8850.1247999999996</v>
      </c>
    </row>
    <row r="341" spans="1:28" x14ac:dyDescent="0.35">
      <c r="A341">
        <v>20974</v>
      </c>
      <c r="B341" t="s">
        <v>1891</v>
      </c>
      <c r="C341" s="1">
        <v>41226</v>
      </c>
      <c r="D341" s="1">
        <v>41232</v>
      </c>
      <c r="E341">
        <f>Superstore_Sales[[#This Row],[Ship Date]]-Superstore_Sales[[#This Row],[Order Date]]</f>
        <v>6</v>
      </c>
      <c r="F341" t="s">
        <v>98</v>
      </c>
      <c r="G341" t="s">
        <v>1892</v>
      </c>
      <c r="H341" t="s">
        <v>1893</v>
      </c>
      <c r="I341" t="s">
        <v>65</v>
      </c>
      <c r="K341" t="s">
        <v>1894</v>
      </c>
      <c r="L341" t="s">
        <v>541</v>
      </c>
      <c r="M341" t="s">
        <v>258</v>
      </c>
      <c r="N341" t="s">
        <v>118</v>
      </c>
      <c r="O341" t="s">
        <v>48</v>
      </c>
      <c r="P341" t="s">
        <v>221</v>
      </c>
      <c r="Q341" t="s">
        <v>35</v>
      </c>
      <c r="R341" t="s">
        <v>36</v>
      </c>
      <c r="S341" t="s">
        <v>222</v>
      </c>
      <c r="T341">
        <v>4498.83</v>
      </c>
      <c r="U341">
        <v>7</v>
      </c>
      <c r="V341">
        <v>0</v>
      </c>
      <c r="W341">
        <v>674.73</v>
      </c>
      <c r="X341">
        <v>323.75</v>
      </c>
      <c r="Y341" t="s">
        <v>61</v>
      </c>
      <c r="Z341">
        <f>Superstore_Sales[[#This Row],[Sales]]*Superstore_Sales[[#This Row],[Quantity]]</f>
        <v>31491.809999999998</v>
      </c>
      <c r="AA341" s="3">
        <f>Superstore_Sales[[#This Row],[TotalSales]]*Superstore_Sales[[#This Row],[Discount]]/100</f>
        <v>0</v>
      </c>
      <c r="AB341" s="2">
        <f>Superstore_Sales[[#This Row],[TotalSales]]-Superstore_Sales[[#This Row],[Dis_amt]]-Superstore_Sales[[#This Row],[Shipping Cost]]</f>
        <v>31168.059999999998</v>
      </c>
    </row>
    <row r="342" spans="1:28" x14ac:dyDescent="0.35">
      <c r="A342">
        <v>18458</v>
      </c>
      <c r="B342" t="s">
        <v>1895</v>
      </c>
      <c r="C342" s="1">
        <v>42199</v>
      </c>
      <c r="D342" s="1">
        <v>42203</v>
      </c>
      <c r="E342">
        <f>Superstore_Sales[[#This Row],[Ship Date]]-Superstore_Sales[[#This Row],[Order Date]]</f>
        <v>4</v>
      </c>
      <c r="F342" t="s">
        <v>40</v>
      </c>
      <c r="G342" t="s">
        <v>1896</v>
      </c>
      <c r="H342" t="s">
        <v>789</v>
      </c>
      <c r="I342" t="s">
        <v>28</v>
      </c>
      <c r="K342" t="s">
        <v>1897</v>
      </c>
      <c r="L342" t="s">
        <v>1212</v>
      </c>
      <c r="M342" t="s">
        <v>155</v>
      </c>
      <c r="N342" t="s">
        <v>68</v>
      </c>
      <c r="O342" t="s">
        <v>69</v>
      </c>
      <c r="P342" t="s">
        <v>949</v>
      </c>
      <c r="Q342" t="s">
        <v>35</v>
      </c>
      <c r="R342" t="s">
        <v>36</v>
      </c>
      <c r="S342" t="s">
        <v>950</v>
      </c>
      <c r="T342">
        <v>1824.14</v>
      </c>
      <c r="U342">
        <v>8</v>
      </c>
      <c r="V342">
        <v>0.65</v>
      </c>
      <c r="W342">
        <v>-1303.06</v>
      </c>
      <c r="X342">
        <v>321.54000000000002</v>
      </c>
      <c r="Y342" t="s">
        <v>38</v>
      </c>
      <c r="Z342">
        <f>Superstore_Sales[[#This Row],[Sales]]*Superstore_Sales[[#This Row],[Quantity]]</f>
        <v>14593.12</v>
      </c>
      <c r="AA342" s="3">
        <f>Superstore_Sales[[#This Row],[TotalSales]]*Superstore_Sales[[#This Row],[Discount]]/100</f>
        <v>94.855280000000008</v>
      </c>
      <c r="AB342" s="2">
        <f>Superstore_Sales[[#This Row],[TotalSales]]-Superstore_Sales[[#This Row],[Dis_amt]]-Superstore_Sales[[#This Row],[Shipping Cost]]</f>
        <v>14176.72472</v>
      </c>
    </row>
    <row r="343" spans="1:28" x14ac:dyDescent="0.35">
      <c r="A343">
        <v>8295</v>
      </c>
      <c r="B343" t="s">
        <v>1898</v>
      </c>
      <c r="C343" s="1">
        <v>42158</v>
      </c>
      <c r="D343" s="1">
        <v>42160</v>
      </c>
      <c r="E343">
        <f>Superstore_Sales[[#This Row],[Ship Date]]-Superstore_Sales[[#This Row],[Order Date]]</f>
        <v>2</v>
      </c>
      <c r="F343" t="s">
        <v>25</v>
      </c>
      <c r="G343" t="s">
        <v>1899</v>
      </c>
      <c r="H343" t="s">
        <v>1900</v>
      </c>
      <c r="I343" t="s">
        <v>28</v>
      </c>
      <c r="K343" t="s">
        <v>1342</v>
      </c>
      <c r="L343" t="s">
        <v>1342</v>
      </c>
      <c r="M343" t="s">
        <v>491</v>
      </c>
      <c r="N343" t="s">
        <v>220</v>
      </c>
      <c r="O343" t="s">
        <v>136</v>
      </c>
      <c r="P343" t="s">
        <v>1517</v>
      </c>
      <c r="Q343" t="s">
        <v>50</v>
      </c>
      <c r="R343" t="s">
        <v>336</v>
      </c>
      <c r="S343" t="s">
        <v>1518</v>
      </c>
      <c r="T343">
        <v>2344</v>
      </c>
      <c r="U343">
        <v>8</v>
      </c>
      <c r="V343">
        <v>0</v>
      </c>
      <c r="W343">
        <v>46.88</v>
      </c>
      <c r="X343">
        <v>321.42099999999999</v>
      </c>
      <c r="Y343" t="s">
        <v>38</v>
      </c>
      <c r="Z343">
        <f>Superstore_Sales[[#This Row],[Sales]]*Superstore_Sales[[#This Row],[Quantity]]</f>
        <v>18752</v>
      </c>
      <c r="AA343" s="3">
        <f>Superstore_Sales[[#This Row],[TotalSales]]*Superstore_Sales[[#This Row],[Discount]]/100</f>
        <v>0</v>
      </c>
      <c r="AB343" s="2">
        <f>Superstore_Sales[[#This Row],[TotalSales]]-Superstore_Sales[[#This Row],[Dis_amt]]-Superstore_Sales[[#This Row],[Shipping Cost]]</f>
        <v>18430.579000000002</v>
      </c>
    </row>
    <row r="344" spans="1:28" x14ac:dyDescent="0.35">
      <c r="A344">
        <v>22899</v>
      </c>
      <c r="B344" t="s">
        <v>1901</v>
      </c>
      <c r="C344" s="1">
        <v>42353</v>
      </c>
      <c r="D344" s="1">
        <v>42355</v>
      </c>
      <c r="E344">
        <f>Superstore_Sales[[#This Row],[Ship Date]]-Superstore_Sales[[#This Row],[Order Date]]</f>
        <v>2</v>
      </c>
      <c r="F344" t="s">
        <v>40</v>
      </c>
      <c r="G344" t="s">
        <v>1902</v>
      </c>
      <c r="H344" t="s">
        <v>684</v>
      </c>
      <c r="I344" t="s">
        <v>28</v>
      </c>
      <c r="K344" t="s">
        <v>1903</v>
      </c>
      <c r="L344" t="s">
        <v>534</v>
      </c>
      <c r="M344" t="s">
        <v>144</v>
      </c>
      <c r="N344" t="s">
        <v>145</v>
      </c>
      <c r="O344" t="s">
        <v>48</v>
      </c>
      <c r="P344" t="s">
        <v>1904</v>
      </c>
      <c r="Q344" t="s">
        <v>35</v>
      </c>
      <c r="R344" t="s">
        <v>36</v>
      </c>
      <c r="S344" t="s">
        <v>1905</v>
      </c>
      <c r="T344">
        <v>2043.72</v>
      </c>
      <c r="U344">
        <v>14</v>
      </c>
      <c r="V344">
        <v>0</v>
      </c>
      <c r="W344">
        <v>756</v>
      </c>
      <c r="X344">
        <v>321.36</v>
      </c>
      <c r="Y344" t="s">
        <v>38</v>
      </c>
      <c r="Z344">
        <f>Superstore_Sales[[#This Row],[Sales]]*Superstore_Sales[[#This Row],[Quantity]]</f>
        <v>28612.080000000002</v>
      </c>
      <c r="AA344" s="3">
        <f>Superstore_Sales[[#This Row],[TotalSales]]*Superstore_Sales[[#This Row],[Discount]]/100</f>
        <v>0</v>
      </c>
      <c r="AB344" s="2">
        <f>Superstore_Sales[[#This Row],[TotalSales]]-Superstore_Sales[[#This Row],[Dis_amt]]-Superstore_Sales[[#This Row],[Shipping Cost]]</f>
        <v>28290.720000000001</v>
      </c>
    </row>
    <row r="345" spans="1:28" x14ac:dyDescent="0.35">
      <c r="A345">
        <v>50603</v>
      </c>
      <c r="B345" t="s">
        <v>1906</v>
      </c>
      <c r="C345" s="1">
        <v>42183</v>
      </c>
      <c r="D345" s="1">
        <v>42183</v>
      </c>
      <c r="E345">
        <f>Superstore_Sales[[#This Row],[Ship Date]]-Superstore_Sales[[#This Row],[Order Date]]</f>
        <v>0</v>
      </c>
      <c r="F345" t="s">
        <v>73</v>
      </c>
      <c r="G345" t="s">
        <v>1907</v>
      </c>
      <c r="H345" t="s">
        <v>1490</v>
      </c>
      <c r="I345" t="s">
        <v>43</v>
      </c>
      <c r="K345" t="s">
        <v>397</v>
      </c>
      <c r="L345" t="s">
        <v>398</v>
      </c>
      <c r="M345" t="s">
        <v>399</v>
      </c>
      <c r="N345" t="s">
        <v>186</v>
      </c>
      <c r="O345" t="s">
        <v>79</v>
      </c>
      <c r="P345" t="s">
        <v>1908</v>
      </c>
      <c r="Q345" t="s">
        <v>147</v>
      </c>
      <c r="R345" t="s">
        <v>162</v>
      </c>
      <c r="S345" t="s">
        <v>1909</v>
      </c>
      <c r="T345">
        <v>856.8</v>
      </c>
      <c r="U345">
        <v>14</v>
      </c>
      <c r="V345">
        <v>0</v>
      </c>
      <c r="W345">
        <v>265.44</v>
      </c>
      <c r="X345">
        <v>321.23</v>
      </c>
      <c r="Y345" t="s">
        <v>53</v>
      </c>
      <c r="Z345">
        <f>Superstore_Sales[[#This Row],[Sales]]*Superstore_Sales[[#This Row],[Quantity]]</f>
        <v>11995.199999999999</v>
      </c>
      <c r="AA345" s="3">
        <f>Superstore_Sales[[#This Row],[TotalSales]]*Superstore_Sales[[#This Row],[Discount]]/100</f>
        <v>0</v>
      </c>
      <c r="AB345" s="2">
        <f>Superstore_Sales[[#This Row],[TotalSales]]-Superstore_Sales[[#This Row],[Dis_amt]]-Superstore_Sales[[#This Row],[Shipping Cost]]</f>
        <v>11673.97</v>
      </c>
    </row>
    <row r="346" spans="1:28" x14ac:dyDescent="0.35">
      <c r="A346">
        <v>3904</v>
      </c>
      <c r="B346" t="s">
        <v>1910</v>
      </c>
      <c r="C346" s="1">
        <v>42358</v>
      </c>
      <c r="D346" s="1">
        <v>42362</v>
      </c>
      <c r="E346">
        <f>Superstore_Sales[[#This Row],[Ship Date]]-Superstore_Sales[[#This Row],[Order Date]]</f>
        <v>4</v>
      </c>
      <c r="F346" t="s">
        <v>98</v>
      </c>
      <c r="G346" t="s">
        <v>1911</v>
      </c>
      <c r="H346" t="s">
        <v>1855</v>
      </c>
      <c r="I346" t="s">
        <v>43</v>
      </c>
      <c r="K346" t="s">
        <v>1912</v>
      </c>
      <c r="L346" t="s">
        <v>1913</v>
      </c>
      <c r="M346" t="s">
        <v>219</v>
      </c>
      <c r="N346" t="s">
        <v>220</v>
      </c>
      <c r="O346" t="s">
        <v>136</v>
      </c>
      <c r="P346" t="s">
        <v>1914</v>
      </c>
      <c r="Q346" t="s">
        <v>147</v>
      </c>
      <c r="R346" t="s">
        <v>148</v>
      </c>
      <c r="S346" t="s">
        <v>1915</v>
      </c>
      <c r="T346">
        <v>2509.36</v>
      </c>
      <c r="U346">
        <v>7</v>
      </c>
      <c r="V346">
        <v>0</v>
      </c>
      <c r="W346">
        <v>426.58</v>
      </c>
      <c r="X346">
        <v>320.95600000000002</v>
      </c>
      <c r="Y346" t="s">
        <v>38</v>
      </c>
      <c r="Z346">
        <f>Superstore_Sales[[#This Row],[Sales]]*Superstore_Sales[[#This Row],[Quantity]]</f>
        <v>17565.52</v>
      </c>
      <c r="AA346" s="3">
        <f>Superstore_Sales[[#This Row],[TotalSales]]*Superstore_Sales[[#This Row],[Discount]]/100</f>
        <v>0</v>
      </c>
      <c r="AB346" s="2">
        <f>Superstore_Sales[[#This Row],[TotalSales]]-Superstore_Sales[[#This Row],[Dis_amt]]-Superstore_Sales[[#This Row],[Shipping Cost]]</f>
        <v>17244.564000000002</v>
      </c>
    </row>
    <row r="347" spans="1:28" x14ac:dyDescent="0.35">
      <c r="A347">
        <v>29555</v>
      </c>
      <c r="B347" t="s">
        <v>1916</v>
      </c>
      <c r="C347" s="1">
        <v>41310</v>
      </c>
      <c r="D347" s="1">
        <v>41313</v>
      </c>
      <c r="E347">
        <f>Superstore_Sales[[#This Row],[Ship Date]]-Superstore_Sales[[#This Row],[Order Date]]</f>
        <v>3</v>
      </c>
      <c r="F347" t="s">
        <v>25</v>
      </c>
      <c r="G347" t="s">
        <v>1917</v>
      </c>
      <c r="H347" t="s">
        <v>1918</v>
      </c>
      <c r="I347" t="s">
        <v>28</v>
      </c>
      <c r="K347" t="s">
        <v>1919</v>
      </c>
      <c r="L347" t="s">
        <v>58</v>
      </c>
      <c r="M347" t="s">
        <v>46</v>
      </c>
      <c r="N347" t="s">
        <v>47</v>
      </c>
      <c r="O347" t="s">
        <v>48</v>
      </c>
      <c r="P347" t="s">
        <v>95</v>
      </c>
      <c r="Q347" t="s">
        <v>50</v>
      </c>
      <c r="R347" t="s">
        <v>51</v>
      </c>
      <c r="S347" t="s">
        <v>96</v>
      </c>
      <c r="T347">
        <v>819.94</v>
      </c>
      <c r="U347">
        <v>2</v>
      </c>
      <c r="V347">
        <v>0.1</v>
      </c>
      <c r="W347">
        <v>191.32</v>
      </c>
      <c r="X347">
        <v>320.92</v>
      </c>
      <c r="Y347" t="s">
        <v>53</v>
      </c>
      <c r="Z347">
        <f>Superstore_Sales[[#This Row],[Sales]]*Superstore_Sales[[#This Row],[Quantity]]</f>
        <v>1639.88</v>
      </c>
      <c r="AA347" s="3">
        <f>Superstore_Sales[[#This Row],[TotalSales]]*Superstore_Sales[[#This Row],[Discount]]/100</f>
        <v>1.6398800000000002</v>
      </c>
      <c r="AB347" s="2">
        <f>Superstore_Sales[[#This Row],[TotalSales]]-Superstore_Sales[[#This Row],[Dis_amt]]-Superstore_Sales[[#This Row],[Shipping Cost]]</f>
        <v>1317.3201200000001</v>
      </c>
    </row>
    <row r="348" spans="1:28" x14ac:dyDescent="0.35">
      <c r="A348">
        <v>6826</v>
      </c>
      <c r="B348" t="s">
        <v>1920</v>
      </c>
      <c r="C348" s="1">
        <v>40929</v>
      </c>
      <c r="D348" s="1">
        <v>40935</v>
      </c>
      <c r="E348">
        <f>Superstore_Sales[[#This Row],[Ship Date]]-Superstore_Sales[[#This Row],[Order Date]]</f>
        <v>6</v>
      </c>
      <c r="F348" t="s">
        <v>98</v>
      </c>
      <c r="G348" t="s">
        <v>1921</v>
      </c>
      <c r="H348" t="s">
        <v>1392</v>
      </c>
      <c r="I348" t="s">
        <v>28</v>
      </c>
      <c r="K348" t="s">
        <v>1342</v>
      </c>
      <c r="L348" t="s">
        <v>1342</v>
      </c>
      <c r="M348" t="s">
        <v>491</v>
      </c>
      <c r="N348" t="s">
        <v>220</v>
      </c>
      <c r="O348" t="s">
        <v>136</v>
      </c>
      <c r="P348" t="s">
        <v>103</v>
      </c>
      <c r="Q348" t="s">
        <v>50</v>
      </c>
      <c r="R348" t="s">
        <v>104</v>
      </c>
      <c r="S348" t="s">
        <v>105</v>
      </c>
      <c r="T348">
        <v>2797.25</v>
      </c>
      <c r="U348">
        <v>6</v>
      </c>
      <c r="V348">
        <v>0.2</v>
      </c>
      <c r="W348">
        <v>-7.0000000000000007E-2</v>
      </c>
      <c r="X348">
        <v>320.37599999999998</v>
      </c>
      <c r="Y348" t="s">
        <v>164</v>
      </c>
      <c r="Z348">
        <f>Superstore_Sales[[#This Row],[Sales]]*Superstore_Sales[[#This Row],[Quantity]]</f>
        <v>16783.5</v>
      </c>
      <c r="AA348" s="3">
        <f>Superstore_Sales[[#This Row],[TotalSales]]*Superstore_Sales[[#This Row],[Discount]]/100</f>
        <v>33.567</v>
      </c>
      <c r="AB348" s="2">
        <f>Superstore_Sales[[#This Row],[TotalSales]]-Superstore_Sales[[#This Row],[Dis_amt]]-Superstore_Sales[[#This Row],[Shipping Cost]]</f>
        <v>16429.557000000001</v>
      </c>
    </row>
    <row r="349" spans="1:28" x14ac:dyDescent="0.35">
      <c r="A349">
        <v>5112</v>
      </c>
      <c r="B349" t="s">
        <v>1922</v>
      </c>
      <c r="C349" s="1">
        <v>41489</v>
      </c>
      <c r="D349" s="1">
        <v>41491</v>
      </c>
      <c r="E349">
        <f>Superstore_Sales[[#This Row],[Ship Date]]-Superstore_Sales[[#This Row],[Order Date]]</f>
        <v>2</v>
      </c>
      <c r="F349" t="s">
        <v>25</v>
      </c>
      <c r="G349" t="s">
        <v>1923</v>
      </c>
      <c r="H349" t="s">
        <v>1924</v>
      </c>
      <c r="I349" t="s">
        <v>28</v>
      </c>
      <c r="K349" t="s">
        <v>1925</v>
      </c>
      <c r="L349" t="s">
        <v>1926</v>
      </c>
      <c r="M349" t="s">
        <v>134</v>
      </c>
      <c r="N349" t="s">
        <v>135</v>
      </c>
      <c r="O349" t="s">
        <v>136</v>
      </c>
      <c r="P349" t="s">
        <v>1598</v>
      </c>
      <c r="Q349" t="s">
        <v>147</v>
      </c>
      <c r="R349" t="s">
        <v>162</v>
      </c>
      <c r="S349" t="s">
        <v>1599</v>
      </c>
      <c r="T349">
        <v>1455.08</v>
      </c>
      <c r="U349">
        <v>11</v>
      </c>
      <c r="V349">
        <v>0</v>
      </c>
      <c r="W349">
        <v>261.8</v>
      </c>
      <c r="X349">
        <v>320.29000000000002</v>
      </c>
      <c r="Y349" t="s">
        <v>61</v>
      </c>
      <c r="Z349">
        <f>Superstore_Sales[[#This Row],[Sales]]*Superstore_Sales[[#This Row],[Quantity]]</f>
        <v>16005.88</v>
      </c>
      <c r="AA349" s="3">
        <f>Superstore_Sales[[#This Row],[TotalSales]]*Superstore_Sales[[#This Row],[Discount]]/100</f>
        <v>0</v>
      </c>
      <c r="AB349" s="2">
        <f>Superstore_Sales[[#This Row],[TotalSales]]-Superstore_Sales[[#This Row],[Dis_amt]]-Superstore_Sales[[#This Row],[Shipping Cost]]</f>
        <v>15685.589999999998</v>
      </c>
    </row>
    <row r="350" spans="1:28" x14ac:dyDescent="0.35">
      <c r="A350">
        <v>21391</v>
      </c>
      <c r="B350" t="s">
        <v>1927</v>
      </c>
      <c r="C350" s="1">
        <v>42304</v>
      </c>
      <c r="D350" s="1">
        <v>42308</v>
      </c>
      <c r="E350">
        <f>Superstore_Sales[[#This Row],[Ship Date]]-Superstore_Sales[[#This Row],[Order Date]]</f>
        <v>4</v>
      </c>
      <c r="F350" t="s">
        <v>40</v>
      </c>
      <c r="G350" t="s">
        <v>1928</v>
      </c>
      <c r="H350" t="s">
        <v>1929</v>
      </c>
      <c r="I350" t="s">
        <v>43</v>
      </c>
      <c r="K350" t="s">
        <v>1930</v>
      </c>
      <c r="L350" t="s">
        <v>1931</v>
      </c>
      <c r="M350" t="s">
        <v>321</v>
      </c>
      <c r="N350" t="s">
        <v>322</v>
      </c>
      <c r="O350" t="s">
        <v>48</v>
      </c>
      <c r="P350" t="s">
        <v>1932</v>
      </c>
      <c r="Q350" t="s">
        <v>50</v>
      </c>
      <c r="R350" t="s">
        <v>336</v>
      </c>
      <c r="S350" t="s">
        <v>1933</v>
      </c>
      <c r="T350">
        <v>2189.09</v>
      </c>
      <c r="U350">
        <v>6</v>
      </c>
      <c r="V350">
        <v>7.0000000000000007E-2</v>
      </c>
      <c r="W350">
        <v>541.37</v>
      </c>
      <c r="X350">
        <v>320.27999999999997</v>
      </c>
      <c r="Y350" t="s">
        <v>38</v>
      </c>
      <c r="Z350">
        <f>Superstore_Sales[[#This Row],[Sales]]*Superstore_Sales[[#This Row],[Quantity]]</f>
        <v>13134.54</v>
      </c>
      <c r="AA350" s="3">
        <f>Superstore_Sales[[#This Row],[TotalSales]]*Superstore_Sales[[#This Row],[Discount]]/100</f>
        <v>9.1941780000000008</v>
      </c>
      <c r="AB350" s="2">
        <f>Superstore_Sales[[#This Row],[TotalSales]]-Superstore_Sales[[#This Row],[Dis_amt]]-Superstore_Sales[[#This Row],[Shipping Cost]]</f>
        <v>12805.065822</v>
      </c>
    </row>
    <row r="351" spans="1:28" x14ac:dyDescent="0.35">
      <c r="A351">
        <v>28557</v>
      </c>
      <c r="B351" t="s">
        <v>1934</v>
      </c>
      <c r="C351" s="1">
        <v>41331</v>
      </c>
      <c r="D351" s="1">
        <v>41337</v>
      </c>
      <c r="E351">
        <f>Superstore_Sales[[#This Row],[Ship Date]]-Superstore_Sales[[#This Row],[Order Date]]</f>
        <v>6</v>
      </c>
      <c r="F351" t="s">
        <v>98</v>
      </c>
      <c r="G351" t="s">
        <v>1935</v>
      </c>
      <c r="H351" t="s">
        <v>1936</v>
      </c>
      <c r="I351" t="s">
        <v>65</v>
      </c>
      <c r="K351" t="s">
        <v>1937</v>
      </c>
      <c r="L351" t="s">
        <v>1008</v>
      </c>
      <c r="M351" t="s">
        <v>258</v>
      </c>
      <c r="N351" t="s">
        <v>118</v>
      </c>
      <c r="O351" t="s">
        <v>48</v>
      </c>
      <c r="P351" t="s">
        <v>1042</v>
      </c>
      <c r="Q351" t="s">
        <v>50</v>
      </c>
      <c r="R351" t="s">
        <v>104</v>
      </c>
      <c r="S351" t="s">
        <v>1043</v>
      </c>
      <c r="T351">
        <v>5451.3</v>
      </c>
      <c r="U351">
        <v>6</v>
      </c>
      <c r="V351">
        <v>0</v>
      </c>
      <c r="W351">
        <v>327.06</v>
      </c>
      <c r="X351">
        <v>320.27</v>
      </c>
      <c r="Y351" t="s">
        <v>61</v>
      </c>
      <c r="Z351">
        <f>Superstore_Sales[[#This Row],[Sales]]*Superstore_Sales[[#This Row],[Quantity]]</f>
        <v>32707.800000000003</v>
      </c>
      <c r="AA351" s="3">
        <f>Superstore_Sales[[#This Row],[TotalSales]]*Superstore_Sales[[#This Row],[Discount]]/100</f>
        <v>0</v>
      </c>
      <c r="AB351" s="2">
        <f>Superstore_Sales[[#This Row],[TotalSales]]-Superstore_Sales[[#This Row],[Dis_amt]]-Superstore_Sales[[#This Row],[Shipping Cost]]</f>
        <v>32387.530000000002</v>
      </c>
    </row>
    <row r="352" spans="1:28" x14ac:dyDescent="0.35">
      <c r="A352">
        <v>43344</v>
      </c>
      <c r="B352" t="s">
        <v>1938</v>
      </c>
      <c r="C352" s="1">
        <v>41436</v>
      </c>
      <c r="D352" s="1">
        <v>41437</v>
      </c>
      <c r="E352">
        <f>Superstore_Sales[[#This Row],[Ship Date]]-Superstore_Sales[[#This Row],[Order Date]]</f>
        <v>1</v>
      </c>
      <c r="F352" t="s">
        <v>25</v>
      </c>
      <c r="G352" t="s">
        <v>1939</v>
      </c>
      <c r="H352" t="s">
        <v>1940</v>
      </c>
      <c r="I352" t="s">
        <v>43</v>
      </c>
      <c r="K352" t="s">
        <v>1941</v>
      </c>
      <c r="L352" t="s">
        <v>1941</v>
      </c>
      <c r="M352" t="s">
        <v>391</v>
      </c>
      <c r="N352" t="s">
        <v>118</v>
      </c>
      <c r="O352" t="s">
        <v>48</v>
      </c>
      <c r="P352" t="s">
        <v>328</v>
      </c>
      <c r="Q352" t="s">
        <v>35</v>
      </c>
      <c r="R352" t="s">
        <v>36</v>
      </c>
      <c r="S352" t="s">
        <v>329</v>
      </c>
      <c r="T352">
        <v>1291.08</v>
      </c>
      <c r="U352">
        <v>2</v>
      </c>
      <c r="V352">
        <v>0</v>
      </c>
      <c r="W352">
        <v>296.94</v>
      </c>
      <c r="X352">
        <v>319.58</v>
      </c>
      <c r="Y352" t="s">
        <v>53</v>
      </c>
      <c r="Z352">
        <f>Superstore_Sales[[#This Row],[Sales]]*Superstore_Sales[[#This Row],[Quantity]]</f>
        <v>2582.16</v>
      </c>
      <c r="AA352" s="3">
        <f>Superstore_Sales[[#This Row],[TotalSales]]*Superstore_Sales[[#This Row],[Discount]]/100</f>
        <v>0</v>
      </c>
      <c r="AB352" s="2">
        <f>Superstore_Sales[[#This Row],[TotalSales]]-Superstore_Sales[[#This Row],[Dis_amt]]-Superstore_Sales[[#This Row],[Shipping Cost]]</f>
        <v>2262.58</v>
      </c>
    </row>
    <row r="353" spans="1:28" x14ac:dyDescent="0.35">
      <c r="A353">
        <v>26889</v>
      </c>
      <c r="B353" t="s">
        <v>1942</v>
      </c>
      <c r="C353" s="1">
        <v>40962</v>
      </c>
      <c r="D353" s="1">
        <v>40965</v>
      </c>
      <c r="E353">
        <f>Superstore_Sales[[#This Row],[Ship Date]]-Superstore_Sales[[#This Row],[Order Date]]</f>
        <v>3</v>
      </c>
      <c r="F353" t="s">
        <v>25</v>
      </c>
      <c r="G353" t="s">
        <v>1943</v>
      </c>
      <c r="H353" t="s">
        <v>1944</v>
      </c>
      <c r="I353" t="s">
        <v>43</v>
      </c>
      <c r="K353" t="s">
        <v>1945</v>
      </c>
      <c r="L353" t="s">
        <v>1946</v>
      </c>
      <c r="M353" t="s">
        <v>258</v>
      </c>
      <c r="N353" t="s">
        <v>118</v>
      </c>
      <c r="O353" t="s">
        <v>48</v>
      </c>
      <c r="P353" t="s">
        <v>405</v>
      </c>
      <c r="Q353" t="s">
        <v>35</v>
      </c>
      <c r="R353" t="s">
        <v>81</v>
      </c>
      <c r="S353" t="s">
        <v>406</v>
      </c>
      <c r="T353">
        <v>1526.52</v>
      </c>
      <c r="U353">
        <v>4</v>
      </c>
      <c r="V353">
        <v>0</v>
      </c>
      <c r="W353">
        <v>732.72</v>
      </c>
      <c r="X353">
        <v>319.52999999999997</v>
      </c>
      <c r="Y353" t="s">
        <v>38</v>
      </c>
      <c r="Z353">
        <f>Superstore_Sales[[#This Row],[Sales]]*Superstore_Sales[[#This Row],[Quantity]]</f>
        <v>6106.08</v>
      </c>
      <c r="AA353" s="3">
        <f>Superstore_Sales[[#This Row],[TotalSales]]*Superstore_Sales[[#This Row],[Discount]]/100</f>
        <v>0</v>
      </c>
      <c r="AB353" s="2">
        <f>Superstore_Sales[[#This Row],[TotalSales]]-Superstore_Sales[[#This Row],[Dis_amt]]-Superstore_Sales[[#This Row],[Shipping Cost]]</f>
        <v>5786.55</v>
      </c>
    </row>
    <row r="354" spans="1:28" x14ac:dyDescent="0.35">
      <c r="A354">
        <v>480</v>
      </c>
      <c r="B354" t="s">
        <v>1947</v>
      </c>
      <c r="C354" s="1">
        <v>41840</v>
      </c>
      <c r="D354" s="1">
        <v>41847</v>
      </c>
      <c r="E354">
        <f>Superstore_Sales[[#This Row],[Ship Date]]-Superstore_Sales[[#This Row],[Order Date]]</f>
        <v>7</v>
      </c>
      <c r="F354" t="s">
        <v>98</v>
      </c>
      <c r="G354" t="s">
        <v>1948</v>
      </c>
      <c r="H354" t="s">
        <v>1949</v>
      </c>
      <c r="I354" t="s">
        <v>65</v>
      </c>
      <c r="K354" t="s">
        <v>1950</v>
      </c>
      <c r="L354" t="s">
        <v>1525</v>
      </c>
      <c r="M354" t="s">
        <v>679</v>
      </c>
      <c r="N354" t="s">
        <v>135</v>
      </c>
      <c r="O354" t="s">
        <v>136</v>
      </c>
      <c r="P354" t="s">
        <v>691</v>
      </c>
      <c r="Q354" t="s">
        <v>50</v>
      </c>
      <c r="R354" t="s">
        <v>51</v>
      </c>
      <c r="S354" t="s">
        <v>692</v>
      </c>
      <c r="T354">
        <v>1869.72</v>
      </c>
      <c r="U354">
        <v>6</v>
      </c>
      <c r="V354">
        <v>0</v>
      </c>
      <c r="W354">
        <v>205.56</v>
      </c>
      <c r="X354">
        <v>318.16899999999998</v>
      </c>
      <c r="Y354" t="s">
        <v>164</v>
      </c>
      <c r="Z354">
        <f>Superstore_Sales[[#This Row],[Sales]]*Superstore_Sales[[#This Row],[Quantity]]</f>
        <v>11218.32</v>
      </c>
      <c r="AA354" s="3">
        <f>Superstore_Sales[[#This Row],[TotalSales]]*Superstore_Sales[[#This Row],[Discount]]/100</f>
        <v>0</v>
      </c>
      <c r="AB354" s="2">
        <f>Superstore_Sales[[#This Row],[TotalSales]]-Superstore_Sales[[#This Row],[Dis_amt]]-Superstore_Sales[[#This Row],[Shipping Cost]]</f>
        <v>10900.151</v>
      </c>
    </row>
    <row r="355" spans="1:28" x14ac:dyDescent="0.35">
      <c r="A355">
        <v>9263</v>
      </c>
      <c r="B355" t="s">
        <v>1951</v>
      </c>
      <c r="C355" s="1">
        <v>41727</v>
      </c>
      <c r="D355" s="1">
        <v>41730</v>
      </c>
      <c r="E355">
        <f>Superstore_Sales[[#This Row],[Ship Date]]-Superstore_Sales[[#This Row],[Order Date]]</f>
        <v>3</v>
      </c>
      <c r="F355" t="s">
        <v>40</v>
      </c>
      <c r="G355" t="s">
        <v>1952</v>
      </c>
      <c r="H355" t="s">
        <v>1953</v>
      </c>
      <c r="I355" t="s">
        <v>28</v>
      </c>
      <c r="K355" t="s">
        <v>895</v>
      </c>
      <c r="L355" t="s">
        <v>896</v>
      </c>
      <c r="M355" t="s">
        <v>896</v>
      </c>
      <c r="N355" t="s">
        <v>220</v>
      </c>
      <c r="O355" t="s">
        <v>136</v>
      </c>
      <c r="P355" t="s">
        <v>1954</v>
      </c>
      <c r="Q355" t="s">
        <v>50</v>
      </c>
      <c r="R355" t="s">
        <v>336</v>
      </c>
      <c r="S355" t="s">
        <v>1955</v>
      </c>
      <c r="T355">
        <v>1815.24</v>
      </c>
      <c r="U355">
        <v>7</v>
      </c>
      <c r="V355">
        <v>0</v>
      </c>
      <c r="W355">
        <v>471.94</v>
      </c>
      <c r="X355">
        <v>318.08</v>
      </c>
      <c r="Y355" t="s">
        <v>38</v>
      </c>
      <c r="Z355">
        <f>Superstore_Sales[[#This Row],[Sales]]*Superstore_Sales[[#This Row],[Quantity]]</f>
        <v>12706.68</v>
      </c>
      <c r="AA355" s="3">
        <f>Superstore_Sales[[#This Row],[TotalSales]]*Superstore_Sales[[#This Row],[Discount]]/100</f>
        <v>0</v>
      </c>
      <c r="AB355" s="2">
        <f>Superstore_Sales[[#This Row],[TotalSales]]-Superstore_Sales[[#This Row],[Dis_amt]]-Superstore_Sales[[#This Row],[Shipping Cost]]</f>
        <v>12388.6</v>
      </c>
    </row>
    <row r="356" spans="1:28" x14ac:dyDescent="0.35">
      <c r="A356">
        <v>27724</v>
      </c>
      <c r="B356" t="s">
        <v>1956</v>
      </c>
      <c r="C356" s="1">
        <v>42300</v>
      </c>
      <c r="D356" s="1">
        <v>42302</v>
      </c>
      <c r="E356">
        <f>Superstore_Sales[[#This Row],[Ship Date]]-Superstore_Sales[[#This Row],[Order Date]]</f>
        <v>2</v>
      </c>
      <c r="F356" t="s">
        <v>25</v>
      </c>
      <c r="G356" t="s">
        <v>1957</v>
      </c>
      <c r="H356" t="s">
        <v>1387</v>
      </c>
      <c r="I356" t="s">
        <v>43</v>
      </c>
      <c r="K356" t="s">
        <v>1958</v>
      </c>
      <c r="L356" t="s">
        <v>1959</v>
      </c>
      <c r="M356" t="s">
        <v>258</v>
      </c>
      <c r="N356" t="s">
        <v>118</v>
      </c>
      <c r="O356" t="s">
        <v>48</v>
      </c>
      <c r="P356" t="s">
        <v>1648</v>
      </c>
      <c r="Q356" t="s">
        <v>35</v>
      </c>
      <c r="R356" t="s">
        <v>81</v>
      </c>
      <c r="S356" t="s">
        <v>1649</v>
      </c>
      <c r="T356">
        <v>959.76</v>
      </c>
      <c r="U356">
        <v>3</v>
      </c>
      <c r="V356">
        <v>0</v>
      </c>
      <c r="W356">
        <v>460.62</v>
      </c>
      <c r="X356">
        <v>317.81</v>
      </c>
      <c r="Y356" t="s">
        <v>53</v>
      </c>
      <c r="Z356">
        <f>Superstore_Sales[[#This Row],[Sales]]*Superstore_Sales[[#This Row],[Quantity]]</f>
        <v>2879.2799999999997</v>
      </c>
      <c r="AA356" s="3">
        <f>Superstore_Sales[[#This Row],[TotalSales]]*Superstore_Sales[[#This Row],[Discount]]/100</f>
        <v>0</v>
      </c>
      <c r="AB356" s="2">
        <f>Superstore_Sales[[#This Row],[TotalSales]]-Superstore_Sales[[#This Row],[Dis_amt]]-Superstore_Sales[[#This Row],[Shipping Cost]]</f>
        <v>2561.4699999999998</v>
      </c>
    </row>
    <row r="357" spans="1:28" x14ac:dyDescent="0.35">
      <c r="A357">
        <v>4402</v>
      </c>
      <c r="B357" t="s">
        <v>1960</v>
      </c>
      <c r="C357" s="1">
        <v>42179</v>
      </c>
      <c r="D357" s="1">
        <v>42181</v>
      </c>
      <c r="E357">
        <f>Superstore_Sales[[#This Row],[Ship Date]]-Superstore_Sales[[#This Row],[Order Date]]</f>
        <v>2</v>
      </c>
      <c r="F357" t="s">
        <v>40</v>
      </c>
      <c r="G357" t="s">
        <v>1961</v>
      </c>
      <c r="H357" t="s">
        <v>1962</v>
      </c>
      <c r="I357" t="s">
        <v>28</v>
      </c>
      <c r="K357" t="s">
        <v>1388</v>
      </c>
      <c r="L357" t="s">
        <v>1389</v>
      </c>
      <c r="M357" t="s">
        <v>219</v>
      </c>
      <c r="N357" t="s">
        <v>220</v>
      </c>
      <c r="O357" t="s">
        <v>136</v>
      </c>
      <c r="P357" t="s">
        <v>645</v>
      </c>
      <c r="Q357" t="s">
        <v>35</v>
      </c>
      <c r="R357" t="s">
        <v>36</v>
      </c>
      <c r="S357" t="s">
        <v>646</v>
      </c>
      <c r="T357">
        <v>3045.84</v>
      </c>
      <c r="U357">
        <v>7</v>
      </c>
      <c r="V357">
        <v>0</v>
      </c>
      <c r="W357">
        <v>1035.58</v>
      </c>
      <c r="X357">
        <v>317.16500000000002</v>
      </c>
      <c r="Y357" t="s">
        <v>38</v>
      </c>
      <c r="Z357">
        <f>Superstore_Sales[[#This Row],[Sales]]*Superstore_Sales[[#This Row],[Quantity]]</f>
        <v>21320.880000000001</v>
      </c>
      <c r="AA357" s="3">
        <f>Superstore_Sales[[#This Row],[TotalSales]]*Superstore_Sales[[#This Row],[Discount]]/100</f>
        <v>0</v>
      </c>
      <c r="AB357" s="2">
        <f>Superstore_Sales[[#This Row],[TotalSales]]-Superstore_Sales[[#This Row],[Dis_amt]]-Superstore_Sales[[#This Row],[Shipping Cost]]</f>
        <v>21003.715</v>
      </c>
    </row>
    <row r="358" spans="1:28" x14ac:dyDescent="0.35">
      <c r="A358">
        <v>5051</v>
      </c>
      <c r="B358" t="s">
        <v>1963</v>
      </c>
      <c r="C358" s="1">
        <v>41942</v>
      </c>
      <c r="D358" s="1">
        <v>41948</v>
      </c>
      <c r="E358">
        <f>Superstore_Sales[[#This Row],[Ship Date]]-Superstore_Sales[[#This Row],[Order Date]]</f>
        <v>6</v>
      </c>
      <c r="F358" t="s">
        <v>98</v>
      </c>
      <c r="G358" t="s">
        <v>1964</v>
      </c>
      <c r="H358" t="s">
        <v>1965</v>
      </c>
      <c r="I358" t="s">
        <v>65</v>
      </c>
      <c r="K358" t="s">
        <v>1342</v>
      </c>
      <c r="L358" t="s">
        <v>1342</v>
      </c>
      <c r="M358" t="s">
        <v>491</v>
      </c>
      <c r="N358" t="s">
        <v>220</v>
      </c>
      <c r="O358" t="s">
        <v>136</v>
      </c>
      <c r="P358" t="s">
        <v>295</v>
      </c>
      <c r="Q358" t="s">
        <v>35</v>
      </c>
      <c r="R358" t="s">
        <v>36</v>
      </c>
      <c r="S358" t="s">
        <v>296</v>
      </c>
      <c r="T358">
        <v>2125</v>
      </c>
      <c r="U358">
        <v>5</v>
      </c>
      <c r="V358">
        <v>0</v>
      </c>
      <c r="W358">
        <v>297.5</v>
      </c>
      <c r="X358">
        <v>316.76400000000001</v>
      </c>
      <c r="Y358" t="s">
        <v>164</v>
      </c>
      <c r="Z358">
        <f>Superstore_Sales[[#This Row],[Sales]]*Superstore_Sales[[#This Row],[Quantity]]</f>
        <v>10625</v>
      </c>
      <c r="AA358" s="3">
        <f>Superstore_Sales[[#This Row],[TotalSales]]*Superstore_Sales[[#This Row],[Discount]]/100</f>
        <v>0</v>
      </c>
      <c r="AB358" s="2">
        <f>Superstore_Sales[[#This Row],[TotalSales]]-Superstore_Sales[[#This Row],[Dis_amt]]-Superstore_Sales[[#This Row],[Shipping Cost]]</f>
        <v>10308.236000000001</v>
      </c>
    </row>
    <row r="359" spans="1:28" x14ac:dyDescent="0.35">
      <c r="A359">
        <v>23634</v>
      </c>
      <c r="B359" t="s">
        <v>1966</v>
      </c>
      <c r="C359" s="1">
        <v>41763</v>
      </c>
      <c r="D359" s="1">
        <v>41765</v>
      </c>
      <c r="E359">
        <f>Superstore_Sales[[#This Row],[Ship Date]]-Superstore_Sales[[#This Row],[Order Date]]</f>
        <v>2</v>
      </c>
      <c r="F359" t="s">
        <v>25</v>
      </c>
      <c r="G359" t="s">
        <v>1967</v>
      </c>
      <c r="H359" t="s">
        <v>1968</v>
      </c>
      <c r="I359" t="s">
        <v>28</v>
      </c>
      <c r="K359" t="s">
        <v>1969</v>
      </c>
      <c r="L359" t="s">
        <v>1970</v>
      </c>
      <c r="M359" t="s">
        <v>144</v>
      </c>
      <c r="N359" t="s">
        <v>145</v>
      </c>
      <c r="O359" t="s">
        <v>48</v>
      </c>
      <c r="P359" t="s">
        <v>1412</v>
      </c>
      <c r="Q359" t="s">
        <v>35</v>
      </c>
      <c r="R359" t="s">
        <v>81</v>
      </c>
      <c r="S359" t="s">
        <v>1413</v>
      </c>
      <c r="T359">
        <v>1266.3599999999999</v>
      </c>
      <c r="U359">
        <v>4</v>
      </c>
      <c r="V359">
        <v>0</v>
      </c>
      <c r="W359">
        <v>265.92</v>
      </c>
      <c r="X359">
        <v>316.58999999999997</v>
      </c>
      <c r="Y359" t="s">
        <v>38</v>
      </c>
      <c r="Z359">
        <f>Superstore_Sales[[#This Row],[Sales]]*Superstore_Sales[[#This Row],[Quantity]]</f>
        <v>5065.4399999999996</v>
      </c>
      <c r="AA359" s="3">
        <f>Superstore_Sales[[#This Row],[TotalSales]]*Superstore_Sales[[#This Row],[Discount]]/100</f>
        <v>0</v>
      </c>
      <c r="AB359" s="2">
        <f>Superstore_Sales[[#This Row],[TotalSales]]-Superstore_Sales[[#This Row],[Dis_amt]]-Superstore_Sales[[#This Row],[Shipping Cost]]</f>
        <v>4748.8499999999995</v>
      </c>
    </row>
    <row r="360" spans="1:28" x14ac:dyDescent="0.35">
      <c r="A360">
        <v>48565</v>
      </c>
      <c r="B360" t="s">
        <v>1971</v>
      </c>
      <c r="C360" s="1">
        <v>41159</v>
      </c>
      <c r="D360" s="1">
        <v>41161</v>
      </c>
      <c r="E360">
        <f>Superstore_Sales[[#This Row],[Ship Date]]-Superstore_Sales[[#This Row],[Order Date]]</f>
        <v>2</v>
      </c>
      <c r="F360" t="s">
        <v>40</v>
      </c>
      <c r="G360" t="s">
        <v>1972</v>
      </c>
      <c r="H360" t="s">
        <v>1973</v>
      </c>
      <c r="I360" t="s">
        <v>65</v>
      </c>
      <c r="K360" t="s">
        <v>1974</v>
      </c>
      <c r="L360" t="s">
        <v>1975</v>
      </c>
      <c r="M360" t="s">
        <v>1976</v>
      </c>
      <c r="N360" t="s">
        <v>186</v>
      </c>
      <c r="O360" t="s">
        <v>79</v>
      </c>
      <c r="P360" t="s">
        <v>1977</v>
      </c>
      <c r="Q360" t="s">
        <v>50</v>
      </c>
      <c r="R360" t="s">
        <v>104</v>
      </c>
      <c r="S360" t="s">
        <v>1978</v>
      </c>
      <c r="T360">
        <v>2134.44</v>
      </c>
      <c r="U360">
        <v>4</v>
      </c>
      <c r="V360">
        <v>0</v>
      </c>
      <c r="W360">
        <v>682.92</v>
      </c>
      <c r="X360">
        <v>315.57</v>
      </c>
      <c r="Y360" t="s">
        <v>53</v>
      </c>
      <c r="Z360">
        <f>Superstore_Sales[[#This Row],[Sales]]*Superstore_Sales[[#This Row],[Quantity]]</f>
        <v>8537.76</v>
      </c>
      <c r="AA360" s="3">
        <f>Superstore_Sales[[#This Row],[TotalSales]]*Superstore_Sales[[#This Row],[Discount]]/100</f>
        <v>0</v>
      </c>
      <c r="AB360" s="2">
        <f>Superstore_Sales[[#This Row],[TotalSales]]-Superstore_Sales[[#This Row],[Dis_amt]]-Superstore_Sales[[#This Row],[Shipping Cost]]</f>
        <v>8222.19</v>
      </c>
    </row>
    <row r="361" spans="1:28" x14ac:dyDescent="0.35">
      <c r="A361">
        <v>10620</v>
      </c>
      <c r="B361" t="s">
        <v>1979</v>
      </c>
      <c r="C361" s="1">
        <v>41386</v>
      </c>
      <c r="D361" s="1">
        <v>41390</v>
      </c>
      <c r="E361">
        <f>Superstore_Sales[[#This Row],[Ship Date]]-Superstore_Sales[[#This Row],[Order Date]]</f>
        <v>4</v>
      </c>
      <c r="F361" t="s">
        <v>98</v>
      </c>
      <c r="G361" t="s">
        <v>1980</v>
      </c>
      <c r="H361" t="s">
        <v>1981</v>
      </c>
      <c r="I361" t="s">
        <v>43</v>
      </c>
      <c r="K361" t="s">
        <v>66</v>
      </c>
      <c r="L361" t="s">
        <v>66</v>
      </c>
      <c r="M361" t="s">
        <v>67</v>
      </c>
      <c r="N361" t="s">
        <v>68</v>
      </c>
      <c r="O361" t="s">
        <v>69</v>
      </c>
      <c r="P361" t="s">
        <v>755</v>
      </c>
      <c r="Q361" t="s">
        <v>35</v>
      </c>
      <c r="R361" t="s">
        <v>81</v>
      </c>
      <c r="S361" t="s">
        <v>756</v>
      </c>
      <c r="T361">
        <v>4748.4399999999996</v>
      </c>
      <c r="U361">
        <v>14</v>
      </c>
      <c r="V361">
        <v>0.1</v>
      </c>
      <c r="W361">
        <v>844.12</v>
      </c>
      <c r="X361">
        <v>315.29000000000002</v>
      </c>
      <c r="Y361" t="s">
        <v>61</v>
      </c>
      <c r="Z361">
        <f>Superstore_Sales[[#This Row],[Sales]]*Superstore_Sales[[#This Row],[Quantity]]</f>
        <v>66478.159999999989</v>
      </c>
      <c r="AA361" s="3">
        <f>Superstore_Sales[[#This Row],[TotalSales]]*Superstore_Sales[[#This Row],[Discount]]/100</f>
        <v>66.478159999999988</v>
      </c>
      <c r="AB361" s="2">
        <f>Superstore_Sales[[#This Row],[TotalSales]]-Superstore_Sales[[#This Row],[Dis_amt]]-Superstore_Sales[[#This Row],[Shipping Cost]]</f>
        <v>66096.391839999997</v>
      </c>
    </row>
    <row r="362" spans="1:28" x14ac:dyDescent="0.35">
      <c r="A362">
        <v>49848</v>
      </c>
      <c r="B362" t="s">
        <v>1982</v>
      </c>
      <c r="C362" s="1">
        <v>41942</v>
      </c>
      <c r="D362" s="1">
        <v>41947</v>
      </c>
      <c r="E362">
        <f>Superstore_Sales[[#This Row],[Ship Date]]-Superstore_Sales[[#This Row],[Order Date]]</f>
        <v>5</v>
      </c>
      <c r="F362" t="s">
        <v>40</v>
      </c>
      <c r="G362" t="s">
        <v>1983</v>
      </c>
      <c r="H362" t="s">
        <v>643</v>
      </c>
      <c r="I362" t="s">
        <v>43</v>
      </c>
      <c r="K362" t="s">
        <v>1230</v>
      </c>
      <c r="L362" t="s">
        <v>1231</v>
      </c>
      <c r="M362" t="s">
        <v>1099</v>
      </c>
      <c r="N362" t="s">
        <v>1100</v>
      </c>
      <c r="O362" t="s">
        <v>79</v>
      </c>
      <c r="P362" t="s">
        <v>1781</v>
      </c>
      <c r="Q362" t="s">
        <v>35</v>
      </c>
      <c r="R362" t="s">
        <v>275</v>
      </c>
      <c r="S362" t="s">
        <v>1782</v>
      </c>
      <c r="T362">
        <v>1867.5</v>
      </c>
      <c r="U362">
        <v>6</v>
      </c>
      <c r="V362">
        <v>0</v>
      </c>
      <c r="W362">
        <v>242.64</v>
      </c>
      <c r="X362">
        <v>314.81</v>
      </c>
      <c r="Y362" t="s">
        <v>38</v>
      </c>
      <c r="Z362">
        <f>Superstore_Sales[[#This Row],[Sales]]*Superstore_Sales[[#This Row],[Quantity]]</f>
        <v>11205</v>
      </c>
      <c r="AA362" s="3">
        <f>Superstore_Sales[[#This Row],[TotalSales]]*Superstore_Sales[[#This Row],[Discount]]/100</f>
        <v>0</v>
      </c>
      <c r="AB362" s="2">
        <f>Superstore_Sales[[#This Row],[TotalSales]]-Superstore_Sales[[#This Row],[Dis_amt]]-Superstore_Sales[[#This Row],[Shipping Cost]]</f>
        <v>10890.19</v>
      </c>
    </row>
    <row r="363" spans="1:28" x14ac:dyDescent="0.35">
      <c r="A363">
        <v>22108</v>
      </c>
      <c r="B363" t="s">
        <v>1984</v>
      </c>
      <c r="C363" s="1">
        <v>41014</v>
      </c>
      <c r="D363" s="1">
        <v>41015</v>
      </c>
      <c r="E363">
        <f>Superstore_Sales[[#This Row],[Ship Date]]-Superstore_Sales[[#This Row],[Order Date]]</f>
        <v>1</v>
      </c>
      <c r="F363" t="s">
        <v>25</v>
      </c>
      <c r="G363" t="s">
        <v>1985</v>
      </c>
      <c r="H363" t="s">
        <v>1986</v>
      </c>
      <c r="I363" t="s">
        <v>65</v>
      </c>
      <c r="K363" t="s">
        <v>1987</v>
      </c>
      <c r="L363" t="s">
        <v>1077</v>
      </c>
      <c r="M363" t="s">
        <v>144</v>
      </c>
      <c r="N363" t="s">
        <v>145</v>
      </c>
      <c r="O363" t="s">
        <v>48</v>
      </c>
      <c r="P363" t="s">
        <v>1988</v>
      </c>
      <c r="Q363" t="s">
        <v>50</v>
      </c>
      <c r="R363" t="s">
        <v>51</v>
      </c>
      <c r="S363" t="s">
        <v>1989</v>
      </c>
      <c r="T363">
        <v>1001.7</v>
      </c>
      <c r="U363">
        <v>6</v>
      </c>
      <c r="V363">
        <v>0</v>
      </c>
      <c r="W363">
        <v>250.38</v>
      </c>
      <c r="X363">
        <v>314.7</v>
      </c>
      <c r="Y363" t="s">
        <v>38</v>
      </c>
      <c r="Z363">
        <f>Superstore_Sales[[#This Row],[Sales]]*Superstore_Sales[[#This Row],[Quantity]]</f>
        <v>6010.2000000000007</v>
      </c>
      <c r="AA363" s="3">
        <f>Superstore_Sales[[#This Row],[TotalSales]]*Superstore_Sales[[#This Row],[Discount]]/100</f>
        <v>0</v>
      </c>
      <c r="AB363" s="2">
        <f>Superstore_Sales[[#This Row],[TotalSales]]-Superstore_Sales[[#This Row],[Dis_amt]]-Superstore_Sales[[#This Row],[Shipping Cost]]</f>
        <v>5695.5000000000009</v>
      </c>
    </row>
    <row r="364" spans="1:28" x14ac:dyDescent="0.35">
      <c r="A364">
        <v>40336</v>
      </c>
      <c r="B364" t="s">
        <v>1990</v>
      </c>
      <c r="C364" s="1">
        <v>41991</v>
      </c>
      <c r="D364" s="1">
        <v>41995</v>
      </c>
      <c r="E364">
        <f>Superstore_Sales[[#This Row],[Ship Date]]-Superstore_Sales[[#This Row],[Order Date]]</f>
        <v>4</v>
      </c>
      <c r="F364" t="s">
        <v>98</v>
      </c>
      <c r="G364" t="s">
        <v>1991</v>
      </c>
      <c r="H364" t="s">
        <v>1297</v>
      </c>
      <c r="I364" t="s">
        <v>28</v>
      </c>
      <c r="J364">
        <v>48205</v>
      </c>
      <c r="K364" t="s">
        <v>1992</v>
      </c>
      <c r="L364" t="s">
        <v>1993</v>
      </c>
      <c r="M364" t="s">
        <v>31</v>
      </c>
      <c r="N364" t="s">
        <v>32</v>
      </c>
      <c r="O364" t="s">
        <v>33</v>
      </c>
      <c r="P364" t="s">
        <v>1994</v>
      </c>
      <c r="Q364" t="s">
        <v>147</v>
      </c>
      <c r="R364" t="s">
        <v>384</v>
      </c>
      <c r="S364" t="s">
        <v>1995</v>
      </c>
      <c r="T364">
        <v>9892.74</v>
      </c>
      <c r="U364">
        <v>13</v>
      </c>
      <c r="V364">
        <v>0</v>
      </c>
      <c r="W364">
        <v>4946.37</v>
      </c>
      <c r="X364">
        <v>498.7</v>
      </c>
      <c r="Y364" t="s">
        <v>61</v>
      </c>
      <c r="Z364">
        <f>Superstore_Sales[[#This Row],[Sales]]*Superstore_Sales[[#This Row],[Quantity]]</f>
        <v>128605.62</v>
      </c>
      <c r="AA364" s="3">
        <f>Superstore_Sales[[#This Row],[TotalSales]]*Superstore_Sales[[#This Row],[Discount]]/100</f>
        <v>0</v>
      </c>
      <c r="AB364" s="2">
        <f>Superstore_Sales[[#This Row],[TotalSales]]-Superstore_Sales[[#This Row],[Dis_amt]]-Superstore_Sales[[#This Row],[Shipping Cost]]</f>
        <v>128106.92</v>
      </c>
    </row>
    <row r="365" spans="1:28" x14ac:dyDescent="0.35">
      <c r="A365">
        <v>29593</v>
      </c>
      <c r="B365" t="s">
        <v>1996</v>
      </c>
      <c r="C365" s="1">
        <v>42308</v>
      </c>
      <c r="D365" s="1">
        <v>42312</v>
      </c>
      <c r="E365">
        <f>Superstore_Sales[[#This Row],[Ship Date]]-Superstore_Sales[[#This Row],[Order Date]]</f>
        <v>4</v>
      </c>
      <c r="F365" t="s">
        <v>98</v>
      </c>
      <c r="G365" t="s">
        <v>1997</v>
      </c>
      <c r="H365" t="s">
        <v>1998</v>
      </c>
      <c r="I365" t="s">
        <v>65</v>
      </c>
      <c r="K365" t="s">
        <v>1999</v>
      </c>
      <c r="L365" t="s">
        <v>1154</v>
      </c>
      <c r="M365" t="s">
        <v>1155</v>
      </c>
      <c r="N365" t="s">
        <v>145</v>
      </c>
      <c r="O365" t="s">
        <v>48</v>
      </c>
      <c r="P365" t="s">
        <v>2000</v>
      </c>
      <c r="Q365" t="s">
        <v>147</v>
      </c>
      <c r="R365" t="s">
        <v>148</v>
      </c>
      <c r="S365" t="s">
        <v>2001</v>
      </c>
      <c r="T365">
        <v>4306.32</v>
      </c>
      <c r="U365">
        <v>8</v>
      </c>
      <c r="V365">
        <v>0</v>
      </c>
      <c r="W365">
        <v>1722.48</v>
      </c>
      <c r="X365">
        <v>314.14999999999998</v>
      </c>
      <c r="Y365" t="s">
        <v>61</v>
      </c>
      <c r="Z365">
        <f>Superstore_Sales[[#This Row],[Sales]]*Superstore_Sales[[#This Row],[Quantity]]</f>
        <v>34450.559999999998</v>
      </c>
      <c r="AA365" s="3">
        <f>Superstore_Sales[[#This Row],[TotalSales]]*Superstore_Sales[[#This Row],[Discount]]/100</f>
        <v>0</v>
      </c>
      <c r="AB365" s="2">
        <f>Superstore_Sales[[#This Row],[TotalSales]]-Superstore_Sales[[#This Row],[Dis_amt]]-Superstore_Sales[[#This Row],[Shipping Cost]]</f>
        <v>34136.409999999996</v>
      </c>
    </row>
    <row r="366" spans="1:28" x14ac:dyDescent="0.35">
      <c r="A366">
        <v>24338</v>
      </c>
      <c r="B366" t="s">
        <v>2002</v>
      </c>
      <c r="C366" s="1">
        <v>41741</v>
      </c>
      <c r="D366" s="1">
        <v>41743</v>
      </c>
      <c r="E366">
        <f>Superstore_Sales[[#This Row],[Ship Date]]-Superstore_Sales[[#This Row],[Order Date]]</f>
        <v>2</v>
      </c>
      <c r="F366" t="s">
        <v>25</v>
      </c>
      <c r="G366" t="s">
        <v>2003</v>
      </c>
      <c r="H366" t="s">
        <v>1059</v>
      </c>
      <c r="I366" t="s">
        <v>65</v>
      </c>
      <c r="K366" t="s">
        <v>2004</v>
      </c>
      <c r="L366" t="s">
        <v>1191</v>
      </c>
      <c r="M366" t="s">
        <v>144</v>
      </c>
      <c r="N366" t="s">
        <v>145</v>
      </c>
      <c r="O366" t="s">
        <v>48</v>
      </c>
      <c r="P366" t="s">
        <v>1407</v>
      </c>
      <c r="Q366" t="s">
        <v>147</v>
      </c>
      <c r="R366" t="s">
        <v>148</v>
      </c>
      <c r="S366" t="s">
        <v>1408</v>
      </c>
      <c r="T366">
        <v>899.55</v>
      </c>
      <c r="U366">
        <v>3</v>
      </c>
      <c r="V366">
        <v>0</v>
      </c>
      <c r="W366">
        <v>323.82</v>
      </c>
      <c r="X366">
        <v>313.70999999999998</v>
      </c>
      <c r="Y366" t="s">
        <v>53</v>
      </c>
      <c r="Z366">
        <f>Superstore_Sales[[#This Row],[Sales]]*Superstore_Sales[[#This Row],[Quantity]]</f>
        <v>2698.6499999999996</v>
      </c>
      <c r="AA366" s="3">
        <f>Superstore_Sales[[#This Row],[TotalSales]]*Superstore_Sales[[#This Row],[Discount]]/100</f>
        <v>0</v>
      </c>
      <c r="AB366" s="2">
        <f>Superstore_Sales[[#This Row],[TotalSales]]-Superstore_Sales[[#This Row],[Dis_amt]]-Superstore_Sales[[#This Row],[Shipping Cost]]</f>
        <v>2384.9399999999996</v>
      </c>
    </row>
    <row r="367" spans="1:28" x14ac:dyDescent="0.35">
      <c r="A367">
        <v>21510</v>
      </c>
      <c r="B367" t="s">
        <v>2005</v>
      </c>
      <c r="C367" s="1">
        <v>41954</v>
      </c>
      <c r="D367" s="1">
        <v>41954</v>
      </c>
      <c r="E367">
        <f>Superstore_Sales[[#This Row],[Ship Date]]-Superstore_Sales[[#This Row],[Order Date]]</f>
        <v>0</v>
      </c>
      <c r="F367" t="s">
        <v>73</v>
      </c>
      <c r="G367" t="s">
        <v>2006</v>
      </c>
      <c r="H367" t="s">
        <v>2007</v>
      </c>
      <c r="I367" t="s">
        <v>65</v>
      </c>
      <c r="K367" t="s">
        <v>2008</v>
      </c>
      <c r="L367" t="s">
        <v>2009</v>
      </c>
      <c r="M367" t="s">
        <v>258</v>
      </c>
      <c r="N367" t="s">
        <v>118</v>
      </c>
      <c r="O367" t="s">
        <v>48</v>
      </c>
      <c r="P367" t="s">
        <v>2010</v>
      </c>
      <c r="Q367" t="s">
        <v>35</v>
      </c>
      <c r="R367" t="s">
        <v>81</v>
      </c>
      <c r="S367" t="s">
        <v>2011</v>
      </c>
      <c r="T367">
        <v>763.92</v>
      </c>
      <c r="U367">
        <v>4</v>
      </c>
      <c r="V367">
        <v>0</v>
      </c>
      <c r="W367">
        <v>381.96</v>
      </c>
      <c r="X367">
        <v>313.66000000000003</v>
      </c>
      <c r="Y367" t="s">
        <v>53</v>
      </c>
      <c r="Z367">
        <f>Superstore_Sales[[#This Row],[Sales]]*Superstore_Sales[[#This Row],[Quantity]]</f>
        <v>3055.68</v>
      </c>
      <c r="AA367" s="3">
        <f>Superstore_Sales[[#This Row],[TotalSales]]*Superstore_Sales[[#This Row],[Discount]]/100</f>
        <v>0</v>
      </c>
      <c r="AB367" s="2">
        <f>Superstore_Sales[[#This Row],[TotalSales]]-Superstore_Sales[[#This Row],[Dis_amt]]-Superstore_Sales[[#This Row],[Shipping Cost]]</f>
        <v>2742.02</v>
      </c>
    </row>
    <row r="368" spans="1:28" x14ac:dyDescent="0.35">
      <c r="A368">
        <v>16814</v>
      </c>
      <c r="B368" t="s">
        <v>2012</v>
      </c>
      <c r="C368" s="1">
        <v>41560</v>
      </c>
      <c r="D368" s="1">
        <v>41564</v>
      </c>
      <c r="E368">
        <f>Superstore_Sales[[#This Row],[Ship Date]]-Superstore_Sales[[#This Row],[Order Date]]</f>
        <v>4</v>
      </c>
      <c r="F368" t="s">
        <v>98</v>
      </c>
      <c r="G368" t="s">
        <v>2013</v>
      </c>
      <c r="H368" t="s">
        <v>2014</v>
      </c>
      <c r="I368" t="s">
        <v>28</v>
      </c>
      <c r="K368" t="s">
        <v>2015</v>
      </c>
      <c r="L368" t="s">
        <v>2016</v>
      </c>
      <c r="M368" t="s">
        <v>67</v>
      </c>
      <c r="N368" t="s">
        <v>68</v>
      </c>
      <c r="O368" t="s">
        <v>69</v>
      </c>
      <c r="P368" t="s">
        <v>510</v>
      </c>
      <c r="Q368" t="s">
        <v>35</v>
      </c>
      <c r="R368" t="s">
        <v>36</v>
      </c>
      <c r="S368" t="s">
        <v>511</v>
      </c>
      <c r="T368">
        <v>2544.2399999999998</v>
      </c>
      <c r="U368">
        <v>4</v>
      </c>
      <c r="V368">
        <v>0</v>
      </c>
      <c r="W368">
        <v>1093.92</v>
      </c>
      <c r="X368">
        <v>313.58</v>
      </c>
      <c r="Y368" t="s">
        <v>38</v>
      </c>
      <c r="Z368">
        <f>Superstore_Sales[[#This Row],[Sales]]*Superstore_Sales[[#This Row],[Quantity]]</f>
        <v>10176.959999999999</v>
      </c>
      <c r="AA368" s="3">
        <f>Superstore_Sales[[#This Row],[TotalSales]]*Superstore_Sales[[#This Row],[Discount]]/100</f>
        <v>0</v>
      </c>
      <c r="AB368" s="2">
        <f>Superstore_Sales[[#This Row],[TotalSales]]-Superstore_Sales[[#This Row],[Dis_amt]]-Superstore_Sales[[#This Row],[Shipping Cost]]</f>
        <v>9863.3799999999992</v>
      </c>
    </row>
    <row r="369" spans="1:28" x14ac:dyDescent="0.35">
      <c r="A369">
        <v>30674</v>
      </c>
      <c r="B369" t="s">
        <v>2017</v>
      </c>
      <c r="C369" s="1">
        <v>41560</v>
      </c>
      <c r="D369" s="1">
        <v>41563</v>
      </c>
      <c r="E369">
        <f>Superstore_Sales[[#This Row],[Ship Date]]-Superstore_Sales[[#This Row],[Order Date]]</f>
        <v>3</v>
      </c>
      <c r="F369" t="s">
        <v>40</v>
      </c>
      <c r="G369" t="s">
        <v>2018</v>
      </c>
      <c r="H369" t="s">
        <v>925</v>
      </c>
      <c r="I369" t="s">
        <v>28</v>
      </c>
      <c r="K369" t="s">
        <v>1499</v>
      </c>
      <c r="L369" t="s">
        <v>1499</v>
      </c>
      <c r="M369" t="s">
        <v>94</v>
      </c>
      <c r="N369" t="s">
        <v>47</v>
      </c>
      <c r="O369" t="s">
        <v>48</v>
      </c>
      <c r="P369" t="s">
        <v>380</v>
      </c>
      <c r="Q369" t="s">
        <v>50</v>
      </c>
      <c r="R369" t="s">
        <v>51</v>
      </c>
      <c r="S369" t="s">
        <v>381</v>
      </c>
      <c r="T369">
        <v>1136.6600000000001</v>
      </c>
      <c r="U369">
        <v>4</v>
      </c>
      <c r="V369">
        <v>0.4</v>
      </c>
      <c r="W369">
        <v>-189.46</v>
      </c>
      <c r="X369">
        <v>313.52</v>
      </c>
      <c r="Y369" t="s">
        <v>53</v>
      </c>
      <c r="Z369">
        <f>Superstore_Sales[[#This Row],[Sales]]*Superstore_Sales[[#This Row],[Quantity]]</f>
        <v>4546.6400000000003</v>
      </c>
      <c r="AA369" s="3">
        <f>Superstore_Sales[[#This Row],[TotalSales]]*Superstore_Sales[[#This Row],[Discount]]/100</f>
        <v>18.18656</v>
      </c>
      <c r="AB369" s="2">
        <f>Superstore_Sales[[#This Row],[TotalSales]]-Superstore_Sales[[#This Row],[Dis_amt]]-Superstore_Sales[[#This Row],[Shipping Cost]]</f>
        <v>4214.9334400000007</v>
      </c>
    </row>
    <row r="370" spans="1:28" x14ac:dyDescent="0.35">
      <c r="A370">
        <v>27537</v>
      </c>
      <c r="B370" t="s">
        <v>2019</v>
      </c>
      <c r="C370" s="1">
        <v>42034</v>
      </c>
      <c r="D370" s="1">
        <v>42038</v>
      </c>
      <c r="E370">
        <f>Superstore_Sales[[#This Row],[Ship Date]]-Superstore_Sales[[#This Row],[Order Date]]</f>
        <v>4</v>
      </c>
      <c r="F370" t="s">
        <v>98</v>
      </c>
      <c r="G370" t="s">
        <v>2020</v>
      </c>
      <c r="H370" t="s">
        <v>2021</v>
      </c>
      <c r="I370" t="s">
        <v>43</v>
      </c>
      <c r="K370" t="s">
        <v>965</v>
      </c>
      <c r="L370" t="s">
        <v>965</v>
      </c>
      <c r="M370" t="s">
        <v>144</v>
      </c>
      <c r="N370" t="s">
        <v>145</v>
      </c>
      <c r="O370" t="s">
        <v>48</v>
      </c>
      <c r="P370" t="s">
        <v>366</v>
      </c>
      <c r="Q370" t="s">
        <v>50</v>
      </c>
      <c r="R370" t="s">
        <v>51</v>
      </c>
      <c r="S370" t="s">
        <v>367</v>
      </c>
      <c r="T370">
        <v>2301</v>
      </c>
      <c r="U370">
        <v>5</v>
      </c>
      <c r="V370">
        <v>0</v>
      </c>
      <c r="W370">
        <v>91.95</v>
      </c>
      <c r="X370">
        <v>313.45</v>
      </c>
      <c r="Y370" t="s">
        <v>38</v>
      </c>
      <c r="Z370">
        <f>Superstore_Sales[[#This Row],[Sales]]*Superstore_Sales[[#This Row],[Quantity]]</f>
        <v>11505</v>
      </c>
      <c r="AA370" s="3">
        <f>Superstore_Sales[[#This Row],[TotalSales]]*Superstore_Sales[[#This Row],[Discount]]/100</f>
        <v>0</v>
      </c>
      <c r="AB370" s="2">
        <f>Superstore_Sales[[#This Row],[TotalSales]]-Superstore_Sales[[#This Row],[Dis_amt]]-Superstore_Sales[[#This Row],[Shipping Cost]]</f>
        <v>11191.55</v>
      </c>
    </row>
    <row r="371" spans="1:28" x14ac:dyDescent="0.35">
      <c r="A371">
        <v>43180</v>
      </c>
      <c r="B371" t="s">
        <v>2022</v>
      </c>
      <c r="C371" s="1">
        <v>41559</v>
      </c>
      <c r="D371" s="1">
        <v>41563</v>
      </c>
      <c r="E371">
        <f>Superstore_Sales[[#This Row],[Ship Date]]-Superstore_Sales[[#This Row],[Order Date]]</f>
        <v>4</v>
      </c>
      <c r="F371" t="s">
        <v>40</v>
      </c>
      <c r="G371" t="s">
        <v>2023</v>
      </c>
      <c r="H371" t="s">
        <v>2024</v>
      </c>
      <c r="I371" t="s">
        <v>28</v>
      </c>
      <c r="K371" t="s">
        <v>2025</v>
      </c>
      <c r="L371" t="s">
        <v>292</v>
      </c>
      <c r="M371" t="s">
        <v>293</v>
      </c>
      <c r="N371" t="s">
        <v>294</v>
      </c>
      <c r="O371" t="s">
        <v>79</v>
      </c>
      <c r="P371" t="s">
        <v>949</v>
      </c>
      <c r="Q371" t="s">
        <v>35</v>
      </c>
      <c r="R371" t="s">
        <v>36</v>
      </c>
      <c r="S371" t="s">
        <v>950</v>
      </c>
      <c r="T371">
        <v>3908.88</v>
      </c>
      <c r="U371">
        <v>6</v>
      </c>
      <c r="V371">
        <v>0</v>
      </c>
      <c r="W371">
        <v>1563.48</v>
      </c>
      <c r="X371">
        <v>313.31</v>
      </c>
      <c r="Y371" t="s">
        <v>61</v>
      </c>
      <c r="Z371">
        <f>Superstore_Sales[[#This Row],[Sales]]*Superstore_Sales[[#This Row],[Quantity]]</f>
        <v>23453.279999999999</v>
      </c>
      <c r="AA371" s="3">
        <f>Superstore_Sales[[#This Row],[TotalSales]]*Superstore_Sales[[#This Row],[Discount]]/100</f>
        <v>0</v>
      </c>
      <c r="AB371" s="2">
        <f>Superstore_Sales[[#This Row],[TotalSales]]-Superstore_Sales[[#This Row],[Dis_amt]]-Superstore_Sales[[#This Row],[Shipping Cost]]</f>
        <v>23139.969999999998</v>
      </c>
    </row>
    <row r="372" spans="1:28" x14ac:dyDescent="0.35">
      <c r="A372">
        <v>35208</v>
      </c>
      <c r="B372" t="s">
        <v>2026</v>
      </c>
      <c r="C372" s="1">
        <v>42161</v>
      </c>
      <c r="D372" s="1">
        <v>42162</v>
      </c>
      <c r="E372">
        <f>Superstore_Sales[[#This Row],[Ship Date]]-Superstore_Sales[[#This Row],[Order Date]]</f>
        <v>1</v>
      </c>
      <c r="F372" t="s">
        <v>25</v>
      </c>
      <c r="G372" t="s">
        <v>1991</v>
      </c>
      <c r="H372" t="s">
        <v>1297</v>
      </c>
      <c r="I372" t="s">
        <v>28</v>
      </c>
      <c r="J372">
        <v>77581</v>
      </c>
      <c r="K372" t="s">
        <v>2027</v>
      </c>
      <c r="L372" t="s">
        <v>160</v>
      </c>
      <c r="M372" t="s">
        <v>31</v>
      </c>
      <c r="N372" t="s">
        <v>32</v>
      </c>
      <c r="O372" t="s">
        <v>33</v>
      </c>
      <c r="P372" t="s">
        <v>2028</v>
      </c>
      <c r="Q372" t="s">
        <v>35</v>
      </c>
      <c r="R372" t="s">
        <v>36</v>
      </c>
      <c r="S372" t="s">
        <v>2029</v>
      </c>
      <c r="T372">
        <v>470.38</v>
      </c>
      <c r="U372">
        <v>3</v>
      </c>
      <c r="V372">
        <v>0.2</v>
      </c>
      <c r="W372">
        <v>52.92</v>
      </c>
      <c r="X372">
        <v>137.41</v>
      </c>
      <c r="Y372" t="s">
        <v>38</v>
      </c>
      <c r="Z372">
        <f>Superstore_Sales[[#This Row],[Sales]]*Superstore_Sales[[#This Row],[Quantity]]</f>
        <v>1411.1399999999999</v>
      </c>
      <c r="AA372" s="3">
        <f>Superstore_Sales[[#This Row],[TotalSales]]*Superstore_Sales[[#This Row],[Discount]]/100</f>
        <v>2.8222800000000001</v>
      </c>
      <c r="AB372" s="2">
        <f>Superstore_Sales[[#This Row],[TotalSales]]-Superstore_Sales[[#This Row],[Dis_amt]]-Superstore_Sales[[#This Row],[Shipping Cost]]</f>
        <v>1270.9077199999997</v>
      </c>
    </row>
    <row r="373" spans="1:28" x14ac:dyDescent="0.35">
      <c r="A373">
        <v>33848</v>
      </c>
      <c r="B373" t="s">
        <v>2030</v>
      </c>
      <c r="C373" s="1">
        <v>42328</v>
      </c>
      <c r="D373" s="1">
        <v>42332</v>
      </c>
      <c r="E373">
        <f>Superstore_Sales[[#This Row],[Ship Date]]-Superstore_Sales[[#This Row],[Order Date]]</f>
        <v>4</v>
      </c>
      <c r="F373" t="s">
        <v>98</v>
      </c>
      <c r="G373" t="s">
        <v>2031</v>
      </c>
      <c r="H373" t="s">
        <v>1297</v>
      </c>
      <c r="I373" t="s">
        <v>28</v>
      </c>
      <c r="J373">
        <v>42420</v>
      </c>
      <c r="K373" t="s">
        <v>1113</v>
      </c>
      <c r="L373" t="s">
        <v>2032</v>
      </c>
      <c r="M373" t="s">
        <v>31</v>
      </c>
      <c r="N373" t="s">
        <v>351</v>
      </c>
      <c r="O373" t="s">
        <v>33</v>
      </c>
      <c r="P373" t="s">
        <v>2033</v>
      </c>
      <c r="Q373" t="s">
        <v>50</v>
      </c>
      <c r="R373" t="s">
        <v>353</v>
      </c>
      <c r="S373" t="s">
        <v>2034</v>
      </c>
      <c r="T373">
        <v>821.88</v>
      </c>
      <c r="U373">
        <v>6</v>
      </c>
      <c r="V373">
        <v>0</v>
      </c>
      <c r="W373">
        <v>213.69</v>
      </c>
      <c r="X373">
        <v>83.56</v>
      </c>
      <c r="Y373" t="s">
        <v>61</v>
      </c>
      <c r="Z373">
        <f>Superstore_Sales[[#This Row],[Sales]]*Superstore_Sales[[#This Row],[Quantity]]</f>
        <v>4931.28</v>
      </c>
      <c r="AA373" s="3">
        <f>Superstore_Sales[[#This Row],[TotalSales]]*Superstore_Sales[[#This Row],[Discount]]/100</f>
        <v>0</v>
      </c>
      <c r="AB373" s="2">
        <f>Superstore_Sales[[#This Row],[TotalSales]]-Superstore_Sales[[#This Row],[Dis_amt]]-Superstore_Sales[[#This Row],[Shipping Cost]]</f>
        <v>4847.7199999999993</v>
      </c>
    </row>
    <row r="374" spans="1:28" x14ac:dyDescent="0.35">
      <c r="A374">
        <v>26224</v>
      </c>
      <c r="B374" t="s">
        <v>2035</v>
      </c>
      <c r="C374" s="1">
        <v>41901</v>
      </c>
      <c r="D374" s="1">
        <v>41905</v>
      </c>
      <c r="E374">
        <f>Superstore_Sales[[#This Row],[Ship Date]]-Superstore_Sales[[#This Row],[Order Date]]</f>
        <v>4</v>
      </c>
      <c r="F374" t="s">
        <v>98</v>
      </c>
      <c r="G374" t="s">
        <v>2036</v>
      </c>
      <c r="H374" t="s">
        <v>2037</v>
      </c>
      <c r="I374" t="s">
        <v>28</v>
      </c>
      <c r="K374" t="s">
        <v>2038</v>
      </c>
      <c r="L374" t="s">
        <v>1946</v>
      </c>
      <c r="M374" t="s">
        <v>258</v>
      </c>
      <c r="N374" t="s">
        <v>118</v>
      </c>
      <c r="O374" t="s">
        <v>48</v>
      </c>
      <c r="P374" t="s">
        <v>1092</v>
      </c>
      <c r="Q374" t="s">
        <v>147</v>
      </c>
      <c r="R374" t="s">
        <v>148</v>
      </c>
      <c r="S374" t="s">
        <v>1093</v>
      </c>
      <c r="T374">
        <v>2249.16</v>
      </c>
      <c r="U374">
        <v>4</v>
      </c>
      <c r="V374">
        <v>0</v>
      </c>
      <c r="W374">
        <v>224.88</v>
      </c>
      <c r="X374">
        <v>311.14</v>
      </c>
      <c r="Y374" t="s">
        <v>38</v>
      </c>
      <c r="Z374">
        <f>Superstore_Sales[[#This Row],[Sales]]*Superstore_Sales[[#This Row],[Quantity]]</f>
        <v>8996.64</v>
      </c>
      <c r="AA374" s="3">
        <f>Superstore_Sales[[#This Row],[TotalSales]]*Superstore_Sales[[#This Row],[Discount]]/100</f>
        <v>0</v>
      </c>
      <c r="AB374" s="2">
        <f>Superstore_Sales[[#This Row],[TotalSales]]-Superstore_Sales[[#This Row],[Dis_amt]]-Superstore_Sales[[#This Row],[Shipping Cost]]</f>
        <v>8685.5</v>
      </c>
    </row>
    <row r="375" spans="1:28" x14ac:dyDescent="0.35">
      <c r="A375">
        <v>7454</v>
      </c>
      <c r="B375" t="s">
        <v>2039</v>
      </c>
      <c r="C375" s="1">
        <v>41639</v>
      </c>
      <c r="D375" s="1">
        <v>41644</v>
      </c>
      <c r="E375">
        <f>Superstore_Sales[[#This Row],[Ship Date]]-Superstore_Sales[[#This Row],[Order Date]]</f>
        <v>5</v>
      </c>
      <c r="F375" t="s">
        <v>98</v>
      </c>
      <c r="G375" t="s">
        <v>2040</v>
      </c>
      <c r="H375" t="s">
        <v>2041</v>
      </c>
      <c r="I375" t="s">
        <v>43</v>
      </c>
      <c r="K375" t="s">
        <v>2042</v>
      </c>
      <c r="L375" t="s">
        <v>2043</v>
      </c>
      <c r="M375" t="s">
        <v>219</v>
      </c>
      <c r="N375" t="s">
        <v>220</v>
      </c>
      <c r="O375" t="s">
        <v>136</v>
      </c>
      <c r="P375" t="s">
        <v>1327</v>
      </c>
      <c r="Q375" t="s">
        <v>147</v>
      </c>
      <c r="R375" t="s">
        <v>148</v>
      </c>
      <c r="S375" t="s">
        <v>1328</v>
      </c>
      <c r="T375">
        <v>2528.2600000000002</v>
      </c>
      <c r="U375">
        <v>7</v>
      </c>
      <c r="V375">
        <v>0</v>
      </c>
      <c r="W375">
        <v>176.96</v>
      </c>
      <c r="X375">
        <v>310.74799999999999</v>
      </c>
      <c r="Y375" t="s">
        <v>38</v>
      </c>
      <c r="Z375">
        <f>Superstore_Sales[[#This Row],[Sales]]*Superstore_Sales[[#This Row],[Quantity]]</f>
        <v>17697.82</v>
      </c>
      <c r="AA375" s="3">
        <f>Superstore_Sales[[#This Row],[TotalSales]]*Superstore_Sales[[#This Row],[Discount]]/100</f>
        <v>0</v>
      </c>
      <c r="AB375" s="2">
        <f>Superstore_Sales[[#This Row],[TotalSales]]-Superstore_Sales[[#This Row],[Dis_amt]]-Superstore_Sales[[#This Row],[Shipping Cost]]</f>
        <v>17387.072</v>
      </c>
    </row>
    <row r="376" spans="1:28" x14ac:dyDescent="0.35">
      <c r="A376">
        <v>12080</v>
      </c>
      <c r="B376" t="s">
        <v>2044</v>
      </c>
      <c r="C376" s="1">
        <v>42367</v>
      </c>
      <c r="D376" s="1">
        <v>42369</v>
      </c>
      <c r="E376">
        <f>Superstore_Sales[[#This Row],[Ship Date]]-Superstore_Sales[[#This Row],[Order Date]]</f>
        <v>2</v>
      </c>
      <c r="F376" t="s">
        <v>40</v>
      </c>
      <c r="G376" t="s">
        <v>2045</v>
      </c>
      <c r="H376" t="s">
        <v>2046</v>
      </c>
      <c r="I376" t="s">
        <v>28</v>
      </c>
      <c r="K376" t="s">
        <v>2047</v>
      </c>
      <c r="L376" t="s">
        <v>1772</v>
      </c>
      <c r="M376" t="s">
        <v>155</v>
      </c>
      <c r="N376" t="s">
        <v>68</v>
      </c>
      <c r="O376" t="s">
        <v>69</v>
      </c>
      <c r="P376" t="s">
        <v>897</v>
      </c>
      <c r="Q376" t="s">
        <v>50</v>
      </c>
      <c r="R376" t="s">
        <v>104</v>
      </c>
      <c r="S376" t="s">
        <v>898</v>
      </c>
      <c r="T376">
        <v>1461.14</v>
      </c>
      <c r="U376">
        <v>5</v>
      </c>
      <c r="V376">
        <v>0.35</v>
      </c>
      <c r="W376">
        <v>202.19</v>
      </c>
      <c r="X376">
        <v>310.17</v>
      </c>
      <c r="Y376" t="s">
        <v>38</v>
      </c>
      <c r="Z376">
        <f>Superstore_Sales[[#This Row],[Sales]]*Superstore_Sales[[#This Row],[Quantity]]</f>
        <v>7305.7000000000007</v>
      </c>
      <c r="AA376" s="3">
        <f>Superstore_Sales[[#This Row],[TotalSales]]*Superstore_Sales[[#This Row],[Discount]]/100</f>
        <v>25.569949999999999</v>
      </c>
      <c r="AB376" s="2">
        <f>Superstore_Sales[[#This Row],[TotalSales]]-Superstore_Sales[[#This Row],[Dis_amt]]-Superstore_Sales[[#This Row],[Shipping Cost]]</f>
        <v>6969.9600500000006</v>
      </c>
    </row>
    <row r="377" spans="1:28" x14ac:dyDescent="0.35">
      <c r="A377">
        <v>3149</v>
      </c>
      <c r="B377" t="s">
        <v>2048</v>
      </c>
      <c r="C377" s="1">
        <v>41958</v>
      </c>
      <c r="D377" s="1">
        <v>41962</v>
      </c>
      <c r="E377">
        <f>Superstore_Sales[[#This Row],[Ship Date]]-Superstore_Sales[[#This Row],[Order Date]]</f>
        <v>4</v>
      </c>
      <c r="F377" t="s">
        <v>98</v>
      </c>
      <c r="G377" t="s">
        <v>2049</v>
      </c>
      <c r="H377" t="s">
        <v>2050</v>
      </c>
      <c r="I377" t="s">
        <v>28</v>
      </c>
      <c r="K377" t="s">
        <v>2051</v>
      </c>
      <c r="L377" t="s">
        <v>2052</v>
      </c>
      <c r="M377" t="s">
        <v>219</v>
      </c>
      <c r="N377" t="s">
        <v>220</v>
      </c>
      <c r="O377" t="s">
        <v>136</v>
      </c>
      <c r="P377" t="s">
        <v>645</v>
      </c>
      <c r="Q377" t="s">
        <v>35</v>
      </c>
      <c r="R377" t="s">
        <v>36</v>
      </c>
      <c r="S377" t="s">
        <v>646</v>
      </c>
      <c r="T377">
        <v>3045.84</v>
      </c>
      <c r="U377">
        <v>7</v>
      </c>
      <c r="V377">
        <v>0</v>
      </c>
      <c r="W377">
        <v>1035.58</v>
      </c>
      <c r="X377">
        <v>309.74799999999999</v>
      </c>
      <c r="Y377" t="s">
        <v>38</v>
      </c>
      <c r="Z377">
        <f>Superstore_Sales[[#This Row],[Sales]]*Superstore_Sales[[#This Row],[Quantity]]</f>
        <v>21320.880000000001</v>
      </c>
      <c r="AA377" s="3">
        <f>Superstore_Sales[[#This Row],[TotalSales]]*Superstore_Sales[[#This Row],[Discount]]/100</f>
        <v>0</v>
      </c>
      <c r="AB377" s="2">
        <f>Superstore_Sales[[#This Row],[TotalSales]]-Superstore_Sales[[#This Row],[Dis_amt]]-Superstore_Sales[[#This Row],[Shipping Cost]]</f>
        <v>21011.132000000001</v>
      </c>
    </row>
    <row r="378" spans="1:28" x14ac:dyDescent="0.35">
      <c r="A378">
        <v>35580</v>
      </c>
      <c r="B378" t="s">
        <v>2053</v>
      </c>
      <c r="C378" s="1">
        <v>41262</v>
      </c>
      <c r="D378" s="1">
        <v>41265</v>
      </c>
      <c r="E378">
        <f>Superstore_Sales[[#This Row],[Ship Date]]-Superstore_Sales[[#This Row],[Order Date]]</f>
        <v>3</v>
      </c>
      <c r="F378" t="s">
        <v>25</v>
      </c>
      <c r="G378" t="s">
        <v>1991</v>
      </c>
      <c r="H378" t="s">
        <v>1297</v>
      </c>
      <c r="I378" t="s">
        <v>28</v>
      </c>
      <c r="J378">
        <v>46203</v>
      </c>
      <c r="K378" t="s">
        <v>2054</v>
      </c>
      <c r="L378" t="s">
        <v>806</v>
      </c>
      <c r="M378" t="s">
        <v>31</v>
      </c>
      <c r="N378" t="s">
        <v>32</v>
      </c>
      <c r="O378" t="s">
        <v>33</v>
      </c>
      <c r="P378" t="s">
        <v>2055</v>
      </c>
      <c r="Q378" t="s">
        <v>147</v>
      </c>
      <c r="R378" t="s">
        <v>384</v>
      </c>
      <c r="S378" t="s">
        <v>2056</v>
      </c>
      <c r="T378">
        <v>1103.97</v>
      </c>
      <c r="U378">
        <v>3</v>
      </c>
      <c r="V378">
        <v>0</v>
      </c>
      <c r="W378">
        <v>496.79</v>
      </c>
      <c r="X378">
        <v>63.82</v>
      </c>
      <c r="Y378" t="s">
        <v>61</v>
      </c>
      <c r="Z378">
        <f>Superstore_Sales[[#This Row],[Sales]]*Superstore_Sales[[#This Row],[Quantity]]</f>
        <v>3311.91</v>
      </c>
      <c r="AA378" s="3">
        <f>Superstore_Sales[[#This Row],[TotalSales]]*Superstore_Sales[[#This Row],[Discount]]/100</f>
        <v>0</v>
      </c>
      <c r="AB378" s="2">
        <f>Superstore_Sales[[#This Row],[TotalSales]]-Superstore_Sales[[#This Row],[Dis_amt]]-Superstore_Sales[[#This Row],[Shipping Cost]]</f>
        <v>3248.0899999999997</v>
      </c>
    </row>
    <row r="379" spans="1:28" x14ac:dyDescent="0.35">
      <c r="A379">
        <v>36011</v>
      </c>
      <c r="B379" t="s">
        <v>2057</v>
      </c>
      <c r="C379" s="1">
        <v>42143</v>
      </c>
      <c r="D379" s="1">
        <v>42145</v>
      </c>
      <c r="E379">
        <f>Superstore_Sales[[#This Row],[Ship Date]]-Superstore_Sales[[#This Row],[Order Date]]</f>
        <v>2</v>
      </c>
      <c r="F379" t="s">
        <v>25</v>
      </c>
      <c r="G379" t="s">
        <v>2058</v>
      </c>
      <c r="H379" t="s">
        <v>1297</v>
      </c>
      <c r="I379" t="s">
        <v>28</v>
      </c>
      <c r="J379">
        <v>97206</v>
      </c>
      <c r="K379" t="s">
        <v>2059</v>
      </c>
      <c r="L379" t="s">
        <v>563</v>
      </c>
      <c r="M379" t="s">
        <v>31</v>
      </c>
      <c r="N379" t="s">
        <v>110</v>
      </c>
      <c r="O379" t="s">
        <v>33</v>
      </c>
      <c r="P379" t="s">
        <v>2060</v>
      </c>
      <c r="Q379" t="s">
        <v>35</v>
      </c>
      <c r="R379" t="s">
        <v>36</v>
      </c>
      <c r="S379" t="s">
        <v>2061</v>
      </c>
      <c r="T379">
        <v>344.7</v>
      </c>
      <c r="U379">
        <v>2</v>
      </c>
      <c r="V379">
        <v>0.2</v>
      </c>
      <c r="W379">
        <v>38.78</v>
      </c>
      <c r="X379">
        <v>48.59</v>
      </c>
      <c r="Y379" t="s">
        <v>61</v>
      </c>
      <c r="Z379">
        <f>Superstore_Sales[[#This Row],[Sales]]*Superstore_Sales[[#This Row],[Quantity]]</f>
        <v>689.4</v>
      </c>
      <c r="AA379" s="3">
        <f>Superstore_Sales[[#This Row],[TotalSales]]*Superstore_Sales[[#This Row],[Discount]]/100</f>
        <v>1.3788</v>
      </c>
      <c r="AB379" s="2">
        <f>Superstore_Sales[[#This Row],[TotalSales]]-Superstore_Sales[[#This Row],[Dis_amt]]-Superstore_Sales[[#This Row],[Shipping Cost]]</f>
        <v>639.43119999999999</v>
      </c>
    </row>
    <row r="380" spans="1:28" x14ac:dyDescent="0.35">
      <c r="A380">
        <v>29277</v>
      </c>
      <c r="B380" t="s">
        <v>2062</v>
      </c>
      <c r="C380" s="1">
        <v>42255</v>
      </c>
      <c r="D380" s="1">
        <v>42258</v>
      </c>
      <c r="E380">
        <f>Superstore_Sales[[#This Row],[Ship Date]]-Superstore_Sales[[#This Row],[Order Date]]</f>
        <v>3</v>
      </c>
      <c r="F380" t="s">
        <v>25</v>
      </c>
      <c r="G380" t="s">
        <v>2063</v>
      </c>
      <c r="H380" t="s">
        <v>2064</v>
      </c>
      <c r="I380" t="s">
        <v>28</v>
      </c>
      <c r="K380" t="s">
        <v>609</v>
      </c>
      <c r="L380" t="s">
        <v>610</v>
      </c>
      <c r="M380" t="s">
        <v>611</v>
      </c>
      <c r="N380" t="s">
        <v>322</v>
      </c>
      <c r="O380" t="s">
        <v>48</v>
      </c>
      <c r="P380" t="s">
        <v>1264</v>
      </c>
      <c r="Q380" t="s">
        <v>50</v>
      </c>
      <c r="R380" t="s">
        <v>336</v>
      </c>
      <c r="S380" t="s">
        <v>1265</v>
      </c>
      <c r="T380">
        <v>2152.96</v>
      </c>
      <c r="U380">
        <v>8</v>
      </c>
      <c r="V380">
        <v>0.35</v>
      </c>
      <c r="W380">
        <v>198.64</v>
      </c>
      <c r="X380">
        <v>309.11</v>
      </c>
      <c r="Y380" t="s">
        <v>61</v>
      </c>
      <c r="Z380">
        <f>Superstore_Sales[[#This Row],[Sales]]*Superstore_Sales[[#This Row],[Quantity]]</f>
        <v>17223.68</v>
      </c>
      <c r="AA380" s="3">
        <f>Superstore_Sales[[#This Row],[TotalSales]]*Superstore_Sales[[#This Row],[Discount]]/100</f>
        <v>60.282879999999999</v>
      </c>
      <c r="AB380" s="2">
        <f>Superstore_Sales[[#This Row],[TotalSales]]-Superstore_Sales[[#This Row],[Dis_amt]]-Superstore_Sales[[#This Row],[Shipping Cost]]</f>
        <v>16854.287120000001</v>
      </c>
    </row>
    <row r="381" spans="1:28" x14ac:dyDescent="0.35">
      <c r="A381">
        <v>12329</v>
      </c>
      <c r="B381" t="s">
        <v>2065</v>
      </c>
      <c r="C381" s="1">
        <v>41807</v>
      </c>
      <c r="D381" s="1">
        <v>41809</v>
      </c>
      <c r="E381">
        <f>Superstore_Sales[[#This Row],[Ship Date]]-Superstore_Sales[[#This Row],[Order Date]]</f>
        <v>2</v>
      </c>
      <c r="F381" t="s">
        <v>25</v>
      </c>
      <c r="G381" t="s">
        <v>2066</v>
      </c>
      <c r="H381" t="s">
        <v>1795</v>
      </c>
      <c r="I381" t="s">
        <v>28</v>
      </c>
      <c r="K381" t="s">
        <v>2067</v>
      </c>
      <c r="L381" t="s">
        <v>154</v>
      </c>
      <c r="M381" t="s">
        <v>155</v>
      </c>
      <c r="N381" t="s">
        <v>68</v>
      </c>
      <c r="O381" t="s">
        <v>69</v>
      </c>
      <c r="P381" t="s">
        <v>2068</v>
      </c>
      <c r="Q381" t="s">
        <v>35</v>
      </c>
      <c r="R381" t="s">
        <v>304</v>
      </c>
      <c r="S381" t="s">
        <v>2069</v>
      </c>
      <c r="T381">
        <v>1244.0999999999999</v>
      </c>
      <c r="U381">
        <v>5</v>
      </c>
      <c r="V381">
        <v>0</v>
      </c>
      <c r="W381">
        <v>447.75</v>
      </c>
      <c r="X381">
        <v>309</v>
      </c>
      <c r="Y381" t="s">
        <v>38</v>
      </c>
      <c r="Z381">
        <f>Superstore_Sales[[#This Row],[Sales]]*Superstore_Sales[[#This Row],[Quantity]]</f>
        <v>6220.5</v>
      </c>
      <c r="AA381" s="3">
        <f>Superstore_Sales[[#This Row],[TotalSales]]*Superstore_Sales[[#This Row],[Discount]]/100</f>
        <v>0</v>
      </c>
      <c r="AB381" s="2">
        <f>Superstore_Sales[[#This Row],[TotalSales]]-Superstore_Sales[[#This Row],[Dis_amt]]-Superstore_Sales[[#This Row],[Shipping Cost]]</f>
        <v>5911.5</v>
      </c>
    </row>
    <row r="382" spans="1:28" x14ac:dyDescent="0.35">
      <c r="A382">
        <v>4891</v>
      </c>
      <c r="B382" t="s">
        <v>2070</v>
      </c>
      <c r="C382" s="1">
        <v>41250</v>
      </c>
      <c r="D382" s="1">
        <v>41250</v>
      </c>
      <c r="E382">
        <f>Superstore_Sales[[#This Row],[Ship Date]]-Superstore_Sales[[#This Row],[Order Date]]</f>
        <v>0</v>
      </c>
      <c r="F382" t="s">
        <v>73</v>
      </c>
      <c r="G382" t="s">
        <v>2071</v>
      </c>
      <c r="H382" t="s">
        <v>2072</v>
      </c>
      <c r="I382" t="s">
        <v>43</v>
      </c>
      <c r="K382" t="s">
        <v>2073</v>
      </c>
      <c r="L382" t="s">
        <v>2074</v>
      </c>
      <c r="M382" t="s">
        <v>219</v>
      </c>
      <c r="N382" t="s">
        <v>220</v>
      </c>
      <c r="O382" t="s">
        <v>136</v>
      </c>
      <c r="P382" t="s">
        <v>2075</v>
      </c>
      <c r="Q382" t="s">
        <v>50</v>
      </c>
      <c r="R382" t="s">
        <v>51</v>
      </c>
      <c r="S382" t="s">
        <v>2076</v>
      </c>
      <c r="T382">
        <v>2226.8200000000002</v>
      </c>
      <c r="U382">
        <v>9</v>
      </c>
      <c r="V382">
        <v>0.2</v>
      </c>
      <c r="W382">
        <v>500.98</v>
      </c>
      <c r="X382">
        <v>308.65800000000002</v>
      </c>
      <c r="Y382" t="s">
        <v>38</v>
      </c>
      <c r="Z382">
        <f>Superstore_Sales[[#This Row],[Sales]]*Superstore_Sales[[#This Row],[Quantity]]</f>
        <v>20041.38</v>
      </c>
      <c r="AA382" s="3">
        <f>Superstore_Sales[[#This Row],[TotalSales]]*Superstore_Sales[[#This Row],[Discount]]/100</f>
        <v>40.08276</v>
      </c>
      <c r="AB382" s="2">
        <f>Superstore_Sales[[#This Row],[TotalSales]]-Superstore_Sales[[#This Row],[Dis_amt]]-Superstore_Sales[[#This Row],[Shipping Cost]]</f>
        <v>19692.63924</v>
      </c>
    </row>
    <row r="383" spans="1:28" x14ac:dyDescent="0.35">
      <c r="A383">
        <v>20557</v>
      </c>
      <c r="B383" t="s">
        <v>2077</v>
      </c>
      <c r="C383" s="1">
        <v>42266</v>
      </c>
      <c r="D383" s="1">
        <v>42268</v>
      </c>
      <c r="E383">
        <f>Superstore_Sales[[#This Row],[Ship Date]]-Superstore_Sales[[#This Row],[Order Date]]</f>
        <v>2</v>
      </c>
      <c r="F383" t="s">
        <v>40</v>
      </c>
      <c r="G383" t="s">
        <v>2078</v>
      </c>
      <c r="H383" t="s">
        <v>2079</v>
      </c>
      <c r="I383" t="s">
        <v>28</v>
      </c>
      <c r="K383" t="s">
        <v>514</v>
      </c>
      <c r="L383" t="s">
        <v>515</v>
      </c>
      <c r="M383" t="s">
        <v>46</v>
      </c>
      <c r="N383" t="s">
        <v>47</v>
      </c>
      <c r="O383" t="s">
        <v>48</v>
      </c>
      <c r="P383" t="s">
        <v>797</v>
      </c>
      <c r="Q383" t="s">
        <v>50</v>
      </c>
      <c r="R383" t="s">
        <v>336</v>
      </c>
      <c r="S383" t="s">
        <v>798</v>
      </c>
      <c r="T383">
        <v>1586.41</v>
      </c>
      <c r="U383">
        <v>4</v>
      </c>
      <c r="V383">
        <v>0.1</v>
      </c>
      <c r="W383">
        <v>17.53</v>
      </c>
      <c r="X383">
        <v>307.98</v>
      </c>
      <c r="Y383" t="s">
        <v>38</v>
      </c>
      <c r="Z383">
        <f>Superstore_Sales[[#This Row],[Sales]]*Superstore_Sales[[#This Row],[Quantity]]</f>
        <v>6345.64</v>
      </c>
      <c r="AA383" s="3">
        <f>Superstore_Sales[[#This Row],[TotalSales]]*Superstore_Sales[[#This Row],[Discount]]/100</f>
        <v>6.3456400000000004</v>
      </c>
      <c r="AB383" s="2">
        <f>Superstore_Sales[[#This Row],[TotalSales]]-Superstore_Sales[[#This Row],[Dis_amt]]-Superstore_Sales[[#This Row],[Shipping Cost]]</f>
        <v>6031.3143600000003</v>
      </c>
    </row>
    <row r="384" spans="1:28" x14ac:dyDescent="0.35">
      <c r="A384">
        <v>32706</v>
      </c>
      <c r="B384" t="s">
        <v>2080</v>
      </c>
      <c r="C384" s="1">
        <v>41908</v>
      </c>
      <c r="D384" s="1">
        <v>41913</v>
      </c>
      <c r="E384">
        <f>Superstore_Sales[[#This Row],[Ship Date]]-Superstore_Sales[[#This Row],[Order Date]]</f>
        <v>5</v>
      </c>
      <c r="F384" t="s">
        <v>98</v>
      </c>
      <c r="G384" t="s">
        <v>2058</v>
      </c>
      <c r="H384" t="s">
        <v>1297</v>
      </c>
      <c r="I384" t="s">
        <v>28</v>
      </c>
      <c r="J384">
        <v>85023</v>
      </c>
      <c r="K384" t="s">
        <v>2081</v>
      </c>
      <c r="L384" t="s">
        <v>2082</v>
      </c>
      <c r="M384" t="s">
        <v>31</v>
      </c>
      <c r="N384" t="s">
        <v>110</v>
      </c>
      <c r="O384" t="s">
        <v>33</v>
      </c>
      <c r="P384" t="s">
        <v>2083</v>
      </c>
      <c r="Q384" t="s">
        <v>50</v>
      </c>
      <c r="R384" t="s">
        <v>104</v>
      </c>
      <c r="S384" t="s">
        <v>2084</v>
      </c>
      <c r="T384">
        <v>393.17</v>
      </c>
      <c r="U384">
        <v>3</v>
      </c>
      <c r="V384">
        <v>0.5</v>
      </c>
      <c r="W384">
        <v>-204.45</v>
      </c>
      <c r="X384">
        <v>22.1</v>
      </c>
      <c r="Y384" t="s">
        <v>61</v>
      </c>
      <c r="Z384">
        <f>Superstore_Sales[[#This Row],[Sales]]*Superstore_Sales[[#This Row],[Quantity]]</f>
        <v>1179.51</v>
      </c>
      <c r="AA384" s="3">
        <f>Superstore_Sales[[#This Row],[TotalSales]]*Superstore_Sales[[#This Row],[Discount]]/100</f>
        <v>5.8975499999999998</v>
      </c>
      <c r="AB384" s="2">
        <f>Superstore_Sales[[#This Row],[TotalSales]]-Superstore_Sales[[#This Row],[Dis_amt]]-Superstore_Sales[[#This Row],[Shipping Cost]]</f>
        <v>1151.5124500000002</v>
      </c>
    </row>
    <row r="385" spans="1:28" x14ac:dyDescent="0.35">
      <c r="A385">
        <v>42472</v>
      </c>
      <c r="B385" t="s">
        <v>2085</v>
      </c>
      <c r="C385" s="1">
        <v>42045</v>
      </c>
      <c r="D385" s="1">
        <v>42049</v>
      </c>
      <c r="E385">
        <f>Superstore_Sales[[#This Row],[Ship Date]]-Superstore_Sales[[#This Row],[Order Date]]</f>
        <v>4</v>
      </c>
      <c r="F385" t="s">
        <v>98</v>
      </c>
      <c r="G385" t="s">
        <v>2086</v>
      </c>
      <c r="H385" t="s">
        <v>2087</v>
      </c>
      <c r="I385" t="s">
        <v>28</v>
      </c>
      <c r="K385" t="s">
        <v>2088</v>
      </c>
      <c r="L385" t="s">
        <v>2089</v>
      </c>
      <c r="M385" t="s">
        <v>2090</v>
      </c>
      <c r="N385" t="s">
        <v>126</v>
      </c>
      <c r="O385" t="s">
        <v>48</v>
      </c>
      <c r="P385" t="s">
        <v>1066</v>
      </c>
      <c r="Q385" t="s">
        <v>147</v>
      </c>
      <c r="R385" t="s">
        <v>148</v>
      </c>
      <c r="S385" t="s">
        <v>1067</v>
      </c>
      <c r="T385">
        <v>3425.4</v>
      </c>
      <c r="U385">
        <v>6</v>
      </c>
      <c r="V385">
        <v>0</v>
      </c>
      <c r="W385">
        <v>1233</v>
      </c>
      <c r="X385">
        <v>307.83</v>
      </c>
      <c r="Y385" t="s">
        <v>38</v>
      </c>
      <c r="Z385">
        <f>Superstore_Sales[[#This Row],[Sales]]*Superstore_Sales[[#This Row],[Quantity]]</f>
        <v>20552.400000000001</v>
      </c>
      <c r="AA385" s="3">
        <f>Superstore_Sales[[#This Row],[TotalSales]]*Superstore_Sales[[#This Row],[Discount]]/100</f>
        <v>0</v>
      </c>
      <c r="AB385" s="2">
        <f>Superstore_Sales[[#This Row],[TotalSales]]-Superstore_Sales[[#This Row],[Dis_amt]]-Superstore_Sales[[#This Row],[Shipping Cost]]</f>
        <v>20244.57</v>
      </c>
    </row>
    <row r="386" spans="1:28" x14ac:dyDescent="0.35">
      <c r="A386">
        <v>18030</v>
      </c>
      <c r="B386" t="s">
        <v>2091</v>
      </c>
      <c r="C386" s="1">
        <v>42043</v>
      </c>
      <c r="D386" s="1">
        <v>42046</v>
      </c>
      <c r="E386">
        <f>Superstore_Sales[[#This Row],[Ship Date]]-Superstore_Sales[[#This Row],[Order Date]]</f>
        <v>3</v>
      </c>
      <c r="F386" t="s">
        <v>25</v>
      </c>
      <c r="G386" t="s">
        <v>2092</v>
      </c>
      <c r="H386" t="s">
        <v>2093</v>
      </c>
      <c r="I386" t="s">
        <v>43</v>
      </c>
      <c r="K386" t="s">
        <v>1672</v>
      </c>
      <c r="L386" t="s">
        <v>1425</v>
      </c>
      <c r="M386" t="s">
        <v>463</v>
      </c>
      <c r="N386" t="s">
        <v>171</v>
      </c>
      <c r="O386" t="s">
        <v>69</v>
      </c>
      <c r="P386" t="s">
        <v>172</v>
      </c>
      <c r="Q386" t="s">
        <v>147</v>
      </c>
      <c r="R386" t="s">
        <v>148</v>
      </c>
      <c r="S386" t="s">
        <v>173</v>
      </c>
      <c r="T386">
        <v>1136.94</v>
      </c>
      <c r="U386">
        <v>2</v>
      </c>
      <c r="V386">
        <v>0</v>
      </c>
      <c r="W386">
        <v>568.44000000000005</v>
      </c>
      <c r="X386">
        <v>307.43</v>
      </c>
      <c r="Y386" t="s">
        <v>38</v>
      </c>
      <c r="Z386">
        <f>Superstore_Sales[[#This Row],[Sales]]*Superstore_Sales[[#This Row],[Quantity]]</f>
        <v>2273.88</v>
      </c>
      <c r="AA386" s="3">
        <f>Superstore_Sales[[#This Row],[TotalSales]]*Superstore_Sales[[#This Row],[Discount]]/100</f>
        <v>0</v>
      </c>
      <c r="AB386" s="2">
        <f>Superstore_Sales[[#This Row],[TotalSales]]-Superstore_Sales[[#This Row],[Dis_amt]]-Superstore_Sales[[#This Row],[Shipping Cost]]</f>
        <v>1966.45</v>
      </c>
    </row>
    <row r="387" spans="1:28" x14ac:dyDescent="0.35">
      <c r="A387">
        <v>21339</v>
      </c>
      <c r="B387" t="s">
        <v>2094</v>
      </c>
      <c r="C387" s="1">
        <v>41856</v>
      </c>
      <c r="D387" s="1">
        <v>41858</v>
      </c>
      <c r="E387">
        <f>Superstore_Sales[[#This Row],[Ship Date]]-Superstore_Sales[[#This Row],[Order Date]]</f>
        <v>2</v>
      </c>
      <c r="F387" t="s">
        <v>25</v>
      </c>
      <c r="G387" t="s">
        <v>2095</v>
      </c>
      <c r="H387" t="s">
        <v>2096</v>
      </c>
      <c r="I387" t="s">
        <v>43</v>
      </c>
      <c r="K387" t="s">
        <v>943</v>
      </c>
      <c r="L387" t="s">
        <v>943</v>
      </c>
      <c r="M387" t="s">
        <v>321</v>
      </c>
      <c r="N387" t="s">
        <v>322</v>
      </c>
      <c r="O387" t="s">
        <v>48</v>
      </c>
      <c r="P387" t="s">
        <v>2097</v>
      </c>
      <c r="Q387" t="s">
        <v>50</v>
      </c>
      <c r="R387" t="s">
        <v>336</v>
      </c>
      <c r="S387" t="s">
        <v>2098</v>
      </c>
      <c r="T387">
        <v>677.64</v>
      </c>
      <c r="U387">
        <v>2</v>
      </c>
      <c r="V387">
        <v>7.0000000000000007E-2</v>
      </c>
      <c r="W387">
        <v>211.26</v>
      </c>
      <c r="X387">
        <v>307.25</v>
      </c>
      <c r="Y387" t="s">
        <v>53</v>
      </c>
      <c r="Z387">
        <f>Superstore_Sales[[#This Row],[Sales]]*Superstore_Sales[[#This Row],[Quantity]]</f>
        <v>1355.28</v>
      </c>
      <c r="AA387" s="3">
        <f>Superstore_Sales[[#This Row],[TotalSales]]*Superstore_Sales[[#This Row],[Discount]]/100</f>
        <v>0.94869600000000009</v>
      </c>
      <c r="AB387" s="2">
        <f>Superstore_Sales[[#This Row],[TotalSales]]-Superstore_Sales[[#This Row],[Dis_amt]]-Superstore_Sales[[#This Row],[Shipping Cost]]</f>
        <v>1047.081304</v>
      </c>
    </row>
    <row r="388" spans="1:28" x14ac:dyDescent="0.35">
      <c r="A388">
        <v>45460</v>
      </c>
      <c r="B388" t="s">
        <v>2099</v>
      </c>
      <c r="C388" s="1">
        <v>42109</v>
      </c>
      <c r="D388" s="1">
        <v>42112</v>
      </c>
      <c r="E388">
        <f>Superstore_Sales[[#This Row],[Ship Date]]-Superstore_Sales[[#This Row],[Order Date]]</f>
        <v>3</v>
      </c>
      <c r="F388" t="s">
        <v>25</v>
      </c>
      <c r="G388" t="s">
        <v>2100</v>
      </c>
      <c r="H388" t="s">
        <v>1836</v>
      </c>
      <c r="I388" t="s">
        <v>65</v>
      </c>
      <c r="K388" t="s">
        <v>2101</v>
      </c>
      <c r="L388" t="s">
        <v>2102</v>
      </c>
      <c r="M388" t="s">
        <v>391</v>
      </c>
      <c r="N388" t="s">
        <v>118</v>
      </c>
      <c r="O388" t="s">
        <v>48</v>
      </c>
      <c r="P388" t="s">
        <v>1825</v>
      </c>
      <c r="Q388" t="s">
        <v>50</v>
      </c>
      <c r="R388" t="s">
        <v>336</v>
      </c>
      <c r="S388" t="s">
        <v>1826</v>
      </c>
      <c r="T388">
        <v>731.34</v>
      </c>
      <c r="U388">
        <v>2</v>
      </c>
      <c r="V388">
        <v>0</v>
      </c>
      <c r="W388">
        <v>80.400000000000006</v>
      </c>
      <c r="X388">
        <v>305.98</v>
      </c>
      <c r="Y388" t="s">
        <v>53</v>
      </c>
      <c r="Z388">
        <f>Superstore_Sales[[#This Row],[Sales]]*Superstore_Sales[[#This Row],[Quantity]]</f>
        <v>1462.68</v>
      </c>
      <c r="AA388" s="3">
        <f>Superstore_Sales[[#This Row],[TotalSales]]*Superstore_Sales[[#This Row],[Discount]]/100</f>
        <v>0</v>
      </c>
      <c r="AB388" s="2">
        <f>Superstore_Sales[[#This Row],[TotalSales]]-Superstore_Sales[[#This Row],[Dis_amt]]-Superstore_Sales[[#This Row],[Shipping Cost]]</f>
        <v>1156.7</v>
      </c>
    </row>
    <row r="389" spans="1:28" x14ac:dyDescent="0.35">
      <c r="A389">
        <v>40403</v>
      </c>
      <c r="B389" t="s">
        <v>2103</v>
      </c>
      <c r="C389" s="1">
        <v>41585</v>
      </c>
      <c r="D389" s="1">
        <v>41590</v>
      </c>
      <c r="E389">
        <f>Superstore_Sales[[#This Row],[Ship Date]]-Superstore_Sales[[#This Row],[Order Date]]</f>
        <v>5</v>
      </c>
      <c r="F389" t="s">
        <v>98</v>
      </c>
      <c r="G389" t="s">
        <v>1991</v>
      </c>
      <c r="H389" t="s">
        <v>1297</v>
      </c>
      <c r="I389" t="s">
        <v>28</v>
      </c>
      <c r="J389">
        <v>77041</v>
      </c>
      <c r="K389" t="s">
        <v>2104</v>
      </c>
      <c r="L389" t="s">
        <v>160</v>
      </c>
      <c r="M389" t="s">
        <v>31</v>
      </c>
      <c r="N389" t="s">
        <v>32</v>
      </c>
      <c r="O389" t="s">
        <v>33</v>
      </c>
      <c r="P389" t="s">
        <v>2105</v>
      </c>
      <c r="Q389" t="s">
        <v>35</v>
      </c>
      <c r="R389" t="s">
        <v>275</v>
      </c>
      <c r="S389" t="s">
        <v>2106</v>
      </c>
      <c r="T389">
        <v>287.91000000000003</v>
      </c>
      <c r="U389">
        <v>3</v>
      </c>
      <c r="V389">
        <v>0.4</v>
      </c>
      <c r="W389">
        <v>33.590000000000003</v>
      </c>
      <c r="X389">
        <v>18.309999999999999</v>
      </c>
      <c r="Y389" t="s">
        <v>61</v>
      </c>
      <c r="Z389">
        <f>Superstore_Sales[[#This Row],[Sales]]*Superstore_Sales[[#This Row],[Quantity]]</f>
        <v>863.73</v>
      </c>
      <c r="AA389" s="3">
        <f>Superstore_Sales[[#This Row],[TotalSales]]*Superstore_Sales[[#This Row],[Discount]]/100</f>
        <v>3.45492</v>
      </c>
      <c r="AB389" s="2">
        <f>Superstore_Sales[[#This Row],[TotalSales]]-Superstore_Sales[[#This Row],[Dis_amt]]-Superstore_Sales[[#This Row],[Shipping Cost]]</f>
        <v>841.96508000000006</v>
      </c>
    </row>
    <row r="390" spans="1:28" x14ac:dyDescent="0.35">
      <c r="A390">
        <v>20424</v>
      </c>
      <c r="B390" t="s">
        <v>2107</v>
      </c>
      <c r="C390" s="1">
        <v>42129</v>
      </c>
      <c r="D390" s="1">
        <v>42131</v>
      </c>
      <c r="E390">
        <f>Superstore_Sales[[#This Row],[Ship Date]]-Superstore_Sales[[#This Row],[Order Date]]</f>
        <v>2</v>
      </c>
      <c r="F390" t="s">
        <v>40</v>
      </c>
      <c r="G390" t="s">
        <v>2108</v>
      </c>
      <c r="H390" t="s">
        <v>2109</v>
      </c>
      <c r="I390" t="s">
        <v>28</v>
      </c>
      <c r="K390" t="s">
        <v>2110</v>
      </c>
      <c r="L390" t="s">
        <v>257</v>
      </c>
      <c r="M390" t="s">
        <v>258</v>
      </c>
      <c r="N390" t="s">
        <v>118</v>
      </c>
      <c r="O390" t="s">
        <v>48</v>
      </c>
      <c r="P390" t="s">
        <v>1394</v>
      </c>
      <c r="Q390" t="s">
        <v>35</v>
      </c>
      <c r="R390" t="s">
        <v>81</v>
      </c>
      <c r="S390" t="s">
        <v>1395</v>
      </c>
      <c r="T390">
        <v>1272.72</v>
      </c>
      <c r="U390">
        <v>4</v>
      </c>
      <c r="V390">
        <v>0</v>
      </c>
      <c r="W390">
        <v>534.48</v>
      </c>
      <c r="X390">
        <v>305.27</v>
      </c>
      <c r="Y390" t="s">
        <v>38</v>
      </c>
      <c r="Z390">
        <f>Superstore_Sales[[#This Row],[Sales]]*Superstore_Sales[[#This Row],[Quantity]]</f>
        <v>5090.88</v>
      </c>
      <c r="AA390" s="3">
        <f>Superstore_Sales[[#This Row],[TotalSales]]*Superstore_Sales[[#This Row],[Discount]]/100</f>
        <v>0</v>
      </c>
      <c r="AB390" s="2">
        <f>Superstore_Sales[[#This Row],[TotalSales]]-Superstore_Sales[[#This Row],[Dis_amt]]-Superstore_Sales[[#This Row],[Shipping Cost]]</f>
        <v>4785.6100000000006</v>
      </c>
    </row>
    <row r="391" spans="1:28" x14ac:dyDescent="0.35">
      <c r="A391">
        <v>14311</v>
      </c>
      <c r="B391" t="s">
        <v>2111</v>
      </c>
      <c r="C391" s="1">
        <v>41947</v>
      </c>
      <c r="D391" s="1">
        <v>41949</v>
      </c>
      <c r="E391">
        <f>Superstore_Sales[[#This Row],[Ship Date]]-Superstore_Sales[[#This Row],[Order Date]]</f>
        <v>2</v>
      </c>
      <c r="F391" t="s">
        <v>40</v>
      </c>
      <c r="G391" t="s">
        <v>2112</v>
      </c>
      <c r="H391" t="s">
        <v>2113</v>
      </c>
      <c r="I391" t="s">
        <v>28</v>
      </c>
      <c r="K391" t="s">
        <v>2114</v>
      </c>
      <c r="L391" t="s">
        <v>2115</v>
      </c>
      <c r="M391" t="s">
        <v>170</v>
      </c>
      <c r="N391" t="s">
        <v>171</v>
      </c>
      <c r="O391" t="s">
        <v>69</v>
      </c>
      <c r="P391" t="s">
        <v>1232</v>
      </c>
      <c r="Q391" t="s">
        <v>147</v>
      </c>
      <c r="R391" t="s">
        <v>148</v>
      </c>
      <c r="S391" t="s">
        <v>1233</v>
      </c>
      <c r="T391">
        <v>1856.34</v>
      </c>
      <c r="U391">
        <v>6</v>
      </c>
      <c r="V391">
        <v>0</v>
      </c>
      <c r="W391">
        <v>909.54</v>
      </c>
      <c r="X391">
        <v>305.25</v>
      </c>
      <c r="Y391" t="s">
        <v>53</v>
      </c>
      <c r="Z391">
        <f>Superstore_Sales[[#This Row],[Sales]]*Superstore_Sales[[#This Row],[Quantity]]</f>
        <v>11138.039999999999</v>
      </c>
      <c r="AA391" s="3">
        <f>Superstore_Sales[[#This Row],[TotalSales]]*Superstore_Sales[[#This Row],[Discount]]/100</f>
        <v>0</v>
      </c>
      <c r="AB391" s="2">
        <f>Superstore_Sales[[#This Row],[TotalSales]]-Superstore_Sales[[#This Row],[Dis_amt]]-Superstore_Sales[[#This Row],[Shipping Cost]]</f>
        <v>10832.789999999999</v>
      </c>
    </row>
    <row r="392" spans="1:28" x14ac:dyDescent="0.35">
      <c r="A392">
        <v>17539</v>
      </c>
      <c r="B392" t="s">
        <v>2116</v>
      </c>
      <c r="C392" s="1">
        <v>42165</v>
      </c>
      <c r="D392" s="1">
        <v>42167</v>
      </c>
      <c r="E392">
        <f>Superstore_Sales[[#This Row],[Ship Date]]-Superstore_Sales[[#This Row],[Order Date]]</f>
        <v>2</v>
      </c>
      <c r="F392" t="s">
        <v>25</v>
      </c>
      <c r="G392" t="s">
        <v>2117</v>
      </c>
      <c r="H392" t="s">
        <v>656</v>
      </c>
      <c r="I392" t="s">
        <v>43</v>
      </c>
      <c r="K392" t="s">
        <v>2118</v>
      </c>
      <c r="L392" t="s">
        <v>2119</v>
      </c>
      <c r="M392" t="s">
        <v>463</v>
      </c>
      <c r="N392" t="s">
        <v>171</v>
      </c>
      <c r="O392" t="s">
        <v>69</v>
      </c>
      <c r="P392" t="s">
        <v>295</v>
      </c>
      <c r="Q392" t="s">
        <v>35</v>
      </c>
      <c r="R392" t="s">
        <v>36</v>
      </c>
      <c r="S392" t="s">
        <v>296</v>
      </c>
      <c r="T392">
        <v>2295</v>
      </c>
      <c r="U392">
        <v>4</v>
      </c>
      <c r="V392">
        <v>0.1</v>
      </c>
      <c r="W392">
        <v>459</v>
      </c>
      <c r="X392">
        <v>305.2</v>
      </c>
      <c r="Y392" t="s">
        <v>61</v>
      </c>
      <c r="Z392">
        <f>Superstore_Sales[[#This Row],[Sales]]*Superstore_Sales[[#This Row],[Quantity]]</f>
        <v>9180</v>
      </c>
      <c r="AA392" s="3">
        <f>Superstore_Sales[[#This Row],[TotalSales]]*Superstore_Sales[[#This Row],[Discount]]/100</f>
        <v>9.18</v>
      </c>
      <c r="AB392" s="2">
        <f>Superstore_Sales[[#This Row],[TotalSales]]-Superstore_Sales[[#This Row],[Dis_amt]]-Superstore_Sales[[#This Row],[Shipping Cost]]</f>
        <v>8865.619999999999</v>
      </c>
    </row>
    <row r="393" spans="1:28" x14ac:dyDescent="0.35">
      <c r="A393">
        <v>11156</v>
      </c>
      <c r="B393" t="s">
        <v>2120</v>
      </c>
      <c r="C393" s="1">
        <v>41517</v>
      </c>
      <c r="D393" s="1">
        <v>41519</v>
      </c>
      <c r="E393">
        <f>Superstore_Sales[[#This Row],[Ship Date]]-Superstore_Sales[[#This Row],[Order Date]]</f>
        <v>2</v>
      </c>
      <c r="F393" t="s">
        <v>40</v>
      </c>
      <c r="G393" t="s">
        <v>2121</v>
      </c>
      <c r="H393" t="s">
        <v>2122</v>
      </c>
      <c r="I393" t="s">
        <v>43</v>
      </c>
      <c r="K393" t="s">
        <v>2123</v>
      </c>
      <c r="L393" t="s">
        <v>1772</v>
      </c>
      <c r="M393" t="s">
        <v>155</v>
      </c>
      <c r="N393" t="s">
        <v>68</v>
      </c>
      <c r="O393" t="s">
        <v>69</v>
      </c>
      <c r="P393" t="s">
        <v>1027</v>
      </c>
      <c r="Q393" t="s">
        <v>35</v>
      </c>
      <c r="R393" t="s">
        <v>36</v>
      </c>
      <c r="S393" t="s">
        <v>1028</v>
      </c>
      <c r="T393">
        <v>1622.18</v>
      </c>
      <c r="U393">
        <v>3</v>
      </c>
      <c r="V393">
        <v>0.15</v>
      </c>
      <c r="W393">
        <v>324.38</v>
      </c>
      <c r="X393">
        <v>305.16000000000003</v>
      </c>
      <c r="Y393" t="s">
        <v>53</v>
      </c>
      <c r="Z393">
        <f>Superstore_Sales[[#This Row],[Sales]]*Superstore_Sales[[#This Row],[Quantity]]</f>
        <v>4866.54</v>
      </c>
      <c r="AA393" s="3">
        <f>Superstore_Sales[[#This Row],[TotalSales]]*Superstore_Sales[[#This Row],[Discount]]/100</f>
        <v>7.2998099999999999</v>
      </c>
      <c r="AB393" s="2">
        <f>Superstore_Sales[[#This Row],[TotalSales]]-Superstore_Sales[[#This Row],[Dis_amt]]-Superstore_Sales[[#This Row],[Shipping Cost]]</f>
        <v>4554.0801899999997</v>
      </c>
    </row>
    <row r="394" spans="1:28" x14ac:dyDescent="0.35">
      <c r="A394">
        <v>23192</v>
      </c>
      <c r="B394" t="s">
        <v>2124</v>
      </c>
      <c r="C394" s="1">
        <v>41810</v>
      </c>
      <c r="D394" s="1">
        <v>41812</v>
      </c>
      <c r="E394">
        <f>Superstore_Sales[[#This Row],[Ship Date]]-Superstore_Sales[[#This Row],[Order Date]]</f>
        <v>2</v>
      </c>
      <c r="F394" t="s">
        <v>40</v>
      </c>
      <c r="G394" t="s">
        <v>2125</v>
      </c>
      <c r="H394" t="s">
        <v>2126</v>
      </c>
      <c r="I394" t="s">
        <v>28</v>
      </c>
      <c r="K394" t="s">
        <v>855</v>
      </c>
      <c r="L394" t="s">
        <v>856</v>
      </c>
      <c r="M394" t="s">
        <v>144</v>
      </c>
      <c r="N394" t="s">
        <v>145</v>
      </c>
      <c r="O394" t="s">
        <v>48</v>
      </c>
      <c r="P394" t="s">
        <v>2127</v>
      </c>
      <c r="Q394" t="s">
        <v>35</v>
      </c>
      <c r="R394" t="s">
        <v>36</v>
      </c>
      <c r="S394" t="s">
        <v>2128</v>
      </c>
      <c r="T394">
        <v>1063.44</v>
      </c>
      <c r="U394">
        <v>7</v>
      </c>
      <c r="V394">
        <v>0</v>
      </c>
      <c r="W394">
        <v>361.41</v>
      </c>
      <c r="X394">
        <v>304.95</v>
      </c>
      <c r="Y394" t="s">
        <v>53</v>
      </c>
      <c r="Z394">
        <f>Superstore_Sales[[#This Row],[Sales]]*Superstore_Sales[[#This Row],[Quantity]]</f>
        <v>7444.08</v>
      </c>
      <c r="AA394" s="3">
        <f>Superstore_Sales[[#This Row],[TotalSales]]*Superstore_Sales[[#This Row],[Discount]]/100</f>
        <v>0</v>
      </c>
      <c r="AB394" s="2">
        <f>Superstore_Sales[[#This Row],[TotalSales]]-Superstore_Sales[[#This Row],[Dis_amt]]-Superstore_Sales[[#This Row],[Shipping Cost]]</f>
        <v>7139.13</v>
      </c>
    </row>
    <row r="395" spans="1:28" x14ac:dyDescent="0.35">
      <c r="A395">
        <v>41919</v>
      </c>
      <c r="B395" t="s">
        <v>2129</v>
      </c>
      <c r="C395" s="1">
        <v>42239</v>
      </c>
      <c r="D395" s="1">
        <v>42244</v>
      </c>
      <c r="E395">
        <f>Superstore_Sales[[#This Row],[Ship Date]]-Superstore_Sales[[#This Row],[Order Date]]</f>
        <v>5</v>
      </c>
      <c r="F395" t="s">
        <v>98</v>
      </c>
      <c r="G395" t="s">
        <v>2130</v>
      </c>
      <c r="H395" t="s">
        <v>2131</v>
      </c>
      <c r="I395" t="s">
        <v>43</v>
      </c>
      <c r="K395" t="s">
        <v>2132</v>
      </c>
      <c r="L395" t="s">
        <v>2132</v>
      </c>
      <c r="M395" t="s">
        <v>1612</v>
      </c>
      <c r="N395" t="s">
        <v>195</v>
      </c>
      <c r="O395" t="s">
        <v>69</v>
      </c>
      <c r="P395" t="s">
        <v>2133</v>
      </c>
      <c r="Q395" t="s">
        <v>35</v>
      </c>
      <c r="R395" t="s">
        <v>304</v>
      </c>
      <c r="S395" t="s">
        <v>2134</v>
      </c>
      <c r="T395">
        <v>3449.88</v>
      </c>
      <c r="U395">
        <v>14</v>
      </c>
      <c r="V395">
        <v>0</v>
      </c>
      <c r="W395">
        <v>275.94</v>
      </c>
      <c r="X395">
        <v>304.75</v>
      </c>
      <c r="Y395" t="s">
        <v>61</v>
      </c>
      <c r="Z395">
        <f>Superstore_Sales[[#This Row],[Sales]]*Superstore_Sales[[#This Row],[Quantity]]</f>
        <v>48298.32</v>
      </c>
      <c r="AA395" s="3">
        <f>Superstore_Sales[[#This Row],[TotalSales]]*Superstore_Sales[[#This Row],[Discount]]/100</f>
        <v>0</v>
      </c>
      <c r="AB395" s="2">
        <f>Superstore_Sales[[#This Row],[TotalSales]]-Superstore_Sales[[#This Row],[Dis_amt]]-Superstore_Sales[[#This Row],[Shipping Cost]]</f>
        <v>47993.57</v>
      </c>
    </row>
    <row r="396" spans="1:28" x14ac:dyDescent="0.35">
      <c r="A396">
        <v>3700</v>
      </c>
      <c r="B396" t="s">
        <v>2135</v>
      </c>
      <c r="C396" s="1">
        <v>41422</v>
      </c>
      <c r="D396" s="1">
        <v>41423</v>
      </c>
      <c r="E396">
        <f>Superstore_Sales[[#This Row],[Ship Date]]-Superstore_Sales[[#This Row],[Order Date]]</f>
        <v>1</v>
      </c>
      <c r="F396" t="s">
        <v>25</v>
      </c>
      <c r="G396" t="s">
        <v>2136</v>
      </c>
      <c r="H396" t="s">
        <v>2137</v>
      </c>
      <c r="I396" t="s">
        <v>65</v>
      </c>
      <c r="K396" t="s">
        <v>1494</v>
      </c>
      <c r="L396" t="s">
        <v>1389</v>
      </c>
      <c r="M396" t="s">
        <v>219</v>
      </c>
      <c r="N396" t="s">
        <v>220</v>
      </c>
      <c r="O396" t="s">
        <v>136</v>
      </c>
      <c r="P396" t="s">
        <v>2138</v>
      </c>
      <c r="Q396" t="s">
        <v>50</v>
      </c>
      <c r="R396" t="s">
        <v>336</v>
      </c>
      <c r="S396" t="s">
        <v>2139</v>
      </c>
      <c r="T396">
        <v>585.46</v>
      </c>
      <c r="U396">
        <v>3</v>
      </c>
      <c r="V396">
        <v>0.2</v>
      </c>
      <c r="W396">
        <v>-0.02</v>
      </c>
      <c r="X396">
        <v>304.52999999999997</v>
      </c>
      <c r="Y396" t="s">
        <v>53</v>
      </c>
      <c r="Z396">
        <f>Superstore_Sales[[#This Row],[Sales]]*Superstore_Sales[[#This Row],[Quantity]]</f>
        <v>1756.38</v>
      </c>
      <c r="AA396" s="3">
        <f>Superstore_Sales[[#This Row],[TotalSales]]*Superstore_Sales[[#This Row],[Discount]]/100</f>
        <v>3.5127600000000005</v>
      </c>
      <c r="AB396" s="2">
        <f>Superstore_Sales[[#This Row],[TotalSales]]-Superstore_Sales[[#This Row],[Dis_amt]]-Superstore_Sales[[#This Row],[Shipping Cost]]</f>
        <v>1448.3372400000001</v>
      </c>
    </row>
    <row r="397" spans="1:28" x14ac:dyDescent="0.35">
      <c r="A397">
        <v>44276</v>
      </c>
      <c r="B397" t="s">
        <v>2140</v>
      </c>
      <c r="C397" s="1">
        <v>42143</v>
      </c>
      <c r="D397" s="1">
        <v>42145</v>
      </c>
      <c r="E397">
        <f>Superstore_Sales[[#This Row],[Ship Date]]-Superstore_Sales[[#This Row],[Order Date]]</f>
        <v>2</v>
      </c>
      <c r="F397" t="s">
        <v>40</v>
      </c>
      <c r="G397" t="s">
        <v>2141</v>
      </c>
      <c r="H397" t="s">
        <v>1015</v>
      </c>
      <c r="I397" t="s">
        <v>28</v>
      </c>
      <c r="K397" t="s">
        <v>2142</v>
      </c>
      <c r="L397" t="s">
        <v>2143</v>
      </c>
      <c r="M397" t="s">
        <v>2144</v>
      </c>
      <c r="N397" t="s">
        <v>78</v>
      </c>
      <c r="O397" t="s">
        <v>79</v>
      </c>
      <c r="P397" t="s">
        <v>2145</v>
      </c>
      <c r="Q397" t="s">
        <v>35</v>
      </c>
      <c r="R397" t="s">
        <v>81</v>
      </c>
      <c r="S397" t="s">
        <v>2146</v>
      </c>
      <c r="T397">
        <v>1429.44</v>
      </c>
      <c r="U397">
        <v>4</v>
      </c>
      <c r="V397">
        <v>0</v>
      </c>
      <c r="W397">
        <v>471.6</v>
      </c>
      <c r="X397">
        <v>304.5</v>
      </c>
      <c r="Y397" t="s">
        <v>53</v>
      </c>
      <c r="Z397">
        <f>Superstore_Sales[[#This Row],[Sales]]*Superstore_Sales[[#This Row],[Quantity]]</f>
        <v>5717.76</v>
      </c>
      <c r="AA397" s="3">
        <f>Superstore_Sales[[#This Row],[TotalSales]]*Superstore_Sales[[#This Row],[Discount]]/100</f>
        <v>0</v>
      </c>
      <c r="AB397" s="2">
        <f>Superstore_Sales[[#This Row],[TotalSales]]-Superstore_Sales[[#This Row],[Dis_amt]]-Superstore_Sales[[#This Row],[Shipping Cost]]</f>
        <v>5413.26</v>
      </c>
    </row>
    <row r="398" spans="1:28" x14ac:dyDescent="0.35">
      <c r="A398">
        <v>43590</v>
      </c>
      <c r="B398" t="s">
        <v>2147</v>
      </c>
      <c r="C398" s="1">
        <v>41758</v>
      </c>
      <c r="D398" s="1">
        <v>41759</v>
      </c>
      <c r="E398">
        <f>Superstore_Sales[[#This Row],[Ship Date]]-Superstore_Sales[[#This Row],[Order Date]]</f>
        <v>1</v>
      </c>
      <c r="F398" t="s">
        <v>25</v>
      </c>
      <c r="G398" t="s">
        <v>2148</v>
      </c>
      <c r="H398" t="s">
        <v>2149</v>
      </c>
      <c r="I398" t="s">
        <v>43</v>
      </c>
      <c r="K398" t="s">
        <v>1097</v>
      </c>
      <c r="L398" t="s">
        <v>1098</v>
      </c>
      <c r="M398" t="s">
        <v>1099</v>
      </c>
      <c r="N398" t="s">
        <v>1100</v>
      </c>
      <c r="O398" t="s">
        <v>79</v>
      </c>
      <c r="P398" t="s">
        <v>2150</v>
      </c>
      <c r="Q398" t="s">
        <v>50</v>
      </c>
      <c r="R398" t="s">
        <v>104</v>
      </c>
      <c r="S398" t="s">
        <v>2151</v>
      </c>
      <c r="T398">
        <v>1057.8</v>
      </c>
      <c r="U398">
        <v>2</v>
      </c>
      <c r="V398">
        <v>0</v>
      </c>
      <c r="W398">
        <v>158.63999999999999</v>
      </c>
      <c r="X398">
        <v>304.36</v>
      </c>
      <c r="Y398" t="s">
        <v>53</v>
      </c>
      <c r="Z398">
        <f>Superstore_Sales[[#This Row],[Sales]]*Superstore_Sales[[#This Row],[Quantity]]</f>
        <v>2115.6</v>
      </c>
      <c r="AA398" s="3">
        <f>Superstore_Sales[[#This Row],[TotalSales]]*Superstore_Sales[[#This Row],[Discount]]/100</f>
        <v>0</v>
      </c>
      <c r="AB398" s="2">
        <f>Superstore_Sales[[#This Row],[TotalSales]]-Superstore_Sales[[#This Row],[Dis_amt]]-Superstore_Sales[[#This Row],[Shipping Cost]]</f>
        <v>1811.2399999999998</v>
      </c>
    </row>
    <row r="399" spans="1:28" x14ac:dyDescent="0.35">
      <c r="A399">
        <v>5306</v>
      </c>
      <c r="B399" t="s">
        <v>2152</v>
      </c>
      <c r="C399" s="1">
        <v>42289</v>
      </c>
      <c r="D399" s="1">
        <v>42292</v>
      </c>
      <c r="E399">
        <f>Superstore_Sales[[#This Row],[Ship Date]]-Superstore_Sales[[#This Row],[Order Date]]</f>
        <v>3</v>
      </c>
      <c r="F399" t="s">
        <v>25</v>
      </c>
      <c r="G399" t="s">
        <v>2153</v>
      </c>
      <c r="H399" t="s">
        <v>2154</v>
      </c>
      <c r="I399" t="s">
        <v>28</v>
      </c>
      <c r="K399" t="s">
        <v>2155</v>
      </c>
      <c r="L399" t="s">
        <v>2155</v>
      </c>
      <c r="M399" t="s">
        <v>1440</v>
      </c>
      <c r="N399" t="s">
        <v>266</v>
      </c>
      <c r="O399" t="s">
        <v>136</v>
      </c>
      <c r="P399" t="s">
        <v>2156</v>
      </c>
      <c r="Q399" t="s">
        <v>50</v>
      </c>
      <c r="R399" t="s">
        <v>104</v>
      </c>
      <c r="S399" t="s">
        <v>2157</v>
      </c>
      <c r="T399">
        <v>1483</v>
      </c>
      <c r="U399">
        <v>5</v>
      </c>
      <c r="V399">
        <v>0</v>
      </c>
      <c r="W399">
        <v>741.5</v>
      </c>
      <c r="X399">
        <v>303.649</v>
      </c>
      <c r="Y399" t="s">
        <v>38</v>
      </c>
      <c r="Z399">
        <f>Superstore_Sales[[#This Row],[Sales]]*Superstore_Sales[[#This Row],[Quantity]]</f>
        <v>7415</v>
      </c>
      <c r="AA399" s="3">
        <f>Superstore_Sales[[#This Row],[TotalSales]]*Superstore_Sales[[#This Row],[Discount]]/100</f>
        <v>0</v>
      </c>
      <c r="AB399" s="2">
        <f>Superstore_Sales[[#This Row],[TotalSales]]-Superstore_Sales[[#This Row],[Dis_amt]]-Superstore_Sales[[#This Row],[Shipping Cost]]</f>
        <v>7111.3509999999997</v>
      </c>
    </row>
    <row r="400" spans="1:28" x14ac:dyDescent="0.35">
      <c r="A400">
        <v>764</v>
      </c>
      <c r="B400" t="s">
        <v>2158</v>
      </c>
      <c r="C400" s="1">
        <v>42109</v>
      </c>
      <c r="D400" s="1">
        <v>42111</v>
      </c>
      <c r="E400">
        <f>Superstore_Sales[[#This Row],[Ship Date]]-Superstore_Sales[[#This Row],[Order Date]]</f>
        <v>2</v>
      </c>
      <c r="F400" t="s">
        <v>25</v>
      </c>
      <c r="G400" t="s">
        <v>2159</v>
      </c>
      <c r="H400" t="s">
        <v>2160</v>
      </c>
      <c r="I400" t="s">
        <v>65</v>
      </c>
      <c r="K400" t="s">
        <v>2161</v>
      </c>
      <c r="L400" t="s">
        <v>2162</v>
      </c>
      <c r="M400" t="s">
        <v>679</v>
      </c>
      <c r="N400" t="s">
        <v>135</v>
      </c>
      <c r="O400" t="s">
        <v>136</v>
      </c>
      <c r="P400" t="s">
        <v>1914</v>
      </c>
      <c r="Q400" t="s">
        <v>147</v>
      </c>
      <c r="R400" t="s">
        <v>148</v>
      </c>
      <c r="S400" t="s">
        <v>1915</v>
      </c>
      <c r="T400">
        <v>1792.4</v>
      </c>
      <c r="U400">
        <v>5</v>
      </c>
      <c r="V400">
        <v>0</v>
      </c>
      <c r="W400">
        <v>304.7</v>
      </c>
      <c r="X400">
        <v>303.63099999999997</v>
      </c>
      <c r="Y400" t="s">
        <v>53</v>
      </c>
      <c r="Z400">
        <f>Superstore_Sales[[#This Row],[Sales]]*Superstore_Sales[[#This Row],[Quantity]]</f>
        <v>8962</v>
      </c>
      <c r="AA400" s="3">
        <f>Superstore_Sales[[#This Row],[TotalSales]]*Superstore_Sales[[#This Row],[Discount]]/100</f>
        <v>0</v>
      </c>
      <c r="AB400" s="2">
        <f>Superstore_Sales[[#This Row],[TotalSales]]-Superstore_Sales[[#This Row],[Dis_amt]]-Superstore_Sales[[#This Row],[Shipping Cost]]</f>
        <v>8658.3690000000006</v>
      </c>
    </row>
    <row r="401" spans="1:28" x14ac:dyDescent="0.35">
      <c r="A401">
        <v>14821</v>
      </c>
      <c r="B401" t="s">
        <v>2163</v>
      </c>
      <c r="C401" s="1">
        <v>42336</v>
      </c>
      <c r="D401" s="1">
        <v>42341</v>
      </c>
      <c r="E401">
        <f>Superstore_Sales[[#This Row],[Ship Date]]-Superstore_Sales[[#This Row],[Order Date]]</f>
        <v>5</v>
      </c>
      <c r="F401" t="s">
        <v>98</v>
      </c>
      <c r="G401" t="s">
        <v>2164</v>
      </c>
      <c r="H401" t="s">
        <v>2165</v>
      </c>
      <c r="I401" t="s">
        <v>43</v>
      </c>
      <c r="K401" t="s">
        <v>2166</v>
      </c>
      <c r="L401" t="s">
        <v>662</v>
      </c>
      <c r="M401" t="s">
        <v>67</v>
      </c>
      <c r="N401" t="s">
        <v>68</v>
      </c>
      <c r="O401" t="s">
        <v>69</v>
      </c>
      <c r="P401" t="s">
        <v>2167</v>
      </c>
      <c r="Q401" t="s">
        <v>50</v>
      </c>
      <c r="R401" t="s">
        <v>336</v>
      </c>
      <c r="S401" t="s">
        <v>2168</v>
      </c>
      <c r="T401">
        <v>2455.6799999999998</v>
      </c>
      <c r="U401">
        <v>7</v>
      </c>
      <c r="V401">
        <v>0.1</v>
      </c>
      <c r="W401">
        <v>-191.16</v>
      </c>
      <c r="X401">
        <v>303.58999999999997</v>
      </c>
      <c r="Y401" t="s">
        <v>38</v>
      </c>
      <c r="Z401">
        <f>Superstore_Sales[[#This Row],[Sales]]*Superstore_Sales[[#This Row],[Quantity]]</f>
        <v>17189.759999999998</v>
      </c>
      <c r="AA401" s="3">
        <f>Superstore_Sales[[#This Row],[TotalSales]]*Superstore_Sales[[#This Row],[Discount]]/100</f>
        <v>17.18976</v>
      </c>
      <c r="AB401" s="2">
        <f>Superstore_Sales[[#This Row],[TotalSales]]-Superstore_Sales[[#This Row],[Dis_amt]]-Superstore_Sales[[#This Row],[Shipping Cost]]</f>
        <v>16868.980239999997</v>
      </c>
    </row>
    <row r="402" spans="1:28" x14ac:dyDescent="0.35">
      <c r="A402">
        <v>44182</v>
      </c>
      <c r="B402" t="s">
        <v>2169</v>
      </c>
      <c r="C402" s="1">
        <v>41405</v>
      </c>
      <c r="D402" s="1">
        <v>41407</v>
      </c>
      <c r="E402">
        <f>Superstore_Sales[[#This Row],[Ship Date]]-Superstore_Sales[[#This Row],[Order Date]]</f>
        <v>2</v>
      </c>
      <c r="F402" t="s">
        <v>40</v>
      </c>
      <c r="G402" t="s">
        <v>2170</v>
      </c>
      <c r="H402" t="s">
        <v>402</v>
      </c>
      <c r="I402" t="s">
        <v>28</v>
      </c>
      <c r="K402" t="s">
        <v>2171</v>
      </c>
      <c r="L402" t="s">
        <v>2171</v>
      </c>
      <c r="M402" t="s">
        <v>1282</v>
      </c>
      <c r="N402" t="s">
        <v>126</v>
      </c>
      <c r="O402" t="s">
        <v>48</v>
      </c>
      <c r="P402" t="s">
        <v>178</v>
      </c>
      <c r="Q402" t="s">
        <v>35</v>
      </c>
      <c r="R402" t="s">
        <v>81</v>
      </c>
      <c r="S402" t="s">
        <v>179</v>
      </c>
      <c r="T402">
        <v>1900.44</v>
      </c>
      <c r="U402">
        <v>6</v>
      </c>
      <c r="V402">
        <v>0</v>
      </c>
      <c r="W402">
        <v>417.96</v>
      </c>
      <c r="X402">
        <v>303.45</v>
      </c>
      <c r="Y402" t="s">
        <v>38</v>
      </c>
      <c r="Z402">
        <f>Superstore_Sales[[#This Row],[Sales]]*Superstore_Sales[[#This Row],[Quantity]]</f>
        <v>11402.64</v>
      </c>
      <c r="AA402" s="3">
        <f>Superstore_Sales[[#This Row],[TotalSales]]*Superstore_Sales[[#This Row],[Discount]]/100</f>
        <v>0</v>
      </c>
      <c r="AB402" s="2">
        <f>Superstore_Sales[[#This Row],[TotalSales]]-Superstore_Sales[[#This Row],[Dis_amt]]-Superstore_Sales[[#This Row],[Shipping Cost]]</f>
        <v>11099.189999999999</v>
      </c>
    </row>
    <row r="403" spans="1:28" x14ac:dyDescent="0.35">
      <c r="A403">
        <v>23368</v>
      </c>
      <c r="B403" t="s">
        <v>2172</v>
      </c>
      <c r="C403" s="1">
        <v>41808</v>
      </c>
      <c r="D403" s="1">
        <v>41814</v>
      </c>
      <c r="E403">
        <f>Superstore_Sales[[#This Row],[Ship Date]]-Superstore_Sales[[#This Row],[Order Date]]</f>
        <v>6</v>
      </c>
      <c r="F403" t="s">
        <v>98</v>
      </c>
      <c r="G403" t="s">
        <v>2173</v>
      </c>
      <c r="H403" t="s">
        <v>2174</v>
      </c>
      <c r="I403" t="s">
        <v>28</v>
      </c>
      <c r="K403" t="s">
        <v>801</v>
      </c>
      <c r="L403" t="s">
        <v>801</v>
      </c>
      <c r="M403" t="s">
        <v>802</v>
      </c>
      <c r="N403" t="s">
        <v>322</v>
      </c>
      <c r="O403" t="s">
        <v>48</v>
      </c>
      <c r="P403" t="s">
        <v>438</v>
      </c>
      <c r="Q403" t="s">
        <v>35</v>
      </c>
      <c r="R403" t="s">
        <v>36</v>
      </c>
      <c r="S403" t="s">
        <v>439</v>
      </c>
      <c r="T403">
        <v>3712.59</v>
      </c>
      <c r="U403">
        <v>7</v>
      </c>
      <c r="V403">
        <v>0.17</v>
      </c>
      <c r="W403">
        <v>849.87</v>
      </c>
      <c r="X403">
        <v>302.99</v>
      </c>
      <c r="Y403" t="s">
        <v>61</v>
      </c>
      <c r="Z403">
        <f>Superstore_Sales[[#This Row],[Sales]]*Superstore_Sales[[#This Row],[Quantity]]</f>
        <v>25988.13</v>
      </c>
      <c r="AA403" s="3">
        <f>Superstore_Sales[[#This Row],[TotalSales]]*Superstore_Sales[[#This Row],[Discount]]/100</f>
        <v>44.179821000000004</v>
      </c>
      <c r="AB403" s="2">
        <f>Superstore_Sales[[#This Row],[TotalSales]]-Superstore_Sales[[#This Row],[Dis_amt]]-Superstore_Sales[[#This Row],[Shipping Cost]]</f>
        <v>25640.960178999998</v>
      </c>
    </row>
    <row r="404" spans="1:28" x14ac:dyDescent="0.35">
      <c r="A404">
        <v>23419</v>
      </c>
      <c r="B404" t="s">
        <v>2175</v>
      </c>
      <c r="C404" s="1">
        <v>41398</v>
      </c>
      <c r="D404" s="1">
        <v>41400</v>
      </c>
      <c r="E404">
        <f>Superstore_Sales[[#This Row],[Ship Date]]-Superstore_Sales[[#This Row],[Order Date]]</f>
        <v>2</v>
      </c>
      <c r="F404" t="s">
        <v>40</v>
      </c>
      <c r="G404" t="s">
        <v>2176</v>
      </c>
      <c r="H404" t="s">
        <v>603</v>
      </c>
      <c r="I404" t="s">
        <v>65</v>
      </c>
      <c r="K404" t="s">
        <v>2177</v>
      </c>
      <c r="L404" t="s">
        <v>2009</v>
      </c>
      <c r="M404" t="s">
        <v>258</v>
      </c>
      <c r="N404" t="s">
        <v>118</v>
      </c>
      <c r="O404" t="s">
        <v>48</v>
      </c>
      <c r="P404" t="s">
        <v>392</v>
      </c>
      <c r="Q404" t="s">
        <v>35</v>
      </c>
      <c r="R404" t="s">
        <v>81</v>
      </c>
      <c r="S404" t="s">
        <v>393</v>
      </c>
      <c r="T404">
        <v>2372.2199999999998</v>
      </c>
      <c r="U404">
        <v>9</v>
      </c>
      <c r="V404">
        <v>0</v>
      </c>
      <c r="W404">
        <v>0</v>
      </c>
      <c r="X404">
        <v>302.82</v>
      </c>
      <c r="Y404" t="s">
        <v>38</v>
      </c>
      <c r="Z404">
        <f>Superstore_Sales[[#This Row],[Sales]]*Superstore_Sales[[#This Row],[Quantity]]</f>
        <v>21349.98</v>
      </c>
      <c r="AA404" s="3">
        <f>Superstore_Sales[[#This Row],[TotalSales]]*Superstore_Sales[[#This Row],[Discount]]/100</f>
        <v>0</v>
      </c>
      <c r="AB404" s="2">
        <f>Superstore_Sales[[#This Row],[TotalSales]]-Superstore_Sales[[#This Row],[Dis_amt]]-Superstore_Sales[[#This Row],[Shipping Cost]]</f>
        <v>21047.16</v>
      </c>
    </row>
    <row r="405" spans="1:28" x14ac:dyDescent="0.35">
      <c r="A405">
        <v>27407</v>
      </c>
      <c r="B405" t="s">
        <v>2178</v>
      </c>
      <c r="C405" s="1">
        <v>41223</v>
      </c>
      <c r="D405" s="1">
        <v>41227</v>
      </c>
      <c r="E405">
        <f>Superstore_Sales[[#This Row],[Ship Date]]-Superstore_Sales[[#This Row],[Order Date]]</f>
        <v>4</v>
      </c>
      <c r="F405" t="s">
        <v>98</v>
      </c>
      <c r="G405" t="s">
        <v>2179</v>
      </c>
      <c r="H405" t="s">
        <v>2180</v>
      </c>
      <c r="I405" t="s">
        <v>65</v>
      </c>
      <c r="K405" t="s">
        <v>201</v>
      </c>
      <c r="L405" t="s">
        <v>2181</v>
      </c>
      <c r="M405" t="s">
        <v>144</v>
      </c>
      <c r="N405" t="s">
        <v>145</v>
      </c>
      <c r="O405" t="s">
        <v>48</v>
      </c>
      <c r="P405" t="s">
        <v>1027</v>
      </c>
      <c r="Q405" t="s">
        <v>35</v>
      </c>
      <c r="R405" t="s">
        <v>36</v>
      </c>
      <c r="S405" t="s">
        <v>1028</v>
      </c>
      <c r="T405">
        <v>5725.35</v>
      </c>
      <c r="U405">
        <v>9</v>
      </c>
      <c r="V405">
        <v>0</v>
      </c>
      <c r="W405">
        <v>1602.99</v>
      </c>
      <c r="X405">
        <v>302.61</v>
      </c>
      <c r="Y405" t="s">
        <v>61</v>
      </c>
      <c r="Z405">
        <f>Superstore_Sales[[#This Row],[Sales]]*Superstore_Sales[[#This Row],[Quantity]]</f>
        <v>51528.15</v>
      </c>
      <c r="AA405" s="3">
        <f>Superstore_Sales[[#This Row],[TotalSales]]*Superstore_Sales[[#This Row],[Discount]]/100</f>
        <v>0</v>
      </c>
      <c r="AB405" s="2">
        <f>Superstore_Sales[[#This Row],[TotalSales]]-Superstore_Sales[[#This Row],[Dis_amt]]-Superstore_Sales[[#This Row],[Shipping Cost]]</f>
        <v>51225.54</v>
      </c>
    </row>
    <row r="406" spans="1:28" x14ac:dyDescent="0.35">
      <c r="A406">
        <v>17215</v>
      </c>
      <c r="B406" t="s">
        <v>2182</v>
      </c>
      <c r="C406" s="1">
        <v>42362</v>
      </c>
      <c r="D406" s="1">
        <v>42362</v>
      </c>
      <c r="E406">
        <f>Superstore_Sales[[#This Row],[Ship Date]]-Superstore_Sales[[#This Row],[Order Date]]</f>
        <v>0</v>
      </c>
      <c r="F406" t="s">
        <v>73</v>
      </c>
      <c r="G406" t="s">
        <v>2183</v>
      </c>
      <c r="H406" t="s">
        <v>2184</v>
      </c>
      <c r="I406" t="s">
        <v>28</v>
      </c>
      <c r="K406" t="s">
        <v>2185</v>
      </c>
      <c r="L406" t="s">
        <v>2186</v>
      </c>
      <c r="M406" t="s">
        <v>170</v>
      </c>
      <c r="N406" t="s">
        <v>171</v>
      </c>
      <c r="O406" t="s">
        <v>69</v>
      </c>
      <c r="P406" t="s">
        <v>1166</v>
      </c>
      <c r="Q406" t="s">
        <v>50</v>
      </c>
      <c r="R406" t="s">
        <v>336</v>
      </c>
      <c r="S406" t="s">
        <v>1167</v>
      </c>
      <c r="T406">
        <v>2553.1799999999998</v>
      </c>
      <c r="U406">
        <v>7</v>
      </c>
      <c r="V406">
        <v>0</v>
      </c>
      <c r="W406">
        <v>842.52</v>
      </c>
      <c r="X406">
        <v>302.55</v>
      </c>
      <c r="Y406" t="s">
        <v>61</v>
      </c>
      <c r="Z406">
        <f>Superstore_Sales[[#This Row],[Sales]]*Superstore_Sales[[#This Row],[Quantity]]</f>
        <v>17872.259999999998</v>
      </c>
      <c r="AA406" s="3">
        <f>Superstore_Sales[[#This Row],[TotalSales]]*Superstore_Sales[[#This Row],[Discount]]/100</f>
        <v>0</v>
      </c>
      <c r="AB406" s="2">
        <f>Superstore_Sales[[#This Row],[TotalSales]]-Superstore_Sales[[#This Row],[Dis_amt]]-Superstore_Sales[[#This Row],[Shipping Cost]]</f>
        <v>17569.71</v>
      </c>
    </row>
    <row r="407" spans="1:28" x14ac:dyDescent="0.35">
      <c r="A407">
        <v>4570</v>
      </c>
      <c r="B407" t="s">
        <v>2187</v>
      </c>
      <c r="C407" s="1">
        <v>42139</v>
      </c>
      <c r="D407" s="1">
        <v>42143</v>
      </c>
      <c r="E407">
        <f>Superstore_Sales[[#This Row],[Ship Date]]-Superstore_Sales[[#This Row],[Order Date]]</f>
        <v>4</v>
      </c>
      <c r="F407" t="s">
        <v>98</v>
      </c>
      <c r="G407" t="s">
        <v>2188</v>
      </c>
      <c r="H407" t="s">
        <v>1046</v>
      </c>
      <c r="I407" t="s">
        <v>43</v>
      </c>
      <c r="K407" t="s">
        <v>2189</v>
      </c>
      <c r="L407" t="s">
        <v>1389</v>
      </c>
      <c r="M407" t="s">
        <v>219</v>
      </c>
      <c r="N407" t="s">
        <v>220</v>
      </c>
      <c r="O407" t="s">
        <v>136</v>
      </c>
      <c r="P407" t="s">
        <v>635</v>
      </c>
      <c r="Q407" t="s">
        <v>147</v>
      </c>
      <c r="R407" t="s">
        <v>148</v>
      </c>
      <c r="S407" t="s">
        <v>636</v>
      </c>
      <c r="T407">
        <v>2003.52</v>
      </c>
      <c r="U407">
        <v>6</v>
      </c>
      <c r="V407">
        <v>0</v>
      </c>
      <c r="W407">
        <v>861.48</v>
      </c>
      <c r="X407">
        <v>302.47699999999998</v>
      </c>
      <c r="Y407" t="s">
        <v>38</v>
      </c>
      <c r="Z407">
        <f>Superstore_Sales[[#This Row],[Sales]]*Superstore_Sales[[#This Row],[Quantity]]</f>
        <v>12021.119999999999</v>
      </c>
      <c r="AA407" s="3">
        <f>Superstore_Sales[[#This Row],[TotalSales]]*Superstore_Sales[[#This Row],[Discount]]/100</f>
        <v>0</v>
      </c>
      <c r="AB407" s="2">
        <f>Superstore_Sales[[#This Row],[TotalSales]]-Superstore_Sales[[#This Row],[Dis_amt]]-Superstore_Sales[[#This Row],[Shipping Cost]]</f>
        <v>11718.642999999998</v>
      </c>
    </row>
    <row r="408" spans="1:28" x14ac:dyDescent="0.35">
      <c r="A408">
        <v>46523</v>
      </c>
      <c r="B408" t="s">
        <v>2190</v>
      </c>
      <c r="C408" s="1">
        <v>42347</v>
      </c>
      <c r="D408" s="1">
        <v>42350</v>
      </c>
      <c r="E408">
        <f>Superstore_Sales[[#This Row],[Ship Date]]-Superstore_Sales[[#This Row],[Order Date]]</f>
        <v>3</v>
      </c>
      <c r="F408" t="s">
        <v>25</v>
      </c>
      <c r="G408" t="s">
        <v>2191</v>
      </c>
      <c r="H408" t="s">
        <v>2192</v>
      </c>
      <c r="I408" t="s">
        <v>28</v>
      </c>
      <c r="K408" t="s">
        <v>2193</v>
      </c>
      <c r="L408" t="s">
        <v>2193</v>
      </c>
      <c r="M408" t="s">
        <v>194</v>
      </c>
      <c r="N408" t="s">
        <v>195</v>
      </c>
      <c r="O408" t="s">
        <v>69</v>
      </c>
      <c r="P408" t="s">
        <v>2194</v>
      </c>
      <c r="Q408" t="s">
        <v>35</v>
      </c>
      <c r="R408" t="s">
        <v>81</v>
      </c>
      <c r="S408" t="s">
        <v>2195</v>
      </c>
      <c r="T408">
        <v>1188.3599999999999</v>
      </c>
      <c r="U408">
        <v>4</v>
      </c>
      <c r="V408">
        <v>0</v>
      </c>
      <c r="W408">
        <v>95.04</v>
      </c>
      <c r="X408">
        <v>302.14</v>
      </c>
      <c r="Y408" t="s">
        <v>38</v>
      </c>
      <c r="Z408">
        <f>Superstore_Sales[[#This Row],[Sales]]*Superstore_Sales[[#This Row],[Quantity]]</f>
        <v>4753.4399999999996</v>
      </c>
      <c r="AA408" s="3">
        <f>Superstore_Sales[[#This Row],[TotalSales]]*Superstore_Sales[[#This Row],[Discount]]/100</f>
        <v>0</v>
      </c>
      <c r="AB408" s="2">
        <f>Superstore_Sales[[#This Row],[TotalSales]]-Superstore_Sales[[#This Row],[Dis_amt]]-Superstore_Sales[[#This Row],[Shipping Cost]]</f>
        <v>4451.2999999999993</v>
      </c>
    </row>
    <row r="409" spans="1:28" x14ac:dyDescent="0.35">
      <c r="A409">
        <v>29496</v>
      </c>
      <c r="B409" t="s">
        <v>2196</v>
      </c>
      <c r="C409" s="1">
        <v>41249</v>
      </c>
      <c r="D409" s="1">
        <v>41253</v>
      </c>
      <c r="E409">
        <f>Superstore_Sales[[#This Row],[Ship Date]]-Superstore_Sales[[#This Row],[Order Date]]</f>
        <v>4</v>
      </c>
      <c r="F409" t="s">
        <v>98</v>
      </c>
      <c r="G409" t="s">
        <v>2197</v>
      </c>
      <c r="H409" t="s">
        <v>2198</v>
      </c>
      <c r="I409" t="s">
        <v>65</v>
      </c>
      <c r="K409" t="s">
        <v>286</v>
      </c>
      <c r="L409" t="s">
        <v>58</v>
      </c>
      <c r="M409" t="s">
        <v>46</v>
      </c>
      <c r="N409" t="s">
        <v>47</v>
      </c>
      <c r="O409" t="s">
        <v>48</v>
      </c>
      <c r="P409" t="s">
        <v>59</v>
      </c>
      <c r="Q409" t="s">
        <v>35</v>
      </c>
      <c r="R409" t="s">
        <v>36</v>
      </c>
      <c r="S409" t="s">
        <v>60</v>
      </c>
      <c r="T409">
        <v>2875.1</v>
      </c>
      <c r="U409">
        <v>5</v>
      </c>
      <c r="V409">
        <v>0.1</v>
      </c>
      <c r="W409">
        <v>511.1</v>
      </c>
      <c r="X409">
        <v>302.01</v>
      </c>
      <c r="Y409" t="s">
        <v>38</v>
      </c>
      <c r="Z409">
        <f>Superstore_Sales[[#This Row],[Sales]]*Superstore_Sales[[#This Row],[Quantity]]</f>
        <v>14375.5</v>
      </c>
      <c r="AA409" s="3">
        <f>Superstore_Sales[[#This Row],[TotalSales]]*Superstore_Sales[[#This Row],[Discount]]/100</f>
        <v>14.375500000000002</v>
      </c>
      <c r="AB409" s="2">
        <f>Superstore_Sales[[#This Row],[TotalSales]]-Superstore_Sales[[#This Row],[Dis_amt]]-Superstore_Sales[[#This Row],[Shipping Cost]]</f>
        <v>14059.1145</v>
      </c>
    </row>
    <row r="410" spans="1:28" x14ac:dyDescent="0.35">
      <c r="A410">
        <v>11991</v>
      </c>
      <c r="B410" t="s">
        <v>2199</v>
      </c>
      <c r="C410" s="1">
        <v>41892</v>
      </c>
      <c r="D410" s="1">
        <v>41897</v>
      </c>
      <c r="E410">
        <f>Superstore_Sales[[#This Row],[Ship Date]]-Superstore_Sales[[#This Row],[Order Date]]</f>
        <v>5</v>
      </c>
      <c r="F410" t="s">
        <v>40</v>
      </c>
      <c r="G410" t="s">
        <v>2200</v>
      </c>
      <c r="H410" t="s">
        <v>571</v>
      </c>
      <c r="I410" t="s">
        <v>28</v>
      </c>
      <c r="K410" t="s">
        <v>2201</v>
      </c>
      <c r="L410" t="s">
        <v>2202</v>
      </c>
      <c r="M410" t="s">
        <v>2203</v>
      </c>
      <c r="N410" t="s">
        <v>68</v>
      </c>
      <c r="O410" t="s">
        <v>69</v>
      </c>
      <c r="P410" t="s">
        <v>137</v>
      </c>
      <c r="Q410" t="s">
        <v>50</v>
      </c>
      <c r="R410" t="s">
        <v>51</v>
      </c>
      <c r="S410" t="s">
        <v>138</v>
      </c>
      <c r="T410">
        <v>2380.5</v>
      </c>
      <c r="U410">
        <v>5</v>
      </c>
      <c r="V410">
        <v>0</v>
      </c>
      <c r="W410">
        <v>952.2</v>
      </c>
      <c r="X410">
        <v>301.73</v>
      </c>
      <c r="Y410" t="s">
        <v>61</v>
      </c>
      <c r="Z410">
        <f>Superstore_Sales[[#This Row],[Sales]]*Superstore_Sales[[#This Row],[Quantity]]</f>
        <v>11902.5</v>
      </c>
      <c r="AA410" s="3">
        <f>Superstore_Sales[[#This Row],[TotalSales]]*Superstore_Sales[[#This Row],[Discount]]/100</f>
        <v>0</v>
      </c>
      <c r="AB410" s="2">
        <f>Superstore_Sales[[#This Row],[TotalSales]]-Superstore_Sales[[#This Row],[Dis_amt]]-Superstore_Sales[[#This Row],[Shipping Cost]]</f>
        <v>11600.77</v>
      </c>
    </row>
    <row r="411" spans="1:28" x14ac:dyDescent="0.35">
      <c r="A411">
        <v>42964</v>
      </c>
      <c r="B411" t="s">
        <v>2204</v>
      </c>
      <c r="C411" s="1">
        <v>40970</v>
      </c>
      <c r="D411" s="1">
        <v>40972</v>
      </c>
      <c r="E411">
        <f>Superstore_Sales[[#This Row],[Ship Date]]-Superstore_Sales[[#This Row],[Order Date]]</f>
        <v>2</v>
      </c>
      <c r="F411" t="s">
        <v>40</v>
      </c>
      <c r="G411" t="s">
        <v>2205</v>
      </c>
      <c r="H411" t="s">
        <v>2206</v>
      </c>
      <c r="I411" t="s">
        <v>43</v>
      </c>
      <c r="K411" t="s">
        <v>2207</v>
      </c>
      <c r="L411" t="s">
        <v>2207</v>
      </c>
      <c r="M411" t="s">
        <v>2208</v>
      </c>
      <c r="N411" t="s">
        <v>171</v>
      </c>
      <c r="O411" t="s">
        <v>69</v>
      </c>
      <c r="P411" t="s">
        <v>2209</v>
      </c>
      <c r="Q411" t="s">
        <v>35</v>
      </c>
      <c r="R411" t="s">
        <v>275</v>
      </c>
      <c r="S411" t="s">
        <v>2210</v>
      </c>
      <c r="T411">
        <v>1619.1</v>
      </c>
      <c r="U411">
        <v>10</v>
      </c>
      <c r="V411">
        <v>0</v>
      </c>
      <c r="W411">
        <v>258.89999999999998</v>
      </c>
      <c r="X411">
        <v>301.73</v>
      </c>
      <c r="Y411" t="s">
        <v>38</v>
      </c>
      <c r="Z411">
        <f>Superstore_Sales[[#This Row],[Sales]]*Superstore_Sales[[#This Row],[Quantity]]</f>
        <v>16191</v>
      </c>
      <c r="AA411" s="3">
        <f>Superstore_Sales[[#This Row],[TotalSales]]*Superstore_Sales[[#This Row],[Discount]]/100</f>
        <v>0</v>
      </c>
      <c r="AB411" s="2">
        <f>Superstore_Sales[[#This Row],[TotalSales]]-Superstore_Sales[[#This Row],[Dis_amt]]-Superstore_Sales[[#This Row],[Shipping Cost]]</f>
        <v>15889.27</v>
      </c>
    </row>
    <row r="412" spans="1:28" x14ac:dyDescent="0.35">
      <c r="A412">
        <v>29626</v>
      </c>
      <c r="B412" t="s">
        <v>2211</v>
      </c>
      <c r="C412" s="1">
        <v>41275</v>
      </c>
      <c r="D412" s="1">
        <v>41279</v>
      </c>
      <c r="E412">
        <f>Superstore_Sales[[#This Row],[Ship Date]]-Superstore_Sales[[#This Row],[Order Date]]</f>
        <v>4</v>
      </c>
      <c r="F412" t="s">
        <v>98</v>
      </c>
      <c r="G412" t="s">
        <v>2212</v>
      </c>
      <c r="H412" t="s">
        <v>2213</v>
      </c>
      <c r="I412" t="s">
        <v>43</v>
      </c>
      <c r="K412" t="s">
        <v>938</v>
      </c>
      <c r="L412" t="s">
        <v>939</v>
      </c>
      <c r="M412" t="s">
        <v>321</v>
      </c>
      <c r="N412" t="s">
        <v>322</v>
      </c>
      <c r="O412" t="s">
        <v>48</v>
      </c>
      <c r="P412" t="s">
        <v>581</v>
      </c>
      <c r="Q412" t="s">
        <v>147</v>
      </c>
      <c r="R412" t="s">
        <v>148</v>
      </c>
      <c r="S412" t="s">
        <v>582</v>
      </c>
      <c r="T412">
        <v>2821.72</v>
      </c>
      <c r="U412">
        <v>6</v>
      </c>
      <c r="V412">
        <v>0.17</v>
      </c>
      <c r="W412">
        <v>339.88</v>
      </c>
      <c r="X412">
        <v>301.26</v>
      </c>
      <c r="Y412" t="s">
        <v>38</v>
      </c>
      <c r="Z412">
        <f>Superstore_Sales[[#This Row],[Sales]]*Superstore_Sales[[#This Row],[Quantity]]</f>
        <v>16930.32</v>
      </c>
      <c r="AA412" s="3">
        <f>Superstore_Sales[[#This Row],[TotalSales]]*Superstore_Sales[[#This Row],[Discount]]/100</f>
        <v>28.781544000000004</v>
      </c>
      <c r="AB412" s="2">
        <f>Superstore_Sales[[#This Row],[TotalSales]]-Superstore_Sales[[#This Row],[Dis_amt]]-Superstore_Sales[[#This Row],[Shipping Cost]]</f>
        <v>16600.278456</v>
      </c>
    </row>
    <row r="413" spans="1:28" x14ac:dyDescent="0.35">
      <c r="A413">
        <v>23255</v>
      </c>
      <c r="B413" t="s">
        <v>2214</v>
      </c>
      <c r="C413" s="1">
        <v>41577</v>
      </c>
      <c r="D413" s="1">
        <v>41581</v>
      </c>
      <c r="E413">
        <f>Superstore_Sales[[#This Row],[Ship Date]]-Superstore_Sales[[#This Row],[Order Date]]</f>
        <v>4</v>
      </c>
      <c r="F413" t="s">
        <v>98</v>
      </c>
      <c r="G413" t="s">
        <v>2215</v>
      </c>
      <c r="H413" t="s">
        <v>2216</v>
      </c>
      <c r="I413" t="s">
        <v>43</v>
      </c>
      <c r="K413" t="s">
        <v>572</v>
      </c>
      <c r="L413" t="s">
        <v>573</v>
      </c>
      <c r="M413" t="s">
        <v>321</v>
      </c>
      <c r="N413" t="s">
        <v>322</v>
      </c>
      <c r="O413" t="s">
        <v>48</v>
      </c>
      <c r="P413" t="s">
        <v>2145</v>
      </c>
      <c r="Q413" t="s">
        <v>35</v>
      </c>
      <c r="R413" t="s">
        <v>81</v>
      </c>
      <c r="S413" t="s">
        <v>2146</v>
      </c>
      <c r="T413">
        <v>2991.1</v>
      </c>
      <c r="U413">
        <v>9</v>
      </c>
      <c r="V413">
        <v>7.0000000000000007E-2</v>
      </c>
      <c r="W413">
        <v>-128.75</v>
      </c>
      <c r="X413">
        <v>300.60000000000002</v>
      </c>
      <c r="Y413" t="s">
        <v>61</v>
      </c>
      <c r="Z413">
        <f>Superstore_Sales[[#This Row],[Sales]]*Superstore_Sales[[#This Row],[Quantity]]</f>
        <v>26919.899999999998</v>
      </c>
      <c r="AA413" s="3">
        <f>Superstore_Sales[[#This Row],[TotalSales]]*Superstore_Sales[[#This Row],[Discount]]/100</f>
        <v>18.84393</v>
      </c>
      <c r="AB413" s="2">
        <f>Superstore_Sales[[#This Row],[TotalSales]]-Superstore_Sales[[#This Row],[Dis_amt]]-Superstore_Sales[[#This Row],[Shipping Cost]]</f>
        <v>26600.45607</v>
      </c>
    </row>
    <row r="414" spans="1:28" x14ac:dyDescent="0.35">
      <c r="A414">
        <v>28249</v>
      </c>
      <c r="B414" t="s">
        <v>2217</v>
      </c>
      <c r="C414" s="1">
        <v>41962</v>
      </c>
      <c r="D414" s="1">
        <v>41962</v>
      </c>
      <c r="E414">
        <f>Superstore_Sales[[#This Row],[Ship Date]]-Superstore_Sales[[#This Row],[Order Date]]</f>
        <v>0</v>
      </c>
      <c r="F414" t="s">
        <v>73</v>
      </c>
      <c r="G414" t="s">
        <v>2218</v>
      </c>
      <c r="H414" t="s">
        <v>1000</v>
      </c>
      <c r="I414" t="s">
        <v>28</v>
      </c>
      <c r="K414" t="s">
        <v>801</v>
      </c>
      <c r="L414" t="s">
        <v>801</v>
      </c>
      <c r="M414" t="s">
        <v>802</v>
      </c>
      <c r="N414" t="s">
        <v>322</v>
      </c>
      <c r="O414" t="s">
        <v>48</v>
      </c>
      <c r="P414" t="s">
        <v>1327</v>
      </c>
      <c r="Q414" t="s">
        <v>147</v>
      </c>
      <c r="R414" t="s">
        <v>148</v>
      </c>
      <c r="S414" t="s">
        <v>1328</v>
      </c>
      <c r="T414">
        <v>1798.68</v>
      </c>
      <c r="U414">
        <v>4</v>
      </c>
      <c r="V414">
        <v>0.17</v>
      </c>
      <c r="W414">
        <v>86.64</v>
      </c>
      <c r="X414">
        <v>300.5</v>
      </c>
      <c r="Y414" t="s">
        <v>38</v>
      </c>
      <c r="Z414">
        <f>Superstore_Sales[[#This Row],[Sales]]*Superstore_Sales[[#This Row],[Quantity]]</f>
        <v>7194.72</v>
      </c>
      <c r="AA414" s="3">
        <f>Superstore_Sales[[#This Row],[TotalSales]]*Superstore_Sales[[#This Row],[Discount]]/100</f>
        <v>12.231024000000001</v>
      </c>
      <c r="AB414" s="2">
        <f>Superstore_Sales[[#This Row],[TotalSales]]-Superstore_Sales[[#This Row],[Dis_amt]]-Superstore_Sales[[#This Row],[Shipping Cost]]</f>
        <v>6881.9889760000005</v>
      </c>
    </row>
    <row r="415" spans="1:28" x14ac:dyDescent="0.35">
      <c r="A415">
        <v>50458</v>
      </c>
      <c r="B415" t="s">
        <v>2219</v>
      </c>
      <c r="C415" s="1">
        <v>41866</v>
      </c>
      <c r="D415" s="1">
        <v>41868</v>
      </c>
      <c r="E415">
        <f>Superstore_Sales[[#This Row],[Ship Date]]-Superstore_Sales[[#This Row],[Order Date]]</f>
        <v>2</v>
      </c>
      <c r="F415" t="s">
        <v>40</v>
      </c>
      <c r="G415" t="s">
        <v>2220</v>
      </c>
      <c r="H415" t="s">
        <v>2221</v>
      </c>
      <c r="I415" t="s">
        <v>28</v>
      </c>
      <c r="K415" t="s">
        <v>2222</v>
      </c>
      <c r="L415" t="s">
        <v>2222</v>
      </c>
      <c r="M415" t="s">
        <v>1180</v>
      </c>
      <c r="N415" t="s">
        <v>195</v>
      </c>
      <c r="O415" t="s">
        <v>69</v>
      </c>
      <c r="P415" t="s">
        <v>295</v>
      </c>
      <c r="Q415" t="s">
        <v>35</v>
      </c>
      <c r="R415" t="s">
        <v>36</v>
      </c>
      <c r="S415" t="s">
        <v>296</v>
      </c>
      <c r="T415">
        <v>2544.84</v>
      </c>
      <c r="U415">
        <v>4</v>
      </c>
      <c r="V415">
        <v>0</v>
      </c>
      <c r="W415">
        <v>712.44</v>
      </c>
      <c r="X415">
        <v>299.39999999999998</v>
      </c>
      <c r="Y415" t="s">
        <v>61</v>
      </c>
      <c r="Z415">
        <f>Superstore_Sales[[#This Row],[Sales]]*Superstore_Sales[[#This Row],[Quantity]]</f>
        <v>10179.36</v>
      </c>
      <c r="AA415" s="3">
        <f>Superstore_Sales[[#This Row],[TotalSales]]*Superstore_Sales[[#This Row],[Discount]]/100</f>
        <v>0</v>
      </c>
      <c r="AB415" s="2">
        <f>Superstore_Sales[[#This Row],[TotalSales]]-Superstore_Sales[[#This Row],[Dis_amt]]-Superstore_Sales[[#This Row],[Shipping Cost]]</f>
        <v>9879.9600000000009</v>
      </c>
    </row>
    <row r="416" spans="1:28" x14ac:dyDescent="0.35">
      <c r="A416">
        <v>23257</v>
      </c>
      <c r="B416" t="s">
        <v>2223</v>
      </c>
      <c r="C416" s="1">
        <v>41798</v>
      </c>
      <c r="D416" s="1">
        <v>41798</v>
      </c>
      <c r="E416">
        <f>Superstore_Sales[[#This Row],[Ship Date]]-Superstore_Sales[[#This Row],[Order Date]]</f>
        <v>0</v>
      </c>
      <c r="F416" t="s">
        <v>73</v>
      </c>
      <c r="G416" t="s">
        <v>2224</v>
      </c>
      <c r="H416" t="s">
        <v>2180</v>
      </c>
      <c r="I416" t="s">
        <v>65</v>
      </c>
      <c r="K416" t="s">
        <v>2225</v>
      </c>
      <c r="L416" t="s">
        <v>2226</v>
      </c>
      <c r="M416" t="s">
        <v>1155</v>
      </c>
      <c r="N416" t="s">
        <v>145</v>
      </c>
      <c r="O416" t="s">
        <v>48</v>
      </c>
      <c r="P416" t="s">
        <v>944</v>
      </c>
      <c r="Q416" t="s">
        <v>50</v>
      </c>
      <c r="R416" t="s">
        <v>51</v>
      </c>
      <c r="S416" t="s">
        <v>945</v>
      </c>
      <c r="T416">
        <v>951.72</v>
      </c>
      <c r="U416">
        <v>2</v>
      </c>
      <c r="V416">
        <v>0</v>
      </c>
      <c r="W416">
        <v>228.36</v>
      </c>
      <c r="X416">
        <v>299.12</v>
      </c>
      <c r="Y416" t="s">
        <v>38</v>
      </c>
      <c r="Z416">
        <f>Superstore_Sales[[#This Row],[Sales]]*Superstore_Sales[[#This Row],[Quantity]]</f>
        <v>1903.44</v>
      </c>
      <c r="AA416" s="3">
        <f>Superstore_Sales[[#This Row],[TotalSales]]*Superstore_Sales[[#This Row],[Discount]]/100</f>
        <v>0</v>
      </c>
      <c r="AB416" s="2">
        <f>Superstore_Sales[[#This Row],[TotalSales]]-Superstore_Sales[[#This Row],[Dis_amt]]-Superstore_Sales[[#This Row],[Shipping Cost]]</f>
        <v>1604.3200000000002</v>
      </c>
    </row>
    <row r="417" spans="1:28" x14ac:dyDescent="0.35">
      <c r="A417">
        <v>20612</v>
      </c>
      <c r="B417" t="s">
        <v>2227</v>
      </c>
      <c r="C417" s="1">
        <v>42279</v>
      </c>
      <c r="D417" s="1">
        <v>42283</v>
      </c>
      <c r="E417">
        <f>Superstore_Sales[[#This Row],[Ship Date]]-Superstore_Sales[[#This Row],[Order Date]]</f>
        <v>4</v>
      </c>
      <c r="F417" t="s">
        <v>98</v>
      </c>
      <c r="G417" t="s">
        <v>2228</v>
      </c>
      <c r="H417" t="s">
        <v>618</v>
      </c>
      <c r="I417" t="s">
        <v>28</v>
      </c>
      <c r="K417" t="s">
        <v>423</v>
      </c>
      <c r="L417" t="s">
        <v>423</v>
      </c>
      <c r="M417" t="s">
        <v>424</v>
      </c>
      <c r="N417" t="s">
        <v>118</v>
      </c>
      <c r="O417" t="s">
        <v>48</v>
      </c>
      <c r="P417" t="s">
        <v>221</v>
      </c>
      <c r="Q417" t="s">
        <v>35</v>
      </c>
      <c r="R417" t="s">
        <v>36</v>
      </c>
      <c r="S417" t="s">
        <v>222</v>
      </c>
      <c r="T417">
        <v>2575.92</v>
      </c>
      <c r="U417">
        <v>4</v>
      </c>
      <c r="V417">
        <v>0</v>
      </c>
      <c r="W417">
        <v>978.84</v>
      </c>
      <c r="X417">
        <v>298.83</v>
      </c>
      <c r="Y417" t="s">
        <v>38</v>
      </c>
      <c r="Z417">
        <f>Superstore_Sales[[#This Row],[Sales]]*Superstore_Sales[[#This Row],[Quantity]]</f>
        <v>10303.68</v>
      </c>
      <c r="AA417" s="3">
        <f>Superstore_Sales[[#This Row],[TotalSales]]*Superstore_Sales[[#This Row],[Discount]]/100</f>
        <v>0</v>
      </c>
      <c r="AB417" s="2">
        <f>Superstore_Sales[[#This Row],[TotalSales]]-Superstore_Sales[[#This Row],[Dis_amt]]-Superstore_Sales[[#This Row],[Shipping Cost]]</f>
        <v>10004.85</v>
      </c>
    </row>
    <row r="418" spans="1:28" x14ac:dyDescent="0.35">
      <c r="A418">
        <v>11836</v>
      </c>
      <c r="B418" t="s">
        <v>2229</v>
      </c>
      <c r="C418" s="1">
        <v>42062</v>
      </c>
      <c r="D418" s="1">
        <v>42066</v>
      </c>
      <c r="E418">
        <f>Superstore_Sales[[#This Row],[Ship Date]]-Superstore_Sales[[#This Row],[Order Date]]</f>
        <v>4</v>
      </c>
      <c r="F418" t="s">
        <v>98</v>
      </c>
      <c r="G418" t="s">
        <v>2230</v>
      </c>
      <c r="H418" t="s">
        <v>1466</v>
      </c>
      <c r="I418" t="s">
        <v>28</v>
      </c>
      <c r="K418" t="s">
        <v>341</v>
      </c>
      <c r="L418" t="s">
        <v>310</v>
      </c>
      <c r="M418" t="s">
        <v>210</v>
      </c>
      <c r="N418" t="s">
        <v>211</v>
      </c>
      <c r="O418" t="s">
        <v>69</v>
      </c>
      <c r="P418" t="s">
        <v>581</v>
      </c>
      <c r="Q418" t="s">
        <v>147</v>
      </c>
      <c r="R418" t="s">
        <v>148</v>
      </c>
      <c r="S418" t="s">
        <v>582</v>
      </c>
      <c r="T418">
        <v>1699.83</v>
      </c>
      <c r="U418">
        <v>3</v>
      </c>
      <c r="V418">
        <v>0</v>
      </c>
      <c r="W418">
        <v>84.96</v>
      </c>
      <c r="X418">
        <v>298.77</v>
      </c>
      <c r="Y418" t="s">
        <v>38</v>
      </c>
      <c r="Z418">
        <f>Superstore_Sales[[#This Row],[Sales]]*Superstore_Sales[[#This Row],[Quantity]]</f>
        <v>5099.49</v>
      </c>
      <c r="AA418" s="3">
        <f>Superstore_Sales[[#This Row],[TotalSales]]*Superstore_Sales[[#This Row],[Discount]]/100</f>
        <v>0</v>
      </c>
      <c r="AB418" s="2">
        <f>Superstore_Sales[[#This Row],[TotalSales]]-Superstore_Sales[[#This Row],[Dis_amt]]-Superstore_Sales[[#This Row],[Shipping Cost]]</f>
        <v>4800.7199999999993</v>
      </c>
    </row>
    <row r="419" spans="1:28" x14ac:dyDescent="0.35">
      <c r="A419">
        <v>20455</v>
      </c>
      <c r="B419" t="s">
        <v>2231</v>
      </c>
      <c r="C419" s="1">
        <v>41943</v>
      </c>
      <c r="D419" s="1">
        <v>41947</v>
      </c>
      <c r="E419">
        <f>Superstore_Sales[[#This Row],[Ship Date]]-Superstore_Sales[[#This Row],[Order Date]]</f>
        <v>4</v>
      </c>
      <c r="F419" t="s">
        <v>98</v>
      </c>
      <c r="G419" t="s">
        <v>2232</v>
      </c>
      <c r="H419" t="s">
        <v>2233</v>
      </c>
      <c r="I419" t="s">
        <v>65</v>
      </c>
      <c r="K419" t="s">
        <v>514</v>
      </c>
      <c r="L419" t="s">
        <v>515</v>
      </c>
      <c r="M419" t="s">
        <v>46</v>
      </c>
      <c r="N419" t="s">
        <v>47</v>
      </c>
      <c r="O419" t="s">
        <v>48</v>
      </c>
      <c r="P419" t="s">
        <v>2138</v>
      </c>
      <c r="Q419" t="s">
        <v>50</v>
      </c>
      <c r="R419" t="s">
        <v>336</v>
      </c>
      <c r="S419" t="s">
        <v>2139</v>
      </c>
      <c r="T419">
        <v>2634.55</v>
      </c>
      <c r="U419">
        <v>8</v>
      </c>
      <c r="V419">
        <v>0.1</v>
      </c>
      <c r="W419">
        <v>116.95</v>
      </c>
      <c r="X419">
        <v>298.63</v>
      </c>
      <c r="Y419" t="s">
        <v>61</v>
      </c>
      <c r="Z419">
        <f>Superstore_Sales[[#This Row],[Sales]]*Superstore_Sales[[#This Row],[Quantity]]</f>
        <v>21076.400000000001</v>
      </c>
      <c r="AA419" s="3">
        <f>Superstore_Sales[[#This Row],[TotalSales]]*Superstore_Sales[[#This Row],[Discount]]/100</f>
        <v>21.076400000000003</v>
      </c>
      <c r="AB419" s="2">
        <f>Superstore_Sales[[#This Row],[TotalSales]]-Superstore_Sales[[#This Row],[Dis_amt]]-Superstore_Sales[[#This Row],[Shipping Cost]]</f>
        <v>20756.693599999999</v>
      </c>
    </row>
    <row r="420" spans="1:28" x14ac:dyDescent="0.35">
      <c r="A420">
        <v>20872</v>
      </c>
      <c r="B420" t="s">
        <v>2234</v>
      </c>
      <c r="C420" s="1">
        <v>41991</v>
      </c>
      <c r="D420" s="1">
        <v>41998</v>
      </c>
      <c r="E420">
        <f>Superstore_Sales[[#This Row],[Ship Date]]-Superstore_Sales[[#This Row],[Order Date]]</f>
        <v>7</v>
      </c>
      <c r="F420" t="s">
        <v>98</v>
      </c>
      <c r="G420" t="s">
        <v>2235</v>
      </c>
      <c r="H420" t="s">
        <v>2236</v>
      </c>
      <c r="I420" t="s">
        <v>43</v>
      </c>
      <c r="K420" t="s">
        <v>2237</v>
      </c>
      <c r="L420" t="s">
        <v>2238</v>
      </c>
      <c r="M420" t="s">
        <v>321</v>
      </c>
      <c r="N420" t="s">
        <v>322</v>
      </c>
      <c r="O420" t="s">
        <v>48</v>
      </c>
      <c r="P420" t="s">
        <v>2239</v>
      </c>
      <c r="Q420" t="s">
        <v>50</v>
      </c>
      <c r="R420" t="s">
        <v>336</v>
      </c>
      <c r="S420" t="s">
        <v>2240</v>
      </c>
      <c r="T420">
        <v>3707.35</v>
      </c>
      <c r="U420">
        <v>11</v>
      </c>
      <c r="V420">
        <v>7.0000000000000007E-2</v>
      </c>
      <c r="W420">
        <v>1554.43</v>
      </c>
      <c r="X420">
        <v>298.44</v>
      </c>
      <c r="Y420" t="s">
        <v>61</v>
      </c>
      <c r="Z420">
        <f>Superstore_Sales[[#This Row],[Sales]]*Superstore_Sales[[#This Row],[Quantity]]</f>
        <v>40780.85</v>
      </c>
      <c r="AA420" s="3">
        <f>Superstore_Sales[[#This Row],[TotalSales]]*Superstore_Sales[[#This Row],[Discount]]/100</f>
        <v>28.546595000000003</v>
      </c>
      <c r="AB420" s="2">
        <f>Superstore_Sales[[#This Row],[TotalSales]]-Superstore_Sales[[#This Row],[Dis_amt]]-Superstore_Sales[[#This Row],[Shipping Cost]]</f>
        <v>40453.863404999996</v>
      </c>
    </row>
    <row r="421" spans="1:28" x14ac:dyDescent="0.35">
      <c r="A421">
        <v>20428</v>
      </c>
      <c r="B421" t="s">
        <v>2241</v>
      </c>
      <c r="C421" s="1">
        <v>42133</v>
      </c>
      <c r="D421" s="1">
        <v>42139</v>
      </c>
      <c r="E421">
        <f>Superstore_Sales[[#This Row],[Ship Date]]-Superstore_Sales[[#This Row],[Order Date]]</f>
        <v>6</v>
      </c>
      <c r="F421" t="s">
        <v>98</v>
      </c>
      <c r="G421" t="s">
        <v>2242</v>
      </c>
      <c r="H421" t="s">
        <v>2113</v>
      </c>
      <c r="I421" t="s">
        <v>28</v>
      </c>
      <c r="K421" t="s">
        <v>2243</v>
      </c>
      <c r="L421" t="s">
        <v>2244</v>
      </c>
      <c r="M421" t="s">
        <v>258</v>
      </c>
      <c r="N421" t="s">
        <v>118</v>
      </c>
      <c r="O421" t="s">
        <v>48</v>
      </c>
      <c r="P421" t="s">
        <v>2245</v>
      </c>
      <c r="Q421" t="s">
        <v>50</v>
      </c>
      <c r="R421" t="s">
        <v>104</v>
      </c>
      <c r="S421" t="s">
        <v>2246</v>
      </c>
      <c r="T421">
        <v>4298.8500000000004</v>
      </c>
      <c r="U421">
        <v>5</v>
      </c>
      <c r="V421">
        <v>0</v>
      </c>
      <c r="W421">
        <v>300.89999999999998</v>
      </c>
      <c r="X421">
        <v>297.81</v>
      </c>
      <c r="Y421" t="s">
        <v>164</v>
      </c>
      <c r="Z421">
        <f>Superstore_Sales[[#This Row],[Sales]]*Superstore_Sales[[#This Row],[Quantity]]</f>
        <v>21494.25</v>
      </c>
      <c r="AA421" s="3">
        <f>Superstore_Sales[[#This Row],[TotalSales]]*Superstore_Sales[[#This Row],[Discount]]/100</f>
        <v>0</v>
      </c>
      <c r="AB421" s="2">
        <f>Superstore_Sales[[#This Row],[TotalSales]]-Superstore_Sales[[#This Row],[Dis_amt]]-Superstore_Sales[[#This Row],[Shipping Cost]]</f>
        <v>21196.44</v>
      </c>
    </row>
    <row r="422" spans="1:28" x14ac:dyDescent="0.35">
      <c r="A422">
        <v>24422</v>
      </c>
      <c r="B422" t="s">
        <v>2247</v>
      </c>
      <c r="C422" s="1">
        <v>42189</v>
      </c>
      <c r="D422" s="1">
        <v>42193</v>
      </c>
      <c r="E422">
        <f>Superstore_Sales[[#This Row],[Ship Date]]-Superstore_Sales[[#This Row],[Order Date]]</f>
        <v>4</v>
      </c>
      <c r="F422" t="s">
        <v>98</v>
      </c>
      <c r="G422" t="s">
        <v>2248</v>
      </c>
      <c r="H422" t="s">
        <v>1855</v>
      </c>
      <c r="I422" t="s">
        <v>43</v>
      </c>
      <c r="K422" t="s">
        <v>2249</v>
      </c>
      <c r="L422" t="s">
        <v>856</v>
      </c>
      <c r="M422" t="s">
        <v>144</v>
      </c>
      <c r="N422" t="s">
        <v>145</v>
      </c>
      <c r="O422" t="s">
        <v>48</v>
      </c>
      <c r="P422" t="s">
        <v>1371</v>
      </c>
      <c r="Q422" t="s">
        <v>147</v>
      </c>
      <c r="R422" t="s">
        <v>148</v>
      </c>
      <c r="S422" t="s">
        <v>1372</v>
      </c>
      <c r="T422">
        <v>3417.48</v>
      </c>
      <c r="U422">
        <v>6</v>
      </c>
      <c r="V422">
        <v>0</v>
      </c>
      <c r="W422">
        <v>854.28</v>
      </c>
      <c r="X422">
        <v>297.2</v>
      </c>
      <c r="Y422" t="s">
        <v>61</v>
      </c>
      <c r="Z422">
        <f>Superstore_Sales[[#This Row],[Sales]]*Superstore_Sales[[#This Row],[Quantity]]</f>
        <v>20504.88</v>
      </c>
      <c r="AA422" s="3">
        <f>Superstore_Sales[[#This Row],[TotalSales]]*Superstore_Sales[[#This Row],[Discount]]/100</f>
        <v>0</v>
      </c>
      <c r="AB422" s="2">
        <f>Superstore_Sales[[#This Row],[TotalSales]]-Superstore_Sales[[#This Row],[Dis_amt]]-Superstore_Sales[[#This Row],[Shipping Cost]]</f>
        <v>20207.68</v>
      </c>
    </row>
    <row r="423" spans="1:28" x14ac:dyDescent="0.35">
      <c r="A423">
        <v>19814</v>
      </c>
      <c r="B423" t="s">
        <v>2250</v>
      </c>
      <c r="C423" s="1">
        <v>41411</v>
      </c>
      <c r="D423" s="1">
        <v>41415</v>
      </c>
      <c r="E423">
        <f>Superstore_Sales[[#This Row],[Ship Date]]-Superstore_Sales[[#This Row],[Order Date]]</f>
        <v>4</v>
      </c>
      <c r="F423" t="s">
        <v>98</v>
      </c>
      <c r="G423" t="s">
        <v>2251</v>
      </c>
      <c r="H423" t="s">
        <v>255</v>
      </c>
      <c r="I423" t="s">
        <v>28</v>
      </c>
      <c r="K423" t="s">
        <v>1672</v>
      </c>
      <c r="L423" t="s">
        <v>1425</v>
      </c>
      <c r="M423" t="s">
        <v>463</v>
      </c>
      <c r="N423" t="s">
        <v>171</v>
      </c>
      <c r="O423" t="s">
        <v>69</v>
      </c>
      <c r="P423" t="s">
        <v>2252</v>
      </c>
      <c r="Q423" t="s">
        <v>147</v>
      </c>
      <c r="R423" t="s">
        <v>148</v>
      </c>
      <c r="S423" t="s">
        <v>2253</v>
      </c>
      <c r="T423">
        <v>2080.3200000000002</v>
      </c>
      <c r="U423">
        <v>4</v>
      </c>
      <c r="V423">
        <v>0</v>
      </c>
      <c r="W423">
        <v>561.6</v>
      </c>
      <c r="X423">
        <v>296.98</v>
      </c>
      <c r="Y423" t="s">
        <v>38</v>
      </c>
      <c r="Z423">
        <f>Superstore_Sales[[#This Row],[Sales]]*Superstore_Sales[[#This Row],[Quantity]]</f>
        <v>8321.2800000000007</v>
      </c>
      <c r="AA423" s="3">
        <f>Superstore_Sales[[#This Row],[TotalSales]]*Superstore_Sales[[#This Row],[Discount]]/100</f>
        <v>0</v>
      </c>
      <c r="AB423" s="2">
        <f>Superstore_Sales[[#This Row],[TotalSales]]-Superstore_Sales[[#This Row],[Dis_amt]]-Superstore_Sales[[#This Row],[Shipping Cost]]</f>
        <v>8024.3000000000011</v>
      </c>
    </row>
    <row r="424" spans="1:28" x14ac:dyDescent="0.35">
      <c r="A424">
        <v>29718</v>
      </c>
      <c r="B424" t="s">
        <v>2254</v>
      </c>
      <c r="C424" s="1">
        <v>41123</v>
      </c>
      <c r="D424" s="1">
        <v>41126</v>
      </c>
      <c r="E424">
        <f>Superstore_Sales[[#This Row],[Ship Date]]-Superstore_Sales[[#This Row],[Order Date]]</f>
        <v>3</v>
      </c>
      <c r="F424" t="s">
        <v>40</v>
      </c>
      <c r="G424" t="s">
        <v>2255</v>
      </c>
      <c r="H424" t="s">
        <v>699</v>
      </c>
      <c r="I424" t="s">
        <v>43</v>
      </c>
      <c r="K424" t="s">
        <v>1937</v>
      </c>
      <c r="L424" t="s">
        <v>1008</v>
      </c>
      <c r="M424" t="s">
        <v>258</v>
      </c>
      <c r="N424" t="s">
        <v>118</v>
      </c>
      <c r="O424" t="s">
        <v>48</v>
      </c>
      <c r="P424" t="s">
        <v>2256</v>
      </c>
      <c r="Q424" t="s">
        <v>35</v>
      </c>
      <c r="R424" t="s">
        <v>36</v>
      </c>
      <c r="S424" t="s">
        <v>2257</v>
      </c>
      <c r="T424">
        <v>840.6</v>
      </c>
      <c r="U424">
        <v>5</v>
      </c>
      <c r="V424">
        <v>0</v>
      </c>
      <c r="W424">
        <v>319.35000000000002</v>
      </c>
      <c r="X424">
        <v>296.68</v>
      </c>
      <c r="Y424" t="s">
        <v>53</v>
      </c>
      <c r="Z424">
        <f>Superstore_Sales[[#This Row],[Sales]]*Superstore_Sales[[#This Row],[Quantity]]</f>
        <v>4203</v>
      </c>
      <c r="AA424" s="3">
        <f>Superstore_Sales[[#This Row],[TotalSales]]*Superstore_Sales[[#This Row],[Discount]]/100</f>
        <v>0</v>
      </c>
      <c r="AB424" s="2">
        <f>Superstore_Sales[[#This Row],[TotalSales]]-Superstore_Sales[[#This Row],[Dis_amt]]-Superstore_Sales[[#This Row],[Shipping Cost]]</f>
        <v>3906.32</v>
      </c>
    </row>
    <row r="425" spans="1:28" x14ac:dyDescent="0.35">
      <c r="A425">
        <v>38269</v>
      </c>
      <c r="B425" t="s">
        <v>2258</v>
      </c>
      <c r="C425" s="1">
        <v>42267</v>
      </c>
      <c r="D425" s="1">
        <v>42273</v>
      </c>
      <c r="E425">
        <f>Superstore_Sales[[#This Row],[Ship Date]]-Superstore_Sales[[#This Row],[Order Date]]</f>
        <v>6</v>
      </c>
      <c r="F425" t="s">
        <v>98</v>
      </c>
      <c r="G425" t="s">
        <v>2058</v>
      </c>
      <c r="H425" t="s">
        <v>1297</v>
      </c>
      <c r="I425" t="s">
        <v>28</v>
      </c>
      <c r="J425">
        <v>85023</v>
      </c>
      <c r="K425" t="s">
        <v>2081</v>
      </c>
      <c r="L425" t="s">
        <v>2082</v>
      </c>
      <c r="M425" t="s">
        <v>31</v>
      </c>
      <c r="N425" t="s">
        <v>110</v>
      </c>
      <c r="O425" t="s">
        <v>33</v>
      </c>
      <c r="P425" t="s">
        <v>2259</v>
      </c>
      <c r="Q425" t="s">
        <v>35</v>
      </c>
      <c r="R425" t="s">
        <v>36</v>
      </c>
      <c r="S425" t="s">
        <v>2260</v>
      </c>
      <c r="T425">
        <v>471.92</v>
      </c>
      <c r="U425">
        <v>2</v>
      </c>
      <c r="V425">
        <v>0.2</v>
      </c>
      <c r="W425">
        <v>29.5</v>
      </c>
      <c r="X425">
        <v>16.71</v>
      </c>
      <c r="Y425" t="s">
        <v>164</v>
      </c>
      <c r="Z425">
        <f>Superstore_Sales[[#This Row],[Sales]]*Superstore_Sales[[#This Row],[Quantity]]</f>
        <v>943.84</v>
      </c>
      <c r="AA425" s="3">
        <f>Superstore_Sales[[#This Row],[TotalSales]]*Superstore_Sales[[#This Row],[Discount]]/100</f>
        <v>1.8876800000000002</v>
      </c>
      <c r="AB425" s="2">
        <f>Superstore_Sales[[#This Row],[TotalSales]]-Superstore_Sales[[#This Row],[Dis_amt]]-Superstore_Sales[[#This Row],[Shipping Cost]]</f>
        <v>925.24231999999995</v>
      </c>
    </row>
    <row r="426" spans="1:28" x14ac:dyDescent="0.35">
      <c r="A426">
        <v>48509</v>
      </c>
      <c r="B426" t="s">
        <v>2261</v>
      </c>
      <c r="C426" s="1">
        <v>41684</v>
      </c>
      <c r="D426" s="1">
        <v>41686</v>
      </c>
      <c r="E426">
        <f>Superstore_Sales[[#This Row],[Ship Date]]-Superstore_Sales[[#This Row],[Order Date]]</f>
        <v>2</v>
      </c>
      <c r="F426" t="s">
        <v>40</v>
      </c>
      <c r="G426" t="s">
        <v>2262</v>
      </c>
      <c r="H426" t="s">
        <v>2263</v>
      </c>
      <c r="I426" t="s">
        <v>65</v>
      </c>
      <c r="K426" t="s">
        <v>2264</v>
      </c>
      <c r="L426" t="s">
        <v>2265</v>
      </c>
      <c r="M426" t="s">
        <v>2266</v>
      </c>
      <c r="N426" t="s">
        <v>294</v>
      </c>
      <c r="O426" t="s">
        <v>79</v>
      </c>
      <c r="P426" t="s">
        <v>2267</v>
      </c>
      <c r="Q426" t="s">
        <v>147</v>
      </c>
      <c r="R426" t="s">
        <v>162</v>
      </c>
      <c r="S426" t="s">
        <v>2268</v>
      </c>
      <c r="T426">
        <v>1288.8</v>
      </c>
      <c r="U426">
        <v>10</v>
      </c>
      <c r="V426">
        <v>0</v>
      </c>
      <c r="W426">
        <v>90</v>
      </c>
      <c r="X426">
        <v>296.08</v>
      </c>
      <c r="Y426" t="s">
        <v>53</v>
      </c>
      <c r="Z426">
        <f>Superstore_Sales[[#This Row],[Sales]]*Superstore_Sales[[#This Row],[Quantity]]</f>
        <v>12888</v>
      </c>
      <c r="AA426" s="3">
        <f>Superstore_Sales[[#This Row],[TotalSales]]*Superstore_Sales[[#This Row],[Discount]]/100</f>
        <v>0</v>
      </c>
      <c r="AB426" s="2">
        <f>Superstore_Sales[[#This Row],[TotalSales]]-Superstore_Sales[[#This Row],[Dis_amt]]-Superstore_Sales[[#This Row],[Shipping Cost]]</f>
        <v>12591.92</v>
      </c>
    </row>
    <row r="427" spans="1:28" x14ac:dyDescent="0.35">
      <c r="A427">
        <v>30028</v>
      </c>
      <c r="B427" t="s">
        <v>2269</v>
      </c>
      <c r="C427" s="1">
        <v>41417</v>
      </c>
      <c r="D427" s="1">
        <v>41417</v>
      </c>
      <c r="E427">
        <f>Superstore_Sales[[#This Row],[Ship Date]]-Superstore_Sales[[#This Row],[Order Date]]</f>
        <v>0</v>
      </c>
      <c r="F427" t="s">
        <v>73</v>
      </c>
      <c r="G427" t="s">
        <v>2270</v>
      </c>
      <c r="H427" t="s">
        <v>2271</v>
      </c>
      <c r="I427" t="s">
        <v>65</v>
      </c>
      <c r="K427" t="s">
        <v>2272</v>
      </c>
      <c r="L427" t="s">
        <v>515</v>
      </c>
      <c r="M427" t="s">
        <v>46</v>
      </c>
      <c r="N427" t="s">
        <v>47</v>
      </c>
      <c r="O427" t="s">
        <v>48</v>
      </c>
      <c r="P427" t="s">
        <v>1754</v>
      </c>
      <c r="Q427" t="s">
        <v>50</v>
      </c>
      <c r="R427" t="s">
        <v>336</v>
      </c>
      <c r="S427" t="s">
        <v>1755</v>
      </c>
      <c r="T427">
        <v>660.69</v>
      </c>
      <c r="U427">
        <v>5</v>
      </c>
      <c r="V427">
        <v>0.1</v>
      </c>
      <c r="W427">
        <v>44.04</v>
      </c>
      <c r="X427">
        <v>296.01</v>
      </c>
      <c r="Y427" t="s">
        <v>53</v>
      </c>
      <c r="Z427">
        <f>Superstore_Sales[[#This Row],[Sales]]*Superstore_Sales[[#This Row],[Quantity]]</f>
        <v>3303.4500000000003</v>
      </c>
      <c r="AA427" s="3">
        <f>Superstore_Sales[[#This Row],[TotalSales]]*Superstore_Sales[[#This Row],[Discount]]/100</f>
        <v>3.3034500000000002</v>
      </c>
      <c r="AB427" s="2">
        <f>Superstore_Sales[[#This Row],[TotalSales]]-Superstore_Sales[[#This Row],[Dis_amt]]-Superstore_Sales[[#This Row],[Shipping Cost]]</f>
        <v>3004.1365500000002</v>
      </c>
    </row>
    <row r="428" spans="1:28" x14ac:dyDescent="0.35">
      <c r="A428">
        <v>43473</v>
      </c>
      <c r="B428" t="s">
        <v>2273</v>
      </c>
      <c r="C428" s="1">
        <v>42220</v>
      </c>
      <c r="D428" s="1">
        <v>42225</v>
      </c>
      <c r="E428">
        <f>Superstore_Sales[[#This Row],[Ship Date]]-Superstore_Sales[[#This Row],[Order Date]]</f>
        <v>5</v>
      </c>
      <c r="F428" t="s">
        <v>40</v>
      </c>
      <c r="G428" t="s">
        <v>2274</v>
      </c>
      <c r="H428" t="s">
        <v>2275</v>
      </c>
      <c r="I428" t="s">
        <v>43</v>
      </c>
      <c r="K428" t="s">
        <v>2276</v>
      </c>
      <c r="L428" t="s">
        <v>2276</v>
      </c>
      <c r="M428" t="s">
        <v>2277</v>
      </c>
      <c r="N428" t="s">
        <v>171</v>
      </c>
      <c r="O428" t="s">
        <v>69</v>
      </c>
      <c r="P428" t="s">
        <v>345</v>
      </c>
      <c r="Q428" t="s">
        <v>147</v>
      </c>
      <c r="R428" t="s">
        <v>148</v>
      </c>
      <c r="S428" t="s">
        <v>346</v>
      </c>
      <c r="T428">
        <v>3234.24</v>
      </c>
      <c r="U428">
        <v>6</v>
      </c>
      <c r="V428">
        <v>0</v>
      </c>
      <c r="W428">
        <v>970.2</v>
      </c>
      <c r="X428">
        <v>295.74</v>
      </c>
      <c r="Y428" t="s">
        <v>61</v>
      </c>
      <c r="Z428">
        <f>Superstore_Sales[[#This Row],[Sales]]*Superstore_Sales[[#This Row],[Quantity]]</f>
        <v>19405.439999999999</v>
      </c>
      <c r="AA428" s="3">
        <f>Superstore_Sales[[#This Row],[TotalSales]]*Superstore_Sales[[#This Row],[Discount]]/100</f>
        <v>0</v>
      </c>
      <c r="AB428" s="2">
        <f>Superstore_Sales[[#This Row],[TotalSales]]-Superstore_Sales[[#This Row],[Dis_amt]]-Superstore_Sales[[#This Row],[Shipping Cost]]</f>
        <v>19109.699999999997</v>
      </c>
    </row>
    <row r="429" spans="1:28" x14ac:dyDescent="0.35">
      <c r="A429">
        <v>2006</v>
      </c>
      <c r="B429" t="s">
        <v>2278</v>
      </c>
      <c r="C429" s="1">
        <v>41956</v>
      </c>
      <c r="D429" s="1">
        <v>41961</v>
      </c>
      <c r="E429">
        <f>Superstore_Sales[[#This Row],[Ship Date]]-Superstore_Sales[[#This Row],[Order Date]]</f>
        <v>5</v>
      </c>
      <c r="F429" t="s">
        <v>98</v>
      </c>
      <c r="G429" t="s">
        <v>2279</v>
      </c>
      <c r="H429" t="s">
        <v>91</v>
      </c>
      <c r="I429" t="s">
        <v>28</v>
      </c>
      <c r="K429" t="s">
        <v>2280</v>
      </c>
      <c r="L429" t="s">
        <v>831</v>
      </c>
      <c r="M429" t="s">
        <v>134</v>
      </c>
      <c r="N429" t="s">
        <v>135</v>
      </c>
      <c r="O429" t="s">
        <v>136</v>
      </c>
      <c r="P429" t="s">
        <v>645</v>
      </c>
      <c r="Q429" t="s">
        <v>35</v>
      </c>
      <c r="R429" t="s">
        <v>36</v>
      </c>
      <c r="S429" t="s">
        <v>646</v>
      </c>
      <c r="T429">
        <v>2171.3000000000002</v>
      </c>
      <c r="U429">
        <v>5</v>
      </c>
      <c r="V429">
        <v>0</v>
      </c>
      <c r="W429">
        <v>390.8</v>
      </c>
      <c r="X429">
        <v>294.971</v>
      </c>
      <c r="Y429" t="s">
        <v>38</v>
      </c>
      <c r="Z429">
        <f>Superstore_Sales[[#This Row],[Sales]]*Superstore_Sales[[#This Row],[Quantity]]</f>
        <v>10856.5</v>
      </c>
      <c r="AA429" s="3">
        <f>Superstore_Sales[[#This Row],[TotalSales]]*Superstore_Sales[[#This Row],[Discount]]/100</f>
        <v>0</v>
      </c>
      <c r="AB429" s="2">
        <f>Superstore_Sales[[#This Row],[TotalSales]]-Superstore_Sales[[#This Row],[Dis_amt]]-Superstore_Sales[[#This Row],[Shipping Cost]]</f>
        <v>10561.529</v>
      </c>
    </row>
    <row r="430" spans="1:28" x14ac:dyDescent="0.35">
      <c r="A430">
        <v>27780</v>
      </c>
      <c r="B430" t="s">
        <v>2281</v>
      </c>
      <c r="C430" s="1">
        <v>42047</v>
      </c>
      <c r="D430" s="1">
        <v>42049</v>
      </c>
      <c r="E430">
        <f>Superstore_Sales[[#This Row],[Ship Date]]-Superstore_Sales[[#This Row],[Order Date]]</f>
        <v>2</v>
      </c>
      <c r="F430" t="s">
        <v>40</v>
      </c>
      <c r="G430" t="s">
        <v>2282</v>
      </c>
      <c r="H430" t="s">
        <v>571</v>
      </c>
      <c r="I430" t="s">
        <v>28</v>
      </c>
      <c r="K430" t="s">
        <v>57</v>
      </c>
      <c r="L430" t="s">
        <v>58</v>
      </c>
      <c r="M430" t="s">
        <v>46</v>
      </c>
      <c r="N430" t="s">
        <v>47</v>
      </c>
      <c r="O430" t="s">
        <v>48</v>
      </c>
      <c r="P430" t="s">
        <v>2283</v>
      </c>
      <c r="Q430" t="s">
        <v>35</v>
      </c>
      <c r="R430" t="s">
        <v>304</v>
      </c>
      <c r="S430" t="s">
        <v>2284</v>
      </c>
      <c r="T430">
        <v>2074.73</v>
      </c>
      <c r="U430">
        <v>9</v>
      </c>
      <c r="V430">
        <v>0.1</v>
      </c>
      <c r="W430">
        <v>276.52999999999997</v>
      </c>
      <c r="X430">
        <v>294.73</v>
      </c>
      <c r="Y430" t="s">
        <v>61</v>
      </c>
      <c r="Z430">
        <f>Superstore_Sales[[#This Row],[Sales]]*Superstore_Sales[[#This Row],[Quantity]]</f>
        <v>18672.57</v>
      </c>
      <c r="AA430" s="3">
        <f>Superstore_Sales[[#This Row],[TotalSales]]*Superstore_Sales[[#This Row],[Discount]]/100</f>
        <v>18.67257</v>
      </c>
      <c r="AB430" s="2">
        <f>Superstore_Sales[[#This Row],[TotalSales]]-Superstore_Sales[[#This Row],[Dis_amt]]-Superstore_Sales[[#This Row],[Shipping Cost]]</f>
        <v>18359.167430000001</v>
      </c>
    </row>
    <row r="431" spans="1:28" x14ac:dyDescent="0.35">
      <c r="A431">
        <v>7054</v>
      </c>
      <c r="B431" t="s">
        <v>2285</v>
      </c>
      <c r="C431" s="1">
        <v>42319</v>
      </c>
      <c r="D431" s="1">
        <v>42322</v>
      </c>
      <c r="E431">
        <f>Superstore_Sales[[#This Row],[Ship Date]]-Superstore_Sales[[#This Row],[Order Date]]</f>
        <v>3</v>
      </c>
      <c r="F431" t="s">
        <v>25</v>
      </c>
      <c r="G431" t="s">
        <v>2286</v>
      </c>
      <c r="H431" t="s">
        <v>2287</v>
      </c>
      <c r="I431" t="s">
        <v>28</v>
      </c>
      <c r="K431" t="s">
        <v>2288</v>
      </c>
      <c r="L431" t="s">
        <v>2289</v>
      </c>
      <c r="M431" t="s">
        <v>219</v>
      </c>
      <c r="N431" t="s">
        <v>220</v>
      </c>
      <c r="O431" t="s">
        <v>136</v>
      </c>
      <c r="P431" t="s">
        <v>510</v>
      </c>
      <c r="Q431" t="s">
        <v>35</v>
      </c>
      <c r="R431" t="s">
        <v>36</v>
      </c>
      <c r="S431" t="s">
        <v>511</v>
      </c>
      <c r="T431">
        <v>849.8</v>
      </c>
      <c r="U431">
        <v>2</v>
      </c>
      <c r="V431">
        <v>0</v>
      </c>
      <c r="W431">
        <v>195.44</v>
      </c>
      <c r="X431">
        <v>294.56599999999997</v>
      </c>
      <c r="Y431" t="s">
        <v>53</v>
      </c>
      <c r="Z431">
        <f>Superstore_Sales[[#This Row],[Sales]]*Superstore_Sales[[#This Row],[Quantity]]</f>
        <v>1699.6</v>
      </c>
      <c r="AA431" s="3">
        <f>Superstore_Sales[[#This Row],[TotalSales]]*Superstore_Sales[[#This Row],[Discount]]/100</f>
        <v>0</v>
      </c>
      <c r="AB431" s="2">
        <f>Superstore_Sales[[#This Row],[TotalSales]]-Superstore_Sales[[#This Row],[Dis_amt]]-Superstore_Sales[[#This Row],[Shipping Cost]]</f>
        <v>1405.0339999999999</v>
      </c>
    </row>
    <row r="432" spans="1:28" x14ac:dyDescent="0.35">
      <c r="A432">
        <v>21344</v>
      </c>
      <c r="B432" t="s">
        <v>2290</v>
      </c>
      <c r="C432" s="1">
        <v>41728</v>
      </c>
      <c r="D432" s="1">
        <v>41730</v>
      </c>
      <c r="E432">
        <f>Superstore_Sales[[#This Row],[Ship Date]]-Superstore_Sales[[#This Row],[Order Date]]</f>
        <v>2</v>
      </c>
      <c r="F432" t="s">
        <v>25</v>
      </c>
      <c r="G432" t="s">
        <v>1064</v>
      </c>
      <c r="H432" t="s">
        <v>1065</v>
      </c>
      <c r="I432" t="s">
        <v>65</v>
      </c>
      <c r="K432" t="s">
        <v>86</v>
      </c>
      <c r="L432" t="s">
        <v>45</v>
      </c>
      <c r="M432" t="s">
        <v>46</v>
      </c>
      <c r="N432" t="s">
        <v>47</v>
      </c>
      <c r="O432" t="s">
        <v>48</v>
      </c>
      <c r="P432" t="s">
        <v>335</v>
      </c>
      <c r="Q432" t="s">
        <v>50</v>
      </c>
      <c r="R432" t="s">
        <v>336</v>
      </c>
      <c r="S432" t="s">
        <v>337</v>
      </c>
      <c r="T432">
        <v>1177.17</v>
      </c>
      <c r="U432">
        <v>3</v>
      </c>
      <c r="V432">
        <v>0.1</v>
      </c>
      <c r="W432">
        <v>353.13</v>
      </c>
      <c r="X432">
        <v>294.55</v>
      </c>
      <c r="Y432" t="s">
        <v>61</v>
      </c>
      <c r="Z432">
        <f>Superstore_Sales[[#This Row],[Sales]]*Superstore_Sales[[#This Row],[Quantity]]</f>
        <v>3531.51</v>
      </c>
      <c r="AA432" s="3">
        <f>Superstore_Sales[[#This Row],[TotalSales]]*Superstore_Sales[[#This Row],[Discount]]/100</f>
        <v>3.5315100000000008</v>
      </c>
      <c r="AB432" s="2">
        <f>Superstore_Sales[[#This Row],[TotalSales]]-Superstore_Sales[[#This Row],[Dis_amt]]-Superstore_Sales[[#This Row],[Shipping Cost]]</f>
        <v>3233.4284900000002</v>
      </c>
    </row>
    <row r="433" spans="1:28" x14ac:dyDescent="0.35">
      <c r="A433">
        <v>21328</v>
      </c>
      <c r="B433" t="s">
        <v>2291</v>
      </c>
      <c r="C433" s="1">
        <v>41870</v>
      </c>
      <c r="D433" s="1">
        <v>41872</v>
      </c>
      <c r="E433">
        <f>Superstore_Sales[[#This Row],[Ship Date]]-Superstore_Sales[[#This Row],[Order Date]]</f>
        <v>2</v>
      </c>
      <c r="F433" t="s">
        <v>40</v>
      </c>
      <c r="G433" t="s">
        <v>2292</v>
      </c>
      <c r="H433" t="s">
        <v>2293</v>
      </c>
      <c r="I433" t="s">
        <v>43</v>
      </c>
      <c r="K433" t="s">
        <v>1761</v>
      </c>
      <c r="L433" t="s">
        <v>1762</v>
      </c>
      <c r="M433" t="s">
        <v>1763</v>
      </c>
      <c r="N433" t="s">
        <v>118</v>
      </c>
      <c r="O433" t="s">
        <v>48</v>
      </c>
      <c r="P433" t="s">
        <v>267</v>
      </c>
      <c r="Q433" t="s">
        <v>35</v>
      </c>
      <c r="R433" t="s">
        <v>36</v>
      </c>
      <c r="S433" t="s">
        <v>268</v>
      </c>
      <c r="T433">
        <v>2863.08</v>
      </c>
      <c r="U433">
        <v>9</v>
      </c>
      <c r="V433">
        <v>0.5</v>
      </c>
      <c r="W433">
        <v>-458.19</v>
      </c>
      <c r="X433">
        <v>293.77999999999997</v>
      </c>
      <c r="Y433" t="s">
        <v>61</v>
      </c>
      <c r="Z433">
        <f>Superstore_Sales[[#This Row],[Sales]]*Superstore_Sales[[#This Row],[Quantity]]</f>
        <v>25767.72</v>
      </c>
      <c r="AA433" s="3">
        <f>Superstore_Sales[[#This Row],[TotalSales]]*Superstore_Sales[[#This Row],[Discount]]/100</f>
        <v>128.83860000000001</v>
      </c>
      <c r="AB433" s="2">
        <f>Superstore_Sales[[#This Row],[TotalSales]]-Superstore_Sales[[#This Row],[Dis_amt]]-Superstore_Sales[[#This Row],[Shipping Cost]]</f>
        <v>25345.101400000003</v>
      </c>
    </row>
    <row r="434" spans="1:28" x14ac:dyDescent="0.35">
      <c r="A434">
        <v>11232</v>
      </c>
      <c r="B434" t="s">
        <v>2294</v>
      </c>
      <c r="C434" s="1">
        <v>42153</v>
      </c>
      <c r="D434" s="1">
        <v>42155</v>
      </c>
      <c r="E434">
        <f>Superstore_Sales[[#This Row],[Ship Date]]-Superstore_Sales[[#This Row],[Order Date]]</f>
        <v>2</v>
      </c>
      <c r="F434" t="s">
        <v>40</v>
      </c>
      <c r="G434" t="s">
        <v>2295</v>
      </c>
      <c r="H434" t="s">
        <v>2296</v>
      </c>
      <c r="I434" t="s">
        <v>65</v>
      </c>
      <c r="K434" t="s">
        <v>2297</v>
      </c>
      <c r="L434" t="s">
        <v>651</v>
      </c>
      <c r="M434" t="s">
        <v>155</v>
      </c>
      <c r="N434" t="s">
        <v>68</v>
      </c>
      <c r="O434" t="s">
        <v>69</v>
      </c>
      <c r="P434" t="s">
        <v>2298</v>
      </c>
      <c r="Q434" t="s">
        <v>147</v>
      </c>
      <c r="R434" t="s">
        <v>148</v>
      </c>
      <c r="S434" t="s">
        <v>2299</v>
      </c>
      <c r="T434">
        <v>1253.07</v>
      </c>
      <c r="U434">
        <v>5</v>
      </c>
      <c r="V434">
        <v>0.1</v>
      </c>
      <c r="W434">
        <v>236.67</v>
      </c>
      <c r="X434">
        <v>293.45999999999998</v>
      </c>
      <c r="Y434" t="s">
        <v>53</v>
      </c>
      <c r="Z434">
        <f>Superstore_Sales[[#This Row],[Sales]]*Superstore_Sales[[#This Row],[Quantity]]</f>
        <v>6265.3499999999995</v>
      </c>
      <c r="AA434" s="3">
        <f>Superstore_Sales[[#This Row],[TotalSales]]*Superstore_Sales[[#This Row],[Discount]]/100</f>
        <v>6.2653499999999998</v>
      </c>
      <c r="AB434" s="2">
        <f>Superstore_Sales[[#This Row],[TotalSales]]-Superstore_Sales[[#This Row],[Dis_amt]]-Superstore_Sales[[#This Row],[Shipping Cost]]</f>
        <v>5965.6246499999997</v>
      </c>
    </row>
    <row r="435" spans="1:28" x14ac:dyDescent="0.35">
      <c r="A435">
        <v>47098</v>
      </c>
      <c r="B435" t="s">
        <v>2300</v>
      </c>
      <c r="C435" s="1">
        <v>41508</v>
      </c>
      <c r="D435" s="1">
        <v>41515</v>
      </c>
      <c r="E435">
        <f>Superstore_Sales[[#This Row],[Ship Date]]-Superstore_Sales[[#This Row],[Order Date]]</f>
        <v>7</v>
      </c>
      <c r="F435" t="s">
        <v>98</v>
      </c>
      <c r="G435" t="s">
        <v>2301</v>
      </c>
      <c r="H435" t="s">
        <v>2302</v>
      </c>
      <c r="I435" t="s">
        <v>65</v>
      </c>
      <c r="K435" t="s">
        <v>2303</v>
      </c>
      <c r="L435" t="s">
        <v>2303</v>
      </c>
      <c r="M435" t="s">
        <v>391</v>
      </c>
      <c r="N435" t="s">
        <v>118</v>
      </c>
      <c r="O435" t="s">
        <v>48</v>
      </c>
      <c r="P435" t="s">
        <v>287</v>
      </c>
      <c r="Q435" t="s">
        <v>147</v>
      </c>
      <c r="R435" t="s">
        <v>148</v>
      </c>
      <c r="S435" t="s">
        <v>288</v>
      </c>
      <c r="T435">
        <v>3369.24</v>
      </c>
      <c r="U435">
        <v>6</v>
      </c>
      <c r="V435">
        <v>0</v>
      </c>
      <c r="W435">
        <v>606.41999999999996</v>
      </c>
      <c r="X435">
        <v>293.12</v>
      </c>
      <c r="Y435" t="s">
        <v>164</v>
      </c>
      <c r="Z435">
        <f>Superstore_Sales[[#This Row],[Sales]]*Superstore_Sales[[#This Row],[Quantity]]</f>
        <v>20215.439999999999</v>
      </c>
      <c r="AA435" s="3">
        <f>Superstore_Sales[[#This Row],[TotalSales]]*Superstore_Sales[[#This Row],[Discount]]/100</f>
        <v>0</v>
      </c>
      <c r="AB435" s="2">
        <f>Superstore_Sales[[#This Row],[TotalSales]]-Superstore_Sales[[#This Row],[Dis_amt]]-Superstore_Sales[[#This Row],[Shipping Cost]]</f>
        <v>19922.32</v>
      </c>
    </row>
    <row r="436" spans="1:28" x14ac:dyDescent="0.35">
      <c r="A436">
        <v>48982</v>
      </c>
      <c r="B436" t="s">
        <v>2304</v>
      </c>
      <c r="C436" s="1">
        <v>42190</v>
      </c>
      <c r="D436" s="1">
        <v>42190</v>
      </c>
      <c r="E436">
        <f>Superstore_Sales[[#This Row],[Ship Date]]-Superstore_Sales[[#This Row],[Order Date]]</f>
        <v>0</v>
      </c>
      <c r="F436" t="s">
        <v>73</v>
      </c>
      <c r="G436" t="s">
        <v>2305</v>
      </c>
      <c r="H436" t="s">
        <v>2306</v>
      </c>
      <c r="I436" t="s">
        <v>28</v>
      </c>
      <c r="K436" t="s">
        <v>2307</v>
      </c>
      <c r="L436" t="s">
        <v>2308</v>
      </c>
      <c r="M436" t="s">
        <v>2309</v>
      </c>
      <c r="N436" t="s">
        <v>1100</v>
      </c>
      <c r="O436" t="s">
        <v>79</v>
      </c>
      <c r="P436" t="s">
        <v>2310</v>
      </c>
      <c r="Q436" t="s">
        <v>35</v>
      </c>
      <c r="R436" t="s">
        <v>304</v>
      </c>
      <c r="S436" t="s">
        <v>2311</v>
      </c>
      <c r="T436">
        <v>1464.12</v>
      </c>
      <c r="U436">
        <v>6</v>
      </c>
      <c r="V436">
        <v>0</v>
      </c>
      <c r="W436">
        <v>439.2</v>
      </c>
      <c r="X436">
        <v>293.07</v>
      </c>
      <c r="Y436" t="s">
        <v>38</v>
      </c>
      <c r="Z436">
        <f>Superstore_Sales[[#This Row],[Sales]]*Superstore_Sales[[#This Row],[Quantity]]</f>
        <v>8784.7199999999993</v>
      </c>
      <c r="AA436" s="3">
        <f>Superstore_Sales[[#This Row],[TotalSales]]*Superstore_Sales[[#This Row],[Discount]]/100</f>
        <v>0</v>
      </c>
      <c r="AB436" s="2">
        <f>Superstore_Sales[[#This Row],[TotalSales]]-Superstore_Sales[[#This Row],[Dis_amt]]-Superstore_Sales[[#This Row],[Shipping Cost]]</f>
        <v>8491.65</v>
      </c>
    </row>
    <row r="437" spans="1:28" x14ac:dyDescent="0.35">
      <c r="A437">
        <v>20230</v>
      </c>
      <c r="B437" t="s">
        <v>2312</v>
      </c>
      <c r="C437" s="1">
        <v>41347</v>
      </c>
      <c r="D437" s="1">
        <v>41350</v>
      </c>
      <c r="E437">
        <f>Superstore_Sales[[#This Row],[Ship Date]]-Superstore_Sales[[#This Row],[Order Date]]</f>
        <v>3</v>
      </c>
      <c r="F437" t="s">
        <v>25</v>
      </c>
      <c r="G437" t="s">
        <v>2313</v>
      </c>
      <c r="H437" t="s">
        <v>775</v>
      </c>
      <c r="I437" t="s">
        <v>28</v>
      </c>
      <c r="K437" t="s">
        <v>2314</v>
      </c>
      <c r="L437" t="s">
        <v>689</v>
      </c>
      <c r="M437" t="s">
        <v>690</v>
      </c>
      <c r="N437" t="s">
        <v>68</v>
      </c>
      <c r="O437" t="s">
        <v>69</v>
      </c>
      <c r="P437" t="s">
        <v>1160</v>
      </c>
      <c r="Q437" t="s">
        <v>50</v>
      </c>
      <c r="R437" t="s">
        <v>336</v>
      </c>
      <c r="S437" t="s">
        <v>1161</v>
      </c>
      <c r="T437">
        <v>1273.1300000000001</v>
      </c>
      <c r="U437">
        <v>7</v>
      </c>
      <c r="V437">
        <v>0.5</v>
      </c>
      <c r="W437">
        <v>-993.2</v>
      </c>
      <c r="X437">
        <v>291.93</v>
      </c>
      <c r="Y437" t="s">
        <v>38</v>
      </c>
      <c r="Z437">
        <f>Superstore_Sales[[#This Row],[Sales]]*Superstore_Sales[[#This Row],[Quantity]]</f>
        <v>8911.91</v>
      </c>
      <c r="AA437" s="3">
        <f>Superstore_Sales[[#This Row],[TotalSales]]*Superstore_Sales[[#This Row],[Discount]]/100</f>
        <v>44.559550000000002</v>
      </c>
      <c r="AB437" s="2">
        <f>Superstore_Sales[[#This Row],[TotalSales]]-Superstore_Sales[[#This Row],[Dis_amt]]-Superstore_Sales[[#This Row],[Shipping Cost]]</f>
        <v>8575.4204499999996</v>
      </c>
    </row>
    <row r="438" spans="1:28" x14ac:dyDescent="0.35">
      <c r="A438">
        <v>43099</v>
      </c>
      <c r="B438" t="s">
        <v>2315</v>
      </c>
      <c r="C438" s="1">
        <v>42139</v>
      </c>
      <c r="D438" s="1">
        <v>42139</v>
      </c>
      <c r="E438">
        <f>Superstore_Sales[[#This Row],[Ship Date]]-Superstore_Sales[[#This Row],[Order Date]]</f>
        <v>0</v>
      </c>
      <c r="F438" t="s">
        <v>73</v>
      </c>
      <c r="G438" t="s">
        <v>2316</v>
      </c>
      <c r="H438" t="s">
        <v>1297</v>
      </c>
      <c r="I438" t="s">
        <v>28</v>
      </c>
      <c r="K438" t="s">
        <v>2317</v>
      </c>
      <c r="L438" t="s">
        <v>1133</v>
      </c>
      <c r="M438" t="s">
        <v>1134</v>
      </c>
      <c r="N438" t="s">
        <v>1134</v>
      </c>
      <c r="O438" t="s">
        <v>33</v>
      </c>
      <c r="P438" t="s">
        <v>2318</v>
      </c>
      <c r="Q438" t="s">
        <v>147</v>
      </c>
      <c r="R438" t="s">
        <v>431</v>
      </c>
      <c r="S438" t="s">
        <v>2319</v>
      </c>
      <c r="T438">
        <v>29.94</v>
      </c>
      <c r="U438">
        <v>2</v>
      </c>
      <c r="V438">
        <v>0</v>
      </c>
      <c r="W438">
        <v>10.74</v>
      </c>
      <c r="X438">
        <v>5.81</v>
      </c>
      <c r="Y438" t="s">
        <v>38</v>
      </c>
      <c r="Z438">
        <f>Superstore_Sales[[#This Row],[Sales]]*Superstore_Sales[[#This Row],[Quantity]]</f>
        <v>59.88</v>
      </c>
      <c r="AA438" s="3">
        <f>Superstore_Sales[[#This Row],[TotalSales]]*Superstore_Sales[[#This Row],[Discount]]/100</f>
        <v>0</v>
      </c>
      <c r="AB438" s="2">
        <f>Superstore_Sales[[#This Row],[TotalSales]]-Superstore_Sales[[#This Row],[Dis_amt]]-Superstore_Sales[[#This Row],[Shipping Cost]]</f>
        <v>54.07</v>
      </c>
    </row>
    <row r="439" spans="1:28" x14ac:dyDescent="0.35">
      <c r="A439">
        <v>2375</v>
      </c>
      <c r="B439" t="s">
        <v>2320</v>
      </c>
      <c r="C439" s="1">
        <v>42263</v>
      </c>
      <c r="D439" s="1">
        <v>42265</v>
      </c>
      <c r="E439">
        <f>Superstore_Sales[[#This Row],[Ship Date]]-Superstore_Sales[[#This Row],[Order Date]]</f>
        <v>2</v>
      </c>
      <c r="F439" t="s">
        <v>25</v>
      </c>
      <c r="G439" t="s">
        <v>2321</v>
      </c>
      <c r="H439" t="s">
        <v>2149</v>
      </c>
      <c r="I439" t="s">
        <v>43</v>
      </c>
      <c r="K439" t="s">
        <v>2322</v>
      </c>
      <c r="L439" t="s">
        <v>2323</v>
      </c>
      <c r="M439" t="s">
        <v>896</v>
      </c>
      <c r="N439" t="s">
        <v>220</v>
      </c>
      <c r="O439" t="s">
        <v>136</v>
      </c>
      <c r="P439" t="s">
        <v>1876</v>
      </c>
      <c r="Q439" t="s">
        <v>35</v>
      </c>
      <c r="R439" t="s">
        <v>81</v>
      </c>
      <c r="S439" t="s">
        <v>1877</v>
      </c>
      <c r="T439">
        <v>1258.78</v>
      </c>
      <c r="U439">
        <v>5</v>
      </c>
      <c r="V439">
        <v>2E-3</v>
      </c>
      <c r="W439">
        <v>375.78</v>
      </c>
      <c r="X439">
        <v>291.63099999999997</v>
      </c>
      <c r="Y439" t="s">
        <v>38</v>
      </c>
      <c r="Z439">
        <f>Superstore_Sales[[#This Row],[Sales]]*Superstore_Sales[[#This Row],[Quantity]]</f>
        <v>6293.9</v>
      </c>
      <c r="AA439" s="3">
        <f>Superstore_Sales[[#This Row],[TotalSales]]*Superstore_Sales[[#This Row],[Discount]]/100</f>
        <v>0.12587799999999999</v>
      </c>
      <c r="AB439" s="2">
        <f>Superstore_Sales[[#This Row],[TotalSales]]-Superstore_Sales[[#This Row],[Dis_amt]]-Superstore_Sales[[#This Row],[Shipping Cost]]</f>
        <v>6002.1431219999995</v>
      </c>
    </row>
    <row r="440" spans="1:28" x14ac:dyDescent="0.35">
      <c r="A440">
        <v>22855</v>
      </c>
      <c r="B440" t="s">
        <v>2324</v>
      </c>
      <c r="C440" s="1">
        <v>42223</v>
      </c>
      <c r="D440" s="1">
        <v>42228</v>
      </c>
      <c r="E440">
        <f>Superstore_Sales[[#This Row],[Ship Date]]-Superstore_Sales[[#This Row],[Order Date]]</f>
        <v>5</v>
      </c>
      <c r="F440" t="s">
        <v>98</v>
      </c>
      <c r="G440" t="s">
        <v>2325</v>
      </c>
      <c r="H440" t="s">
        <v>1020</v>
      </c>
      <c r="I440" t="s">
        <v>28</v>
      </c>
      <c r="K440" t="s">
        <v>1761</v>
      </c>
      <c r="L440" t="s">
        <v>1762</v>
      </c>
      <c r="M440" t="s">
        <v>1763</v>
      </c>
      <c r="N440" t="s">
        <v>118</v>
      </c>
      <c r="O440" t="s">
        <v>48</v>
      </c>
      <c r="P440" t="s">
        <v>2326</v>
      </c>
      <c r="Q440" t="s">
        <v>50</v>
      </c>
      <c r="R440" t="s">
        <v>51</v>
      </c>
      <c r="S440" t="s">
        <v>2327</v>
      </c>
      <c r="T440">
        <v>2584.0100000000002</v>
      </c>
      <c r="U440">
        <v>7</v>
      </c>
      <c r="V440">
        <v>0.2</v>
      </c>
      <c r="W440">
        <v>290.60000000000002</v>
      </c>
      <c r="X440">
        <v>291.06</v>
      </c>
      <c r="Y440" t="s">
        <v>61</v>
      </c>
      <c r="Z440">
        <f>Superstore_Sales[[#This Row],[Sales]]*Superstore_Sales[[#This Row],[Quantity]]</f>
        <v>18088.07</v>
      </c>
      <c r="AA440" s="3">
        <f>Superstore_Sales[[#This Row],[TotalSales]]*Superstore_Sales[[#This Row],[Discount]]/100</f>
        <v>36.176140000000004</v>
      </c>
      <c r="AB440" s="2">
        <f>Superstore_Sales[[#This Row],[TotalSales]]-Superstore_Sales[[#This Row],[Dis_amt]]-Superstore_Sales[[#This Row],[Shipping Cost]]</f>
        <v>17760.833859999999</v>
      </c>
    </row>
    <row r="441" spans="1:28" x14ac:dyDescent="0.35">
      <c r="A441">
        <v>28076</v>
      </c>
      <c r="B441" t="s">
        <v>2328</v>
      </c>
      <c r="C441" s="1">
        <v>41891</v>
      </c>
      <c r="D441" s="1">
        <v>41891</v>
      </c>
      <c r="E441">
        <f>Superstore_Sales[[#This Row],[Ship Date]]-Superstore_Sales[[#This Row],[Order Date]]</f>
        <v>0</v>
      </c>
      <c r="F441" t="s">
        <v>73</v>
      </c>
      <c r="G441" t="s">
        <v>2329</v>
      </c>
      <c r="H441" t="s">
        <v>571</v>
      </c>
      <c r="I441" t="s">
        <v>28</v>
      </c>
      <c r="K441" t="s">
        <v>609</v>
      </c>
      <c r="L441" t="s">
        <v>610</v>
      </c>
      <c r="M441" t="s">
        <v>611</v>
      </c>
      <c r="N441" t="s">
        <v>322</v>
      </c>
      <c r="O441" t="s">
        <v>48</v>
      </c>
      <c r="P441" t="s">
        <v>2330</v>
      </c>
      <c r="Q441" t="s">
        <v>35</v>
      </c>
      <c r="R441" t="s">
        <v>81</v>
      </c>
      <c r="S441" t="s">
        <v>2331</v>
      </c>
      <c r="T441">
        <v>1482.39</v>
      </c>
      <c r="U441">
        <v>6</v>
      </c>
      <c r="V441">
        <v>0.35</v>
      </c>
      <c r="W441">
        <v>68.31</v>
      </c>
      <c r="X441">
        <v>290.69</v>
      </c>
      <c r="Y441" t="s">
        <v>38</v>
      </c>
      <c r="Z441">
        <f>Superstore_Sales[[#This Row],[Sales]]*Superstore_Sales[[#This Row],[Quantity]]</f>
        <v>8894.34</v>
      </c>
      <c r="AA441" s="3">
        <f>Superstore_Sales[[#This Row],[TotalSales]]*Superstore_Sales[[#This Row],[Discount]]/100</f>
        <v>31.130189999999999</v>
      </c>
      <c r="AB441" s="2">
        <f>Superstore_Sales[[#This Row],[TotalSales]]-Superstore_Sales[[#This Row],[Dis_amt]]-Superstore_Sales[[#This Row],[Shipping Cost]]</f>
        <v>8572.5198099999998</v>
      </c>
    </row>
    <row r="442" spans="1:28" x14ac:dyDescent="0.35">
      <c r="A442">
        <v>9435</v>
      </c>
      <c r="B442" t="s">
        <v>2332</v>
      </c>
      <c r="C442" s="1">
        <v>42255</v>
      </c>
      <c r="D442" s="1">
        <v>42258</v>
      </c>
      <c r="E442">
        <f>Superstore_Sales[[#This Row],[Ship Date]]-Superstore_Sales[[#This Row],[Order Date]]</f>
        <v>3</v>
      </c>
      <c r="F442" t="s">
        <v>25</v>
      </c>
      <c r="G442" t="s">
        <v>2333</v>
      </c>
      <c r="H442" t="s">
        <v>1480</v>
      </c>
      <c r="I442" t="s">
        <v>28</v>
      </c>
      <c r="K442" t="s">
        <v>2334</v>
      </c>
      <c r="L442" t="s">
        <v>2335</v>
      </c>
      <c r="M442" t="s">
        <v>228</v>
      </c>
      <c r="N442" t="s">
        <v>220</v>
      </c>
      <c r="O442" t="s">
        <v>136</v>
      </c>
      <c r="P442" t="s">
        <v>510</v>
      </c>
      <c r="Q442" t="s">
        <v>35</v>
      </c>
      <c r="R442" t="s">
        <v>36</v>
      </c>
      <c r="S442" t="s">
        <v>511</v>
      </c>
      <c r="T442">
        <v>1274.7</v>
      </c>
      <c r="U442">
        <v>3</v>
      </c>
      <c r="V442">
        <v>0</v>
      </c>
      <c r="W442">
        <v>293.16000000000003</v>
      </c>
      <c r="X442">
        <v>290.52300000000002</v>
      </c>
      <c r="Y442" t="s">
        <v>53</v>
      </c>
      <c r="Z442">
        <f>Superstore_Sales[[#This Row],[Sales]]*Superstore_Sales[[#This Row],[Quantity]]</f>
        <v>3824.1000000000004</v>
      </c>
      <c r="AA442" s="3">
        <f>Superstore_Sales[[#This Row],[TotalSales]]*Superstore_Sales[[#This Row],[Discount]]/100</f>
        <v>0</v>
      </c>
      <c r="AB442" s="2">
        <f>Superstore_Sales[[#This Row],[TotalSales]]-Superstore_Sales[[#This Row],[Dis_amt]]-Superstore_Sales[[#This Row],[Shipping Cost]]</f>
        <v>3533.5770000000002</v>
      </c>
    </row>
    <row r="443" spans="1:28" x14ac:dyDescent="0.35">
      <c r="A443">
        <v>6019</v>
      </c>
      <c r="B443" t="s">
        <v>2336</v>
      </c>
      <c r="C443" s="1">
        <v>41564</v>
      </c>
      <c r="D443" s="1">
        <v>41568</v>
      </c>
      <c r="E443">
        <f>Superstore_Sales[[#This Row],[Ship Date]]-Superstore_Sales[[#This Row],[Order Date]]</f>
        <v>4</v>
      </c>
      <c r="F443" t="s">
        <v>98</v>
      </c>
      <c r="G443" t="s">
        <v>2337</v>
      </c>
      <c r="H443" t="s">
        <v>980</v>
      </c>
      <c r="I443" t="s">
        <v>28</v>
      </c>
      <c r="K443" t="s">
        <v>2338</v>
      </c>
      <c r="L443" t="s">
        <v>2338</v>
      </c>
      <c r="M443" t="s">
        <v>1440</v>
      </c>
      <c r="N443" t="s">
        <v>266</v>
      </c>
      <c r="O443" t="s">
        <v>136</v>
      </c>
      <c r="P443" t="s">
        <v>259</v>
      </c>
      <c r="Q443" t="s">
        <v>50</v>
      </c>
      <c r="R443" t="s">
        <v>51</v>
      </c>
      <c r="S443" t="s">
        <v>260</v>
      </c>
      <c r="T443">
        <v>2818.08</v>
      </c>
      <c r="U443">
        <v>9</v>
      </c>
      <c r="V443">
        <v>0</v>
      </c>
      <c r="W443">
        <v>225.36</v>
      </c>
      <c r="X443">
        <v>289.51499999999999</v>
      </c>
      <c r="Y443" t="s">
        <v>38</v>
      </c>
      <c r="Z443">
        <f>Superstore_Sales[[#This Row],[Sales]]*Superstore_Sales[[#This Row],[Quantity]]</f>
        <v>25362.720000000001</v>
      </c>
      <c r="AA443" s="3">
        <f>Superstore_Sales[[#This Row],[TotalSales]]*Superstore_Sales[[#This Row],[Discount]]/100</f>
        <v>0</v>
      </c>
      <c r="AB443" s="2">
        <f>Superstore_Sales[[#This Row],[TotalSales]]-Superstore_Sales[[#This Row],[Dis_amt]]-Superstore_Sales[[#This Row],[Shipping Cost]]</f>
        <v>25073.205000000002</v>
      </c>
    </row>
    <row r="444" spans="1:28" x14ac:dyDescent="0.35">
      <c r="A444">
        <v>24435</v>
      </c>
      <c r="B444" t="s">
        <v>2339</v>
      </c>
      <c r="C444" s="1">
        <v>42052</v>
      </c>
      <c r="D444" s="1">
        <v>42053</v>
      </c>
      <c r="E444">
        <f>Superstore_Sales[[#This Row],[Ship Date]]-Superstore_Sales[[#This Row],[Order Date]]</f>
        <v>1</v>
      </c>
      <c r="F444" t="s">
        <v>25</v>
      </c>
      <c r="G444" t="s">
        <v>2340</v>
      </c>
      <c r="H444" t="s">
        <v>2341</v>
      </c>
      <c r="I444" t="s">
        <v>28</v>
      </c>
      <c r="K444" t="s">
        <v>2342</v>
      </c>
      <c r="L444" t="s">
        <v>2343</v>
      </c>
      <c r="M444" t="s">
        <v>611</v>
      </c>
      <c r="N444" t="s">
        <v>322</v>
      </c>
      <c r="O444" t="s">
        <v>48</v>
      </c>
      <c r="P444" t="s">
        <v>359</v>
      </c>
      <c r="Q444" t="s">
        <v>50</v>
      </c>
      <c r="R444" t="s">
        <v>51</v>
      </c>
      <c r="S444" t="s">
        <v>360</v>
      </c>
      <c r="T444">
        <v>1046.25</v>
      </c>
      <c r="U444">
        <v>3</v>
      </c>
      <c r="V444">
        <v>0.25</v>
      </c>
      <c r="W444">
        <v>-111.6</v>
      </c>
      <c r="X444">
        <v>289.32</v>
      </c>
      <c r="Y444" t="s">
        <v>38</v>
      </c>
      <c r="Z444">
        <f>Superstore_Sales[[#This Row],[Sales]]*Superstore_Sales[[#This Row],[Quantity]]</f>
        <v>3138.75</v>
      </c>
      <c r="AA444" s="3">
        <f>Superstore_Sales[[#This Row],[TotalSales]]*Superstore_Sales[[#This Row],[Discount]]/100</f>
        <v>7.8468749999999998</v>
      </c>
      <c r="AB444" s="2">
        <f>Superstore_Sales[[#This Row],[TotalSales]]-Superstore_Sales[[#This Row],[Dis_amt]]-Superstore_Sales[[#This Row],[Shipping Cost]]</f>
        <v>2841.5831249999997</v>
      </c>
    </row>
    <row r="445" spans="1:28" x14ac:dyDescent="0.35">
      <c r="A445">
        <v>22711</v>
      </c>
      <c r="B445" t="s">
        <v>2344</v>
      </c>
      <c r="C445" s="1">
        <v>41328</v>
      </c>
      <c r="D445" s="1">
        <v>41333</v>
      </c>
      <c r="E445">
        <f>Superstore_Sales[[#This Row],[Ship Date]]-Superstore_Sales[[#This Row],[Order Date]]</f>
        <v>5</v>
      </c>
      <c r="F445" t="s">
        <v>98</v>
      </c>
      <c r="G445" t="s">
        <v>2345</v>
      </c>
      <c r="H445" t="s">
        <v>2346</v>
      </c>
      <c r="I445" t="s">
        <v>28</v>
      </c>
      <c r="K445" t="s">
        <v>2038</v>
      </c>
      <c r="L445" t="s">
        <v>1946</v>
      </c>
      <c r="M445" t="s">
        <v>258</v>
      </c>
      <c r="N445" t="s">
        <v>118</v>
      </c>
      <c r="O445" t="s">
        <v>48</v>
      </c>
      <c r="P445" t="s">
        <v>652</v>
      </c>
      <c r="Q445" t="s">
        <v>35</v>
      </c>
      <c r="R445" t="s">
        <v>36</v>
      </c>
      <c r="S445" t="s">
        <v>653</v>
      </c>
      <c r="T445">
        <v>3187.2</v>
      </c>
      <c r="U445">
        <v>5</v>
      </c>
      <c r="V445">
        <v>0</v>
      </c>
      <c r="W445">
        <v>541.79999999999995</v>
      </c>
      <c r="X445">
        <v>289.17</v>
      </c>
      <c r="Y445" t="s">
        <v>61</v>
      </c>
      <c r="Z445">
        <f>Superstore_Sales[[#This Row],[Sales]]*Superstore_Sales[[#This Row],[Quantity]]</f>
        <v>15936</v>
      </c>
      <c r="AA445" s="3">
        <f>Superstore_Sales[[#This Row],[TotalSales]]*Superstore_Sales[[#This Row],[Discount]]/100</f>
        <v>0</v>
      </c>
      <c r="AB445" s="2">
        <f>Superstore_Sales[[#This Row],[TotalSales]]-Superstore_Sales[[#This Row],[Dis_amt]]-Superstore_Sales[[#This Row],[Shipping Cost]]</f>
        <v>15646.83</v>
      </c>
    </row>
    <row r="446" spans="1:28" x14ac:dyDescent="0.35">
      <c r="A446">
        <v>21884</v>
      </c>
      <c r="B446" t="s">
        <v>2347</v>
      </c>
      <c r="C446" s="1">
        <v>41611</v>
      </c>
      <c r="D446" s="1">
        <v>41618</v>
      </c>
      <c r="E446">
        <f>Superstore_Sales[[#This Row],[Ship Date]]-Superstore_Sales[[#This Row],[Order Date]]</f>
        <v>7</v>
      </c>
      <c r="F446" t="s">
        <v>98</v>
      </c>
      <c r="G446" t="s">
        <v>2348</v>
      </c>
      <c r="H446" t="s">
        <v>2349</v>
      </c>
      <c r="I446" t="s">
        <v>43</v>
      </c>
      <c r="K446" t="s">
        <v>2350</v>
      </c>
      <c r="L446" t="s">
        <v>417</v>
      </c>
      <c r="M446" t="s">
        <v>46</v>
      </c>
      <c r="N446" t="s">
        <v>47</v>
      </c>
      <c r="O446" t="s">
        <v>48</v>
      </c>
      <c r="P446" t="s">
        <v>95</v>
      </c>
      <c r="Q446" t="s">
        <v>50</v>
      </c>
      <c r="R446" t="s">
        <v>51</v>
      </c>
      <c r="S446" t="s">
        <v>96</v>
      </c>
      <c r="T446">
        <v>4099.68</v>
      </c>
      <c r="U446">
        <v>10</v>
      </c>
      <c r="V446">
        <v>0.1</v>
      </c>
      <c r="W446">
        <v>956.58</v>
      </c>
      <c r="X446">
        <v>288.98</v>
      </c>
      <c r="Y446" t="s">
        <v>61</v>
      </c>
      <c r="Z446">
        <f>Superstore_Sales[[#This Row],[Sales]]*Superstore_Sales[[#This Row],[Quantity]]</f>
        <v>40996.800000000003</v>
      </c>
      <c r="AA446" s="3">
        <f>Superstore_Sales[[#This Row],[TotalSales]]*Superstore_Sales[[#This Row],[Discount]]/100</f>
        <v>40.9968</v>
      </c>
      <c r="AB446" s="2">
        <f>Superstore_Sales[[#This Row],[TotalSales]]-Superstore_Sales[[#This Row],[Dis_amt]]-Superstore_Sales[[#This Row],[Shipping Cost]]</f>
        <v>40666.823199999999</v>
      </c>
    </row>
    <row r="447" spans="1:28" x14ac:dyDescent="0.35">
      <c r="A447">
        <v>23285</v>
      </c>
      <c r="B447" t="s">
        <v>2351</v>
      </c>
      <c r="C447" s="1">
        <v>41620</v>
      </c>
      <c r="D447" s="1">
        <v>41622</v>
      </c>
      <c r="E447">
        <f>Superstore_Sales[[#This Row],[Ship Date]]-Superstore_Sales[[#This Row],[Order Date]]</f>
        <v>2</v>
      </c>
      <c r="F447" t="s">
        <v>25</v>
      </c>
      <c r="G447" t="s">
        <v>2352</v>
      </c>
      <c r="H447" t="s">
        <v>2353</v>
      </c>
      <c r="I447" t="s">
        <v>28</v>
      </c>
      <c r="K447" t="s">
        <v>449</v>
      </c>
      <c r="L447" t="s">
        <v>450</v>
      </c>
      <c r="M447" t="s">
        <v>144</v>
      </c>
      <c r="N447" t="s">
        <v>145</v>
      </c>
      <c r="O447" t="s">
        <v>48</v>
      </c>
      <c r="P447" t="s">
        <v>1527</v>
      </c>
      <c r="Q447" t="s">
        <v>147</v>
      </c>
      <c r="R447" t="s">
        <v>162</v>
      </c>
      <c r="S447" t="s">
        <v>1528</v>
      </c>
      <c r="T447">
        <v>703.35</v>
      </c>
      <c r="U447">
        <v>5</v>
      </c>
      <c r="V447">
        <v>0</v>
      </c>
      <c r="W447">
        <v>260.10000000000002</v>
      </c>
      <c r="X447">
        <v>288.75</v>
      </c>
      <c r="Y447" t="s">
        <v>53</v>
      </c>
      <c r="Z447">
        <f>Superstore_Sales[[#This Row],[Sales]]*Superstore_Sales[[#This Row],[Quantity]]</f>
        <v>3516.75</v>
      </c>
      <c r="AA447" s="3">
        <f>Superstore_Sales[[#This Row],[TotalSales]]*Superstore_Sales[[#This Row],[Discount]]/100</f>
        <v>0</v>
      </c>
      <c r="AB447" s="2">
        <f>Superstore_Sales[[#This Row],[TotalSales]]-Superstore_Sales[[#This Row],[Dis_amt]]-Superstore_Sales[[#This Row],[Shipping Cost]]</f>
        <v>3228</v>
      </c>
    </row>
    <row r="448" spans="1:28" x14ac:dyDescent="0.35">
      <c r="A448">
        <v>20470</v>
      </c>
      <c r="B448" t="s">
        <v>2354</v>
      </c>
      <c r="C448" s="1">
        <v>42171</v>
      </c>
      <c r="D448" s="1">
        <v>42176</v>
      </c>
      <c r="E448">
        <f>Superstore_Sales[[#This Row],[Ship Date]]-Superstore_Sales[[#This Row],[Order Date]]</f>
        <v>5</v>
      </c>
      <c r="F448" t="s">
        <v>98</v>
      </c>
      <c r="G448" t="s">
        <v>2355</v>
      </c>
      <c r="H448" t="s">
        <v>2356</v>
      </c>
      <c r="I448" t="s">
        <v>43</v>
      </c>
      <c r="K448" t="s">
        <v>86</v>
      </c>
      <c r="L448" t="s">
        <v>45</v>
      </c>
      <c r="M448" t="s">
        <v>46</v>
      </c>
      <c r="N448" t="s">
        <v>47</v>
      </c>
      <c r="O448" t="s">
        <v>48</v>
      </c>
      <c r="P448" t="s">
        <v>311</v>
      </c>
      <c r="Q448" t="s">
        <v>35</v>
      </c>
      <c r="R448" t="s">
        <v>81</v>
      </c>
      <c r="S448" t="s">
        <v>312</v>
      </c>
      <c r="T448">
        <v>2293.4899999999998</v>
      </c>
      <c r="U448">
        <v>8</v>
      </c>
      <c r="V448">
        <v>0.1</v>
      </c>
      <c r="W448">
        <v>509.57</v>
      </c>
      <c r="X448">
        <v>288.63</v>
      </c>
      <c r="Y448" t="s">
        <v>38</v>
      </c>
      <c r="Z448">
        <f>Superstore_Sales[[#This Row],[Sales]]*Superstore_Sales[[#This Row],[Quantity]]</f>
        <v>18347.919999999998</v>
      </c>
      <c r="AA448" s="3">
        <f>Superstore_Sales[[#This Row],[TotalSales]]*Superstore_Sales[[#This Row],[Discount]]/100</f>
        <v>18.347919999999998</v>
      </c>
      <c r="AB448" s="2">
        <f>Superstore_Sales[[#This Row],[TotalSales]]-Superstore_Sales[[#This Row],[Dis_amt]]-Superstore_Sales[[#This Row],[Shipping Cost]]</f>
        <v>18040.942079999997</v>
      </c>
    </row>
    <row r="449" spans="1:28" x14ac:dyDescent="0.35">
      <c r="A449">
        <v>10558</v>
      </c>
      <c r="B449" t="s">
        <v>2357</v>
      </c>
      <c r="C449" s="1">
        <v>41628</v>
      </c>
      <c r="D449" s="1">
        <v>41630</v>
      </c>
      <c r="E449">
        <f>Superstore_Sales[[#This Row],[Ship Date]]-Superstore_Sales[[#This Row],[Order Date]]</f>
        <v>2</v>
      </c>
      <c r="F449" t="s">
        <v>25</v>
      </c>
      <c r="G449" t="s">
        <v>2358</v>
      </c>
      <c r="H449" t="s">
        <v>2359</v>
      </c>
      <c r="I449" t="s">
        <v>43</v>
      </c>
      <c r="K449" t="s">
        <v>2360</v>
      </c>
      <c r="L449" t="s">
        <v>154</v>
      </c>
      <c r="M449" t="s">
        <v>155</v>
      </c>
      <c r="N449" t="s">
        <v>68</v>
      </c>
      <c r="O449" t="s">
        <v>69</v>
      </c>
      <c r="P449" t="s">
        <v>2209</v>
      </c>
      <c r="Q449" t="s">
        <v>35</v>
      </c>
      <c r="R449" t="s">
        <v>275</v>
      </c>
      <c r="S449" t="s">
        <v>2210</v>
      </c>
      <c r="T449">
        <v>1238.6099999999999</v>
      </c>
      <c r="U449">
        <v>9</v>
      </c>
      <c r="V449">
        <v>0.15</v>
      </c>
      <c r="W449">
        <v>14.43</v>
      </c>
      <c r="X449">
        <v>288.47000000000003</v>
      </c>
      <c r="Y449" t="s">
        <v>38</v>
      </c>
      <c r="Z449">
        <f>Superstore_Sales[[#This Row],[Sales]]*Superstore_Sales[[#This Row],[Quantity]]</f>
        <v>11147.49</v>
      </c>
      <c r="AA449" s="3">
        <f>Superstore_Sales[[#This Row],[TotalSales]]*Superstore_Sales[[#This Row],[Discount]]/100</f>
        <v>16.721235</v>
      </c>
      <c r="AB449" s="2">
        <f>Superstore_Sales[[#This Row],[TotalSales]]-Superstore_Sales[[#This Row],[Dis_amt]]-Superstore_Sales[[#This Row],[Shipping Cost]]</f>
        <v>10842.298765</v>
      </c>
    </row>
    <row r="450" spans="1:28" x14ac:dyDescent="0.35">
      <c r="A450">
        <v>4684</v>
      </c>
      <c r="B450" t="s">
        <v>2361</v>
      </c>
      <c r="C450" s="1">
        <v>42137</v>
      </c>
      <c r="D450" s="1">
        <v>42141</v>
      </c>
      <c r="E450">
        <f>Superstore_Sales[[#This Row],[Ship Date]]-Superstore_Sales[[#This Row],[Order Date]]</f>
        <v>4</v>
      </c>
      <c r="F450" t="s">
        <v>98</v>
      </c>
      <c r="G450" t="s">
        <v>2362</v>
      </c>
      <c r="H450" t="s">
        <v>2363</v>
      </c>
      <c r="I450" t="s">
        <v>28</v>
      </c>
      <c r="K450" t="s">
        <v>2288</v>
      </c>
      <c r="L450" t="s">
        <v>2289</v>
      </c>
      <c r="M450" t="s">
        <v>219</v>
      </c>
      <c r="N450" t="s">
        <v>220</v>
      </c>
      <c r="O450" t="s">
        <v>136</v>
      </c>
      <c r="P450" t="s">
        <v>1419</v>
      </c>
      <c r="Q450" t="s">
        <v>50</v>
      </c>
      <c r="R450" t="s">
        <v>51</v>
      </c>
      <c r="S450" t="s">
        <v>1420</v>
      </c>
      <c r="T450">
        <v>1715.06</v>
      </c>
      <c r="U450">
        <v>7</v>
      </c>
      <c r="V450">
        <v>0.2</v>
      </c>
      <c r="W450">
        <v>300.08</v>
      </c>
      <c r="X450">
        <v>288.10300000000001</v>
      </c>
      <c r="Y450" t="s">
        <v>38</v>
      </c>
      <c r="Z450">
        <f>Superstore_Sales[[#This Row],[Sales]]*Superstore_Sales[[#This Row],[Quantity]]</f>
        <v>12005.42</v>
      </c>
      <c r="AA450" s="3">
        <f>Superstore_Sales[[#This Row],[TotalSales]]*Superstore_Sales[[#This Row],[Discount]]/100</f>
        <v>24.010840000000002</v>
      </c>
      <c r="AB450" s="2">
        <f>Superstore_Sales[[#This Row],[TotalSales]]-Superstore_Sales[[#This Row],[Dis_amt]]-Superstore_Sales[[#This Row],[Shipping Cost]]</f>
        <v>11693.30616</v>
      </c>
    </row>
    <row r="451" spans="1:28" x14ac:dyDescent="0.35">
      <c r="A451">
        <v>40504</v>
      </c>
      <c r="B451" t="s">
        <v>2364</v>
      </c>
      <c r="C451" s="1">
        <v>42220</v>
      </c>
      <c r="D451" s="1">
        <v>42224</v>
      </c>
      <c r="E451">
        <f>Superstore_Sales[[#This Row],[Ship Date]]-Superstore_Sales[[#This Row],[Order Date]]</f>
        <v>4</v>
      </c>
      <c r="F451" t="s">
        <v>98</v>
      </c>
      <c r="G451" t="s">
        <v>1991</v>
      </c>
      <c r="H451" t="s">
        <v>1297</v>
      </c>
      <c r="I451" t="s">
        <v>28</v>
      </c>
      <c r="J451">
        <v>61701</v>
      </c>
      <c r="K451" t="s">
        <v>2365</v>
      </c>
      <c r="L451" t="s">
        <v>1720</v>
      </c>
      <c r="M451" t="s">
        <v>31</v>
      </c>
      <c r="N451" t="s">
        <v>32</v>
      </c>
      <c r="O451" t="s">
        <v>33</v>
      </c>
      <c r="P451" t="s">
        <v>2366</v>
      </c>
      <c r="Q451" t="s">
        <v>35</v>
      </c>
      <c r="R451" t="s">
        <v>304</v>
      </c>
      <c r="S451" t="s">
        <v>2367</v>
      </c>
      <c r="T451">
        <v>39.82</v>
      </c>
      <c r="U451">
        <v>3</v>
      </c>
      <c r="V451">
        <v>0.2</v>
      </c>
      <c r="W451">
        <v>7.47</v>
      </c>
      <c r="X451">
        <v>5.7</v>
      </c>
      <c r="Y451" t="s">
        <v>38</v>
      </c>
      <c r="Z451">
        <f>Superstore_Sales[[#This Row],[Sales]]*Superstore_Sales[[#This Row],[Quantity]]</f>
        <v>119.46000000000001</v>
      </c>
      <c r="AA451" s="3">
        <f>Superstore_Sales[[#This Row],[TotalSales]]*Superstore_Sales[[#This Row],[Discount]]/100</f>
        <v>0.23892000000000002</v>
      </c>
      <c r="AB451" s="2">
        <f>Superstore_Sales[[#This Row],[TotalSales]]-Superstore_Sales[[#This Row],[Dis_amt]]-Superstore_Sales[[#This Row],[Shipping Cost]]</f>
        <v>113.52108000000001</v>
      </c>
    </row>
    <row r="452" spans="1:28" x14ac:dyDescent="0.35">
      <c r="A452">
        <v>31153</v>
      </c>
      <c r="B452" t="s">
        <v>2368</v>
      </c>
      <c r="C452" s="1">
        <v>42315</v>
      </c>
      <c r="D452" s="1">
        <v>42319</v>
      </c>
      <c r="E452">
        <f>Superstore_Sales[[#This Row],[Ship Date]]-Superstore_Sales[[#This Row],[Order Date]]</f>
        <v>4</v>
      </c>
      <c r="F452" t="s">
        <v>98</v>
      </c>
      <c r="G452" t="s">
        <v>2369</v>
      </c>
      <c r="H452" t="s">
        <v>2370</v>
      </c>
      <c r="I452" t="s">
        <v>28</v>
      </c>
      <c r="K452" t="s">
        <v>44</v>
      </c>
      <c r="L452" t="s">
        <v>45</v>
      </c>
      <c r="M452" t="s">
        <v>46</v>
      </c>
      <c r="N452" t="s">
        <v>47</v>
      </c>
      <c r="O452" t="s">
        <v>48</v>
      </c>
      <c r="P452" t="s">
        <v>380</v>
      </c>
      <c r="Q452" t="s">
        <v>50</v>
      </c>
      <c r="R452" t="s">
        <v>51</v>
      </c>
      <c r="S452" t="s">
        <v>381</v>
      </c>
      <c r="T452">
        <v>2841.66</v>
      </c>
      <c r="U452">
        <v>6</v>
      </c>
      <c r="V452">
        <v>0</v>
      </c>
      <c r="W452">
        <v>852.48</v>
      </c>
      <c r="X452">
        <v>287.24</v>
      </c>
      <c r="Y452" t="s">
        <v>38</v>
      </c>
      <c r="Z452">
        <f>Superstore_Sales[[#This Row],[Sales]]*Superstore_Sales[[#This Row],[Quantity]]</f>
        <v>17049.96</v>
      </c>
      <c r="AA452" s="3">
        <f>Superstore_Sales[[#This Row],[TotalSales]]*Superstore_Sales[[#This Row],[Discount]]/100</f>
        <v>0</v>
      </c>
      <c r="AB452" s="2">
        <f>Superstore_Sales[[#This Row],[TotalSales]]-Superstore_Sales[[#This Row],[Dis_amt]]-Superstore_Sales[[#This Row],[Shipping Cost]]</f>
        <v>16762.719999999998</v>
      </c>
    </row>
    <row r="453" spans="1:28" x14ac:dyDescent="0.35">
      <c r="A453">
        <v>10458</v>
      </c>
      <c r="B453" t="s">
        <v>2371</v>
      </c>
      <c r="C453" s="1">
        <v>41800</v>
      </c>
      <c r="D453" s="1">
        <v>41804</v>
      </c>
      <c r="E453">
        <f>Superstore_Sales[[#This Row],[Ship Date]]-Superstore_Sales[[#This Row],[Order Date]]</f>
        <v>4</v>
      </c>
      <c r="F453" t="s">
        <v>98</v>
      </c>
      <c r="G453" t="s">
        <v>2372</v>
      </c>
      <c r="H453" t="s">
        <v>2373</v>
      </c>
      <c r="I453" t="s">
        <v>43</v>
      </c>
      <c r="K453" t="s">
        <v>2374</v>
      </c>
      <c r="L453" t="s">
        <v>2375</v>
      </c>
      <c r="M453" t="s">
        <v>2376</v>
      </c>
      <c r="N453" t="s">
        <v>171</v>
      </c>
      <c r="O453" t="s">
        <v>69</v>
      </c>
      <c r="P453" t="s">
        <v>581</v>
      </c>
      <c r="Q453" t="s">
        <v>147</v>
      </c>
      <c r="R453" t="s">
        <v>148</v>
      </c>
      <c r="S453" t="s">
        <v>582</v>
      </c>
      <c r="T453">
        <v>3399.66</v>
      </c>
      <c r="U453">
        <v>12</v>
      </c>
      <c r="V453">
        <v>0.5</v>
      </c>
      <c r="W453">
        <v>-3059.82</v>
      </c>
      <c r="X453">
        <v>286.87</v>
      </c>
      <c r="Y453" t="s">
        <v>61</v>
      </c>
      <c r="Z453">
        <f>Superstore_Sales[[#This Row],[Sales]]*Superstore_Sales[[#This Row],[Quantity]]</f>
        <v>40795.919999999998</v>
      </c>
      <c r="AA453" s="3">
        <f>Superstore_Sales[[#This Row],[TotalSales]]*Superstore_Sales[[#This Row],[Discount]]/100</f>
        <v>203.9796</v>
      </c>
      <c r="AB453" s="2">
        <f>Superstore_Sales[[#This Row],[TotalSales]]-Superstore_Sales[[#This Row],[Dis_amt]]-Superstore_Sales[[#This Row],[Shipping Cost]]</f>
        <v>40305.070399999997</v>
      </c>
    </row>
    <row r="454" spans="1:28" x14ac:dyDescent="0.35">
      <c r="A454">
        <v>29319</v>
      </c>
      <c r="B454" t="s">
        <v>2377</v>
      </c>
      <c r="C454" s="1">
        <v>41404</v>
      </c>
      <c r="D454" s="1">
        <v>41406</v>
      </c>
      <c r="E454">
        <f>Superstore_Sales[[#This Row],[Ship Date]]-Superstore_Sales[[#This Row],[Order Date]]</f>
        <v>2</v>
      </c>
      <c r="F454" t="s">
        <v>25</v>
      </c>
      <c r="G454" t="s">
        <v>2378</v>
      </c>
      <c r="H454" t="s">
        <v>964</v>
      </c>
      <c r="I454" t="s">
        <v>43</v>
      </c>
      <c r="K454" t="s">
        <v>2379</v>
      </c>
      <c r="L454" t="s">
        <v>1418</v>
      </c>
      <c r="M454" t="s">
        <v>258</v>
      </c>
      <c r="N454" t="s">
        <v>118</v>
      </c>
      <c r="O454" t="s">
        <v>48</v>
      </c>
      <c r="P454" t="s">
        <v>2380</v>
      </c>
      <c r="Q454" t="s">
        <v>35</v>
      </c>
      <c r="R454" t="s">
        <v>275</v>
      </c>
      <c r="S454" t="s">
        <v>2381</v>
      </c>
      <c r="T454">
        <v>1607.76</v>
      </c>
      <c r="U454">
        <v>6</v>
      </c>
      <c r="V454">
        <v>0</v>
      </c>
      <c r="W454">
        <v>482.22</v>
      </c>
      <c r="X454">
        <v>286.74</v>
      </c>
      <c r="Y454" t="s">
        <v>38</v>
      </c>
      <c r="Z454">
        <f>Superstore_Sales[[#This Row],[Sales]]*Superstore_Sales[[#This Row],[Quantity]]</f>
        <v>9646.56</v>
      </c>
      <c r="AA454" s="3">
        <f>Superstore_Sales[[#This Row],[TotalSales]]*Superstore_Sales[[#This Row],[Discount]]/100</f>
        <v>0</v>
      </c>
      <c r="AB454" s="2">
        <f>Superstore_Sales[[#This Row],[TotalSales]]-Superstore_Sales[[#This Row],[Dis_amt]]-Superstore_Sales[[#This Row],[Shipping Cost]]</f>
        <v>9359.82</v>
      </c>
    </row>
    <row r="455" spans="1:28" x14ac:dyDescent="0.35">
      <c r="A455">
        <v>20851</v>
      </c>
      <c r="B455" t="s">
        <v>2382</v>
      </c>
      <c r="C455" s="1">
        <v>41895</v>
      </c>
      <c r="D455" s="1">
        <v>41895</v>
      </c>
      <c r="E455">
        <f>Superstore_Sales[[#This Row],[Ship Date]]-Superstore_Sales[[#This Row],[Order Date]]</f>
        <v>0</v>
      </c>
      <c r="F455" t="s">
        <v>73</v>
      </c>
      <c r="G455" t="s">
        <v>2383</v>
      </c>
      <c r="H455" t="s">
        <v>2384</v>
      </c>
      <c r="I455" t="s">
        <v>43</v>
      </c>
      <c r="K455" t="s">
        <v>2385</v>
      </c>
      <c r="L455" t="s">
        <v>1946</v>
      </c>
      <c r="M455" t="s">
        <v>258</v>
      </c>
      <c r="N455" t="s">
        <v>118</v>
      </c>
      <c r="O455" t="s">
        <v>48</v>
      </c>
      <c r="P455" t="s">
        <v>2386</v>
      </c>
      <c r="Q455" t="s">
        <v>35</v>
      </c>
      <c r="R455" t="s">
        <v>36</v>
      </c>
      <c r="S455" t="s">
        <v>2387</v>
      </c>
      <c r="T455">
        <v>840.15</v>
      </c>
      <c r="U455">
        <v>5</v>
      </c>
      <c r="V455">
        <v>0</v>
      </c>
      <c r="W455">
        <v>260.39999999999998</v>
      </c>
      <c r="X455">
        <v>286.67</v>
      </c>
      <c r="Y455" t="s">
        <v>53</v>
      </c>
      <c r="Z455">
        <f>Superstore_Sales[[#This Row],[Sales]]*Superstore_Sales[[#This Row],[Quantity]]</f>
        <v>4200.75</v>
      </c>
      <c r="AA455" s="3">
        <f>Superstore_Sales[[#This Row],[TotalSales]]*Superstore_Sales[[#This Row],[Discount]]/100</f>
        <v>0</v>
      </c>
      <c r="AB455" s="2">
        <f>Superstore_Sales[[#This Row],[TotalSales]]-Superstore_Sales[[#This Row],[Dis_amt]]-Superstore_Sales[[#This Row],[Shipping Cost]]</f>
        <v>3914.08</v>
      </c>
    </row>
    <row r="456" spans="1:28" x14ac:dyDescent="0.35">
      <c r="A456">
        <v>28704</v>
      </c>
      <c r="B456" t="s">
        <v>2388</v>
      </c>
      <c r="C456" s="1">
        <v>41845</v>
      </c>
      <c r="D456" s="1">
        <v>41848</v>
      </c>
      <c r="E456">
        <f>Superstore_Sales[[#This Row],[Ship Date]]-Superstore_Sales[[#This Row],[Order Date]]</f>
        <v>3</v>
      </c>
      <c r="F456" t="s">
        <v>25</v>
      </c>
      <c r="G456" t="s">
        <v>2389</v>
      </c>
      <c r="H456" t="s">
        <v>2390</v>
      </c>
      <c r="I456" t="s">
        <v>28</v>
      </c>
      <c r="K456" t="s">
        <v>2391</v>
      </c>
      <c r="L456" t="s">
        <v>856</v>
      </c>
      <c r="M456" t="s">
        <v>144</v>
      </c>
      <c r="N456" t="s">
        <v>145</v>
      </c>
      <c r="O456" t="s">
        <v>48</v>
      </c>
      <c r="P456" t="s">
        <v>680</v>
      </c>
      <c r="Q456" t="s">
        <v>50</v>
      </c>
      <c r="R456" t="s">
        <v>336</v>
      </c>
      <c r="S456" t="s">
        <v>681</v>
      </c>
      <c r="T456">
        <v>1236.33</v>
      </c>
      <c r="U456">
        <v>3</v>
      </c>
      <c r="V456">
        <v>0</v>
      </c>
      <c r="W456">
        <v>519.21</v>
      </c>
      <c r="X456">
        <v>286.57</v>
      </c>
      <c r="Y456" t="s">
        <v>61</v>
      </c>
      <c r="Z456">
        <f>Superstore_Sales[[#This Row],[Sales]]*Superstore_Sales[[#This Row],[Quantity]]</f>
        <v>3708.99</v>
      </c>
      <c r="AA456" s="3">
        <f>Superstore_Sales[[#This Row],[TotalSales]]*Superstore_Sales[[#This Row],[Discount]]/100</f>
        <v>0</v>
      </c>
      <c r="AB456" s="2">
        <f>Superstore_Sales[[#This Row],[TotalSales]]-Superstore_Sales[[#This Row],[Dis_amt]]-Superstore_Sales[[#This Row],[Shipping Cost]]</f>
        <v>3422.4199999999996</v>
      </c>
    </row>
    <row r="457" spans="1:28" x14ac:dyDescent="0.35">
      <c r="A457">
        <v>25908</v>
      </c>
      <c r="B457" t="s">
        <v>2392</v>
      </c>
      <c r="C457" s="1">
        <v>42288</v>
      </c>
      <c r="D457" s="1">
        <v>42291</v>
      </c>
      <c r="E457">
        <f>Superstore_Sales[[#This Row],[Ship Date]]-Superstore_Sales[[#This Row],[Order Date]]</f>
        <v>3</v>
      </c>
      <c r="F457" t="s">
        <v>40</v>
      </c>
      <c r="G457" t="s">
        <v>2393</v>
      </c>
      <c r="H457" t="s">
        <v>2394</v>
      </c>
      <c r="I457" t="s">
        <v>28</v>
      </c>
      <c r="K457" t="s">
        <v>410</v>
      </c>
      <c r="L457" t="s">
        <v>410</v>
      </c>
      <c r="M457" t="s">
        <v>258</v>
      </c>
      <c r="N457" t="s">
        <v>118</v>
      </c>
      <c r="O457" t="s">
        <v>48</v>
      </c>
      <c r="P457" t="s">
        <v>2395</v>
      </c>
      <c r="Q457" t="s">
        <v>147</v>
      </c>
      <c r="R457" t="s">
        <v>148</v>
      </c>
      <c r="S457" t="s">
        <v>2396</v>
      </c>
      <c r="T457">
        <v>2488.56</v>
      </c>
      <c r="U457">
        <v>8</v>
      </c>
      <c r="V457">
        <v>0</v>
      </c>
      <c r="W457">
        <v>348.24</v>
      </c>
      <c r="X457">
        <v>286.52999999999997</v>
      </c>
      <c r="Y457" t="s">
        <v>38</v>
      </c>
      <c r="Z457">
        <f>Superstore_Sales[[#This Row],[Sales]]*Superstore_Sales[[#This Row],[Quantity]]</f>
        <v>19908.48</v>
      </c>
      <c r="AA457" s="3">
        <f>Superstore_Sales[[#This Row],[TotalSales]]*Superstore_Sales[[#This Row],[Discount]]/100</f>
        <v>0</v>
      </c>
      <c r="AB457" s="2">
        <f>Superstore_Sales[[#This Row],[TotalSales]]-Superstore_Sales[[#This Row],[Dis_amt]]-Superstore_Sales[[#This Row],[Shipping Cost]]</f>
        <v>19621.95</v>
      </c>
    </row>
    <row r="458" spans="1:28" x14ac:dyDescent="0.35">
      <c r="A458">
        <v>500</v>
      </c>
      <c r="B458" t="s">
        <v>2397</v>
      </c>
      <c r="C458" s="1">
        <v>41234</v>
      </c>
      <c r="D458" s="1">
        <v>41237</v>
      </c>
      <c r="E458">
        <f>Superstore_Sales[[#This Row],[Ship Date]]-Superstore_Sales[[#This Row],[Order Date]]</f>
        <v>3</v>
      </c>
      <c r="F458" t="s">
        <v>25</v>
      </c>
      <c r="G458" t="s">
        <v>2398</v>
      </c>
      <c r="H458" t="s">
        <v>2263</v>
      </c>
      <c r="I458" t="s">
        <v>65</v>
      </c>
      <c r="K458" t="s">
        <v>2399</v>
      </c>
      <c r="L458" t="s">
        <v>2400</v>
      </c>
      <c r="M458" t="s">
        <v>265</v>
      </c>
      <c r="N458" t="s">
        <v>266</v>
      </c>
      <c r="O458" t="s">
        <v>136</v>
      </c>
      <c r="P458" t="s">
        <v>2401</v>
      </c>
      <c r="Q458" t="s">
        <v>147</v>
      </c>
      <c r="R458" t="s">
        <v>148</v>
      </c>
      <c r="S458" t="s">
        <v>2402</v>
      </c>
      <c r="T458">
        <v>1124.26</v>
      </c>
      <c r="U458">
        <v>7</v>
      </c>
      <c r="V458">
        <v>0.2</v>
      </c>
      <c r="W458">
        <v>252.9</v>
      </c>
      <c r="X458">
        <v>286.46300000000002</v>
      </c>
      <c r="Y458" t="s">
        <v>53</v>
      </c>
      <c r="Z458">
        <f>Superstore_Sales[[#This Row],[Sales]]*Superstore_Sales[[#This Row],[Quantity]]</f>
        <v>7869.82</v>
      </c>
      <c r="AA458" s="3">
        <f>Superstore_Sales[[#This Row],[TotalSales]]*Superstore_Sales[[#This Row],[Discount]]/100</f>
        <v>15.73964</v>
      </c>
      <c r="AB458" s="2">
        <f>Superstore_Sales[[#This Row],[TotalSales]]-Superstore_Sales[[#This Row],[Dis_amt]]-Superstore_Sales[[#This Row],[Shipping Cost]]</f>
        <v>7567.6173600000002</v>
      </c>
    </row>
    <row r="459" spans="1:28" x14ac:dyDescent="0.35">
      <c r="A459">
        <v>6415</v>
      </c>
      <c r="B459" t="s">
        <v>2403</v>
      </c>
      <c r="C459" s="1">
        <v>42302</v>
      </c>
      <c r="D459" s="1">
        <v>42302</v>
      </c>
      <c r="E459">
        <f>Superstore_Sales[[#This Row],[Ship Date]]-Superstore_Sales[[#This Row],[Order Date]]</f>
        <v>0</v>
      </c>
      <c r="F459" t="s">
        <v>73</v>
      </c>
      <c r="G459" t="s">
        <v>2404</v>
      </c>
      <c r="H459" t="s">
        <v>1411</v>
      </c>
      <c r="I459" t="s">
        <v>43</v>
      </c>
      <c r="K459" t="s">
        <v>1388</v>
      </c>
      <c r="L459" t="s">
        <v>1389</v>
      </c>
      <c r="M459" t="s">
        <v>219</v>
      </c>
      <c r="N459" t="s">
        <v>220</v>
      </c>
      <c r="O459" t="s">
        <v>136</v>
      </c>
      <c r="P459" t="s">
        <v>2405</v>
      </c>
      <c r="Q459" t="s">
        <v>50</v>
      </c>
      <c r="R459" t="s">
        <v>104</v>
      </c>
      <c r="S459" t="s">
        <v>2406</v>
      </c>
      <c r="T459">
        <v>726.72</v>
      </c>
      <c r="U459">
        <v>3</v>
      </c>
      <c r="V459">
        <v>0.2</v>
      </c>
      <c r="W459">
        <v>-18.18</v>
      </c>
      <c r="X459">
        <v>286.36599999999999</v>
      </c>
      <c r="Y459" t="s">
        <v>53</v>
      </c>
      <c r="Z459">
        <f>Superstore_Sales[[#This Row],[Sales]]*Superstore_Sales[[#This Row],[Quantity]]</f>
        <v>2180.16</v>
      </c>
      <c r="AA459" s="3">
        <f>Superstore_Sales[[#This Row],[TotalSales]]*Superstore_Sales[[#This Row],[Discount]]/100</f>
        <v>4.3603199999999998</v>
      </c>
      <c r="AB459" s="2">
        <f>Superstore_Sales[[#This Row],[TotalSales]]-Superstore_Sales[[#This Row],[Dis_amt]]-Superstore_Sales[[#This Row],[Shipping Cost]]</f>
        <v>1889.4336800000001</v>
      </c>
    </row>
    <row r="460" spans="1:28" x14ac:dyDescent="0.35">
      <c r="A460">
        <v>36910</v>
      </c>
      <c r="B460" t="s">
        <v>2407</v>
      </c>
      <c r="C460" s="1">
        <v>41672</v>
      </c>
      <c r="D460" s="1">
        <v>41677</v>
      </c>
      <c r="E460">
        <f>Superstore_Sales[[#This Row],[Ship Date]]-Superstore_Sales[[#This Row],[Order Date]]</f>
        <v>5</v>
      </c>
      <c r="F460" t="s">
        <v>98</v>
      </c>
      <c r="G460" t="s">
        <v>2408</v>
      </c>
      <c r="H460" t="s">
        <v>1297</v>
      </c>
      <c r="I460" t="s">
        <v>28</v>
      </c>
      <c r="J460">
        <v>10011</v>
      </c>
      <c r="K460" t="s">
        <v>302</v>
      </c>
      <c r="L460" t="s">
        <v>248</v>
      </c>
      <c r="M460" t="s">
        <v>31</v>
      </c>
      <c r="N460" t="s">
        <v>249</v>
      </c>
      <c r="O460" t="s">
        <v>33</v>
      </c>
      <c r="P460" t="s">
        <v>2409</v>
      </c>
      <c r="Q460" t="s">
        <v>147</v>
      </c>
      <c r="R460" t="s">
        <v>162</v>
      </c>
      <c r="S460" t="s">
        <v>2410</v>
      </c>
      <c r="T460">
        <v>117.96</v>
      </c>
      <c r="U460">
        <v>2</v>
      </c>
      <c r="V460">
        <v>0</v>
      </c>
      <c r="W460">
        <v>5.9</v>
      </c>
      <c r="X460">
        <v>4.17</v>
      </c>
      <c r="Y460" t="s">
        <v>61</v>
      </c>
      <c r="Z460">
        <f>Superstore_Sales[[#This Row],[Sales]]*Superstore_Sales[[#This Row],[Quantity]]</f>
        <v>235.92</v>
      </c>
      <c r="AA460" s="3">
        <f>Superstore_Sales[[#This Row],[TotalSales]]*Superstore_Sales[[#This Row],[Discount]]/100</f>
        <v>0</v>
      </c>
      <c r="AB460" s="2">
        <f>Superstore_Sales[[#This Row],[TotalSales]]-Superstore_Sales[[#This Row],[Dis_amt]]-Superstore_Sales[[#This Row],[Shipping Cost]]</f>
        <v>231.75</v>
      </c>
    </row>
    <row r="461" spans="1:28" x14ac:dyDescent="0.35">
      <c r="A461">
        <v>41520</v>
      </c>
      <c r="B461" t="s">
        <v>2411</v>
      </c>
      <c r="C461" s="1">
        <v>41926</v>
      </c>
      <c r="D461" s="1">
        <v>41927</v>
      </c>
      <c r="E461">
        <f>Superstore_Sales[[#This Row],[Ship Date]]-Superstore_Sales[[#This Row],[Order Date]]</f>
        <v>1</v>
      </c>
      <c r="F461" t="s">
        <v>25</v>
      </c>
      <c r="G461" t="s">
        <v>2412</v>
      </c>
      <c r="H461" t="s">
        <v>2413</v>
      </c>
      <c r="I461" t="s">
        <v>65</v>
      </c>
      <c r="K461" t="s">
        <v>2414</v>
      </c>
      <c r="L461" t="s">
        <v>2415</v>
      </c>
      <c r="M461" t="s">
        <v>2416</v>
      </c>
      <c r="N461" t="s">
        <v>186</v>
      </c>
      <c r="O461" t="s">
        <v>79</v>
      </c>
      <c r="P461" t="s">
        <v>2417</v>
      </c>
      <c r="Q461" t="s">
        <v>35</v>
      </c>
      <c r="R461" t="s">
        <v>275</v>
      </c>
      <c r="S461" t="s">
        <v>2418</v>
      </c>
      <c r="T461">
        <v>1519.92</v>
      </c>
      <c r="U461">
        <v>6</v>
      </c>
      <c r="V461">
        <v>0</v>
      </c>
      <c r="W461">
        <v>653.4</v>
      </c>
      <c r="X461">
        <v>286.2</v>
      </c>
      <c r="Y461" t="s">
        <v>53</v>
      </c>
      <c r="Z461">
        <f>Superstore_Sales[[#This Row],[Sales]]*Superstore_Sales[[#This Row],[Quantity]]</f>
        <v>9119.52</v>
      </c>
      <c r="AA461" s="3">
        <f>Superstore_Sales[[#This Row],[TotalSales]]*Superstore_Sales[[#This Row],[Discount]]/100</f>
        <v>0</v>
      </c>
      <c r="AB461" s="2">
        <f>Superstore_Sales[[#This Row],[TotalSales]]-Superstore_Sales[[#This Row],[Dis_amt]]-Superstore_Sales[[#This Row],[Shipping Cost]]</f>
        <v>8833.32</v>
      </c>
    </row>
    <row r="462" spans="1:28" x14ac:dyDescent="0.35">
      <c r="A462">
        <v>50544</v>
      </c>
      <c r="B462" t="s">
        <v>2419</v>
      </c>
      <c r="C462" s="1">
        <v>40953</v>
      </c>
      <c r="D462" s="1">
        <v>40955</v>
      </c>
      <c r="E462">
        <f>Superstore_Sales[[#This Row],[Ship Date]]-Superstore_Sales[[#This Row],[Order Date]]</f>
        <v>2</v>
      </c>
      <c r="F462" t="s">
        <v>40</v>
      </c>
      <c r="G462" t="s">
        <v>2420</v>
      </c>
      <c r="H462" t="s">
        <v>2421</v>
      </c>
      <c r="I462" t="s">
        <v>43</v>
      </c>
      <c r="K462" t="s">
        <v>2422</v>
      </c>
      <c r="L462" t="s">
        <v>2423</v>
      </c>
      <c r="M462" t="s">
        <v>1180</v>
      </c>
      <c r="N462" t="s">
        <v>195</v>
      </c>
      <c r="O462" t="s">
        <v>69</v>
      </c>
      <c r="P462" t="s">
        <v>2424</v>
      </c>
      <c r="Q462" t="s">
        <v>35</v>
      </c>
      <c r="R462" t="s">
        <v>81</v>
      </c>
      <c r="S462" t="s">
        <v>2425</v>
      </c>
      <c r="T462">
        <v>1279.32</v>
      </c>
      <c r="U462">
        <v>4</v>
      </c>
      <c r="V462">
        <v>0</v>
      </c>
      <c r="W462">
        <v>319.8</v>
      </c>
      <c r="X462">
        <v>286.19</v>
      </c>
      <c r="Y462" t="s">
        <v>53</v>
      </c>
      <c r="Z462">
        <f>Superstore_Sales[[#This Row],[Sales]]*Superstore_Sales[[#This Row],[Quantity]]</f>
        <v>5117.28</v>
      </c>
      <c r="AA462" s="3">
        <f>Superstore_Sales[[#This Row],[TotalSales]]*Superstore_Sales[[#This Row],[Discount]]/100</f>
        <v>0</v>
      </c>
      <c r="AB462" s="2">
        <f>Superstore_Sales[[#This Row],[TotalSales]]-Superstore_Sales[[#This Row],[Dis_amt]]-Superstore_Sales[[#This Row],[Shipping Cost]]</f>
        <v>4831.09</v>
      </c>
    </row>
    <row r="463" spans="1:28" x14ac:dyDescent="0.35">
      <c r="A463">
        <v>42617</v>
      </c>
      <c r="B463" t="s">
        <v>2426</v>
      </c>
      <c r="C463" s="1">
        <v>40978</v>
      </c>
      <c r="D463" s="1">
        <v>40980</v>
      </c>
      <c r="E463">
        <f>Superstore_Sales[[#This Row],[Ship Date]]-Superstore_Sales[[#This Row],[Order Date]]</f>
        <v>2</v>
      </c>
      <c r="F463" t="s">
        <v>40</v>
      </c>
      <c r="G463" t="s">
        <v>2427</v>
      </c>
      <c r="H463" t="s">
        <v>2271</v>
      </c>
      <c r="I463" t="s">
        <v>65</v>
      </c>
      <c r="K463" t="s">
        <v>2428</v>
      </c>
      <c r="L463" t="s">
        <v>2428</v>
      </c>
      <c r="M463" t="s">
        <v>391</v>
      </c>
      <c r="N463" t="s">
        <v>118</v>
      </c>
      <c r="O463" t="s">
        <v>48</v>
      </c>
      <c r="P463" t="s">
        <v>221</v>
      </c>
      <c r="Q463" t="s">
        <v>35</v>
      </c>
      <c r="R463" t="s">
        <v>36</v>
      </c>
      <c r="S463" t="s">
        <v>222</v>
      </c>
      <c r="T463">
        <v>642.69000000000005</v>
      </c>
      <c r="U463">
        <v>1</v>
      </c>
      <c r="V463">
        <v>0</v>
      </c>
      <c r="W463">
        <v>244.2</v>
      </c>
      <c r="X463">
        <v>285.83</v>
      </c>
      <c r="Y463" t="s">
        <v>53</v>
      </c>
      <c r="Z463">
        <f>Superstore_Sales[[#This Row],[Sales]]*Superstore_Sales[[#This Row],[Quantity]]</f>
        <v>642.69000000000005</v>
      </c>
      <c r="AA463" s="3">
        <f>Superstore_Sales[[#This Row],[TotalSales]]*Superstore_Sales[[#This Row],[Discount]]/100</f>
        <v>0</v>
      </c>
      <c r="AB463" s="2">
        <f>Superstore_Sales[[#This Row],[TotalSales]]-Superstore_Sales[[#This Row],[Dis_amt]]-Superstore_Sales[[#This Row],[Shipping Cost]]</f>
        <v>356.86000000000007</v>
      </c>
    </row>
    <row r="464" spans="1:28" x14ac:dyDescent="0.35">
      <c r="A464">
        <v>22628</v>
      </c>
      <c r="B464" t="s">
        <v>2429</v>
      </c>
      <c r="C464" s="1">
        <v>41489</v>
      </c>
      <c r="D464" s="1">
        <v>41494</v>
      </c>
      <c r="E464">
        <f>Superstore_Sales[[#This Row],[Ship Date]]-Superstore_Sales[[#This Row],[Order Date]]</f>
        <v>5</v>
      </c>
      <c r="F464" t="s">
        <v>98</v>
      </c>
      <c r="G464" t="s">
        <v>2430</v>
      </c>
      <c r="H464" t="s">
        <v>2390</v>
      </c>
      <c r="I464" t="s">
        <v>28</v>
      </c>
      <c r="K464" t="s">
        <v>2431</v>
      </c>
      <c r="L464" t="s">
        <v>515</v>
      </c>
      <c r="M464" t="s">
        <v>46</v>
      </c>
      <c r="N464" t="s">
        <v>47</v>
      </c>
      <c r="O464" t="s">
        <v>48</v>
      </c>
      <c r="P464" t="s">
        <v>1160</v>
      </c>
      <c r="Q464" t="s">
        <v>50</v>
      </c>
      <c r="R464" t="s">
        <v>336</v>
      </c>
      <c r="S464" t="s">
        <v>1161</v>
      </c>
      <c r="T464">
        <v>2619</v>
      </c>
      <c r="U464">
        <v>8</v>
      </c>
      <c r="V464">
        <v>0.1</v>
      </c>
      <c r="W464">
        <v>232.68</v>
      </c>
      <c r="X464">
        <v>285.64999999999998</v>
      </c>
      <c r="Y464" t="s">
        <v>38</v>
      </c>
      <c r="Z464">
        <f>Superstore_Sales[[#This Row],[Sales]]*Superstore_Sales[[#This Row],[Quantity]]</f>
        <v>20952</v>
      </c>
      <c r="AA464" s="3">
        <f>Superstore_Sales[[#This Row],[TotalSales]]*Superstore_Sales[[#This Row],[Discount]]/100</f>
        <v>20.952000000000002</v>
      </c>
      <c r="AB464" s="2">
        <f>Superstore_Sales[[#This Row],[TotalSales]]-Superstore_Sales[[#This Row],[Dis_amt]]-Superstore_Sales[[#This Row],[Shipping Cost]]</f>
        <v>20645.397999999997</v>
      </c>
    </row>
    <row r="465" spans="1:28" x14ac:dyDescent="0.35">
      <c r="A465">
        <v>22166</v>
      </c>
      <c r="B465" t="s">
        <v>2432</v>
      </c>
      <c r="C465" s="1">
        <v>41628</v>
      </c>
      <c r="D465" s="1">
        <v>41631</v>
      </c>
      <c r="E465">
        <f>Superstore_Sales[[#This Row],[Ship Date]]-Superstore_Sales[[#This Row],[Order Date]]</f>
        <v>3</v>
      </c>
      <c r="F465" t="s">
        <v>25</v>
      </c>
      <c r="G465" t="s">
        <v>2433</v>
      </c>
      <c r="H465" t="s">
        <v>2363</v>
      </c>
      <c r="I465" t="s">
        <v>28</v>
      </c>
      <c r="K465" t="s">
        <v>2434</v>
      </c>
      <c r="L465" t="s">
        <v>2435</v>
      </c>
      <c r="M465" t="s">
        <v>1763</v>
      </c>
      <c r="N465" t="s">
        <v>118</v>
      </c>
      <c r="O465" t="s">
        <v>48</v>
      </c>
      <c r="P465" t="s">
        <v>187</v>
      </c>
      <c r="Q465" t="s">
        <v>147</v>
      </c>
      <c r="R465" t="s">
        <v>148</v>
      </c>
      <c r="S465" t="s">
        <v>188</v>
      </c>
      <c r="T465">
        <v>1704.87</v>
      </c>
      <c r="U465">
        <v>6</v>
      </c>
      <c r="V465">
        <v>0.5</v>
      </c>
      <c r="W465">
        <v>-1023.03</v>
      </c>
      <c r="X465">
        <v>285.61</v>
      </c>
      <c r="Y465" t="s">
        <v>53</v>
      </c>
      <c r="Z465">
        <f>Superstore_Sales[[#This Row],[Sales]]*Superstore_Sales[[#This Row],[Quantity]]</f>
        <v>10229.219999999999</v>
      </c>
      <c r="AA465" s="3">
        <f>Superstore_Sales[[#This Row],[TotalSales]]*Superstore_Sales[[#This Row],[Discount]]/100</f>
        <v>51.146099999999997</v>
      </c>
      <c r="AB465" s="2">
        <f>Superstore_Sales[[#This Row],[TotalSales]]-Superstore_Sales[[#This Row],[Dis_amt]]-Superstore_Sales[[#This Row],[Shipping Cost]]</f>
        <v>9892.4638999999988</v>
      </c>
    </row>
    <row r="466" spans="1:28" x14ac:dyDescent="0.35">
      <c r="A466">
        <v>14084</v>
      </c>
      <c r="B466" t="s">
        <v>2436</v>
      </c>
      <c r="C466" s="1">
        <v>41489</v>
      </c>
      <c r="D466" s="1">
        <v>41493</v>
      </c>
      <c r="E466">
        <f>Superstore_Sales[[#This Row],[Ship Date]]-Superstore_Sales[[#This Row],[Order Date]]</f>
        <v>4</v>
      </c>
      <c r="F466" t="s">
        <v>98</v>
      </c>
      <c r="G466" t="s">
        <v>2437</v>
      </c>
      <c r="H466" t="s">
        <v>740</v>
      </c>
      <c r="I466" t="s">
        <v>28</v>
      </c>
      <c r="K466" t="s">
        <v>2438</v>
      </c>
      <c r="L466" t="s">
        <v>838</v>
      </c>
      <c r="M466" t="s">
        <v>170</v>
      </c>
      <c r="N466" t="s">
        <v>171</v>
      </c>
      <c r="O466" t="s">
        <v>69</v>
      </c>
      <c r="P466" t="s">
        <v>2439</v>
      </c>
      <c r="Q466" t="s">
        <v>35</v>
      </c>
      <c r="R466" t="s">
        <v>81</v>
      </c>
      <c r="S466" t="s">
        <v>2440</v>
      </c>
      <c r="T466">
        <v>1715.91</v>
      </c>
      <c r="U466">
        <v>7</v>
      </c>
      <c r="V466">
        <v>0</v>
      </c>
      <c r="W466">
        <v>583.38</v>
      </c>
      <c r="X466">
        <v>285.12</v>
      </c>
      <c r="Y466" t="s">
        <v>38</v>
      </c>
      <c r="Z466">
        <f>Superstore_Sales[[#This Row],[Sales]]*Superstore_Sales[[#This Row],[Quantity]]</f>
        <v>12011.37</v>
      </c>
      <c r="AA466" s="3">
        <f>Superstore_Sales[[#This Row],[TotalSales]]*Superstore_Sales[[#This Row],[Discount]]/100</f>
        <v>0</v>
      </c>
      <c r="AB466" s="2">
        <f>Superstore_Sales[[#This Row],[TotalSales]]-Superstore_Sales[[#This Row],[Dis_amt]]-Superstore_Sales[[#This Row],[Shipping Cost]]</f>
        <v>11726.25</v>
      </c>
    </row>
    <row r="467" spans="1:28" x14ac:dyDescent="0.35">
      <c r="A467">
        <v>22632</v>
      </c>
      <c r="B467" t="s">
        <v>2441</v>
      </c>
      <c r="C467" s="1">
        <v>41445</v>
      </c>
      <c r="D467" s="1">
        <v>41447</v>
      </c>
      <c r="E467">
        <f>Superstore_Sales[[#This Row],[Ship Date]]-Superstore_Sales[[#This Row],[Order Date]]</f>
        <v>2</v>
      </c>
      <c r="F467" t="s">
        <v>25</v>
      </c>
      <c r="G467" t="s">
        <v>2442</v>
      </c>
      <c r="H467" t="s">
        <v>1381</v>
      </c>
      <c r="I467" t="s">
        <v>28</v>
      </c>
      <c r="K467" t="s">
        <v>2249</v>
      </c>
      <c r="L467" t="s">
        <v>856</v>
      </c>
      <c r="M467" t="s">
        <v>144</v>
      </c>
      <c r="N467" t="s">
        <v>145</v>
      </c>
      <c r="O467" t="s">
        <v>48</v>
      </c>
      <c r="P467" t="s">
        <v>438</v>
      </c>
      <c r="Q467" t="s">
        <v>35</v>
      </c>
      <c r="R467" t="s">
        <v>36</v>
      </c>
      <c r="S467" t="s">
        <v>439</v>
      </c>
      <c r="T467">
        <v>1278</v>
      </c>
      <c r="U467">
        <v>2</v>
      </c>
      <c r="V467">
        <v>0</v>
      </c>
      <c r="W467">
        <v>460.08</v>
      </c>
      <c r="X467">
        <v>284.81</v>
      </c>
      <c r="Y467" t="s">
        <v>38</v>
      </c>
      <c r="Z467">
        <f>Superstore_Sales[[#This Row],[Sales]]*Superstore_Sales[[#This Row],[Quantity]]</f>
        <v>2556</v>
      </c>
      <c r="AA467" s="3">
        <f>Superstore_Sales[[#This Row],[TotalSales]]*Superstore_Sales[[#This Row],[Discount]]/100</f>
        <v>0</v>
      </c>
      <c r="AB467" s="2">
        <f>Superstore_Sales[[#This Row],[TotalSales]]-Superstore_Sales[[#This Row],[Dis_amt]]-Superstore_Sales[[#This Row],[Shipping Cost]]</f>
        <v>2271.19</v>
      </c>
    </row>
    <row r="468" spans="1:28" x14ac:dyDescent="0.35">
      <c r="A468">
        <v>47566</v>
      </c>
      <c r="B468" t="s">
        <v>2443</v>
      </c>
      <c r="C468" s="1">
        <v>41678</v>
      </c>
      <c r="D468" s="1">
        <v>41679</v>
      </c>
      <c r="E468">
        <f>Superstore_Sales[[#This Row],[Ship Date]]-Superstore_Sales[[#This Row],[Order Date]]</f>
        <v>1</v>
      </c>
      <c r="F468" t="s">
        <v>25</v>
      </c>
      <c r="G468" t="s">
        <v>2444</v>
      </c>
      <c r="H468" t="s">
        <v>409</v>
      </c>
      <c r="I468" t="s">
        <v>43</v>
      </c>
      <c r="K468" t="s">
        <v>579</v>
      </c>
      <c r="L468" t="s">
        <v>580</v>
      </c>
      <c r="M468" t="s">
        <v>553</v>
      </c>
      <c r="N468" t="s">
        <v>554</v>
      </c>
      <c r="O468" t="s">
        <v>79</v>
      </c>
      <c r="P468" t="s">
        <v>2445</v>
      </c>
      <c r="Q468" t="s">
        <v>147</v>
      </c>
      <c r="R468" t="s">
        <v>148</v>
      </c>
      <c r="S468" t="s">
        <v>2446</v>
      </c>
      <c r="T468">
        <v>1234.56</v>
      </c>
      <c r="U468">
        <v>4</v>
      </c>
      <c r="V468">
        <v>0</v>
      </c>
      <c r="W468">
        <v>246.84</v>
      </c>
      <c r="X468">
        <v>284.7</v>
      </c>
      <c r="Y468" t="s">
        <v>53</v>
      </c>
      <c r="Z468">
        <f>Superstore_Sales[[#This Row],[Sales]]*Superstore_Sales[[#This Row],[Quantity]]</f>
        <v>4938.24</v>
      </c>
      <c r="AA468" s="3">
        <f>Superstore_Sales[[#This Row],[TotalSales]]*Superstore_Sales[[#This Row],[Discount]]/100</f>
        <v>0</v>
      </c>
      <c r="AB468" s="2">
        <f>Superstore_Sales[[#This Row],[TotalSales]]-Superstore_Sales[[#This Row],[Dis_amt]]-Superstore_Sales[[#This Row],[Shipping Cost]]</f>
        <v>4653.54</v>
      </c>
    </row>
    <row r="469" spans="1:28" x14ac:dyDescent="0.35">
      <c r="A469">
        <v>20228</v>
      </c>
      <c r="B469" t="s">
        <v>2447</v>
      </c>
      <c r="C469" s="1">
        <v>41179</v>
      </c>
      <c r="D469" s="1">
        <v>41184</v>
      </c>
      <c r="E469">
        <f>Superstore_Sales[[#This Row],[Ship Date]]-Superstore_Sales[[#This Row],[Order Date]]</f>
        <v>5</v>
      </c>
      <c r="F469" t="s">
        <v>98</v>
      </c>
      <c r="G469" t="s">
        <v>2448</v>
      </c>
      <c r="H469" t="s">
        <v>2449</v>
      </c>
      <c r="I469" t="s">
        <v>28</v>
      </c>
      <c r="K469" t="s">
        <v>1746</v>
      </c>
      <c r="L469" t="s">
        <v>1747</v>
      </c>
      <c r="M469" t="s">
        <v>1748</v>
      </c>
      <c r="N469" t="s">
        <v>68</v>
      </c>
      <c r="O469" t="s">
        <v>69</v>
      </c>
      <c r="P469" t="s">
        <v>719</v>
      </c>
      <c r="Q469" t="s">
        <v>147</v>
      </c>
      <c r="R469" t="s">
        <v>148</v>
      </c>
      <c r="S469" t="s">
        <v>720</v>
      </c>
      <c r="T469">
        <v>4195.2</v>
      </c>
      <c r="U469">
        <v>8</v>
      </c>
      <c r="V469">
        <v>0</v>
      </c>
      <c r="W469">
        <v>839.04</v>
      </c>
      <c r="X469">
        <v>284.51</v>
      </c>
      <c r="Y469" t="s">
        <v>61</v>
      </c>
      <c r="Z469">
        <f>Superstore_Sales[[#This Row],[Sales]]*Superstore_Sales[[#This Row],[Quantity]]</f>
        <v>33561.599999999999</v>
      </c>
      <c r="AA469" s="3">
        <f>Superstore_Sales[[#This Row],[TotalSales]]*Superstore_Sales[[#This Row],[Discount]]/100</f>
        <v>0</v>
      </c>
      <c r="AB469" s="2">
        <f>Superstore_Sales[[#This Row],[TotalSales]]-Superstore_Sales[[#This Row],[Dis_amt]]-Superstore_Sales[[#This Row],[Shipping Cost]]</f>
        <v>33277.089999999997</v>
      </c>
    </row>
    <row r="470" spans="1:28" x14ac:dyDescent="0.35">
      <c r="A470">
        <v>15389</v>
      </c>
      <c r="B470" t="s">
        <v>2450</v>
      </c>
      <c r="C470" s="1">
        <v>41448</v>
      </c>
      <c r="D470" s="1">
        <v>41451</v>
      </c>
      <c r="E470">
        <f>Superstore_Sales[[#This Row],[Ship Date]]-Superstore_Sales[[#This Row],[Order Date]]</f>
        <v>3</v>
      </c>
      <c r="F470" t="s">
        <v>40</v>
      </c>
      <c r="G470" t="s">
        <v>2451</v>
      </c>
      <c r="H470" t="s">
        <v>2452</v>
      </c>
      <c r="I470" t="s">
        <v>28</v>
      </c>
      <c r="K470" t="s">
        <v>628</v>
      </c>
      <c r="L470" t="s">
        <v>154</v>
      </c>
      <c r="M470" t="s">
        <v>155</v>
      </c>
      <c r="N470" t="s">
        <v>68</v>
      </c>
      <c r="O470" t="s">
        <v>69</v>
      </c>
      <c r="P470" t="s">
        <v>1932</v>
      </c>
      <c r="Q470" t="s">
        <v>50</v>
      </c>
      <c r="R470" t="s">
        <v>336</v>
      </c>
      <c r="S470" t="s">
        <v>1933</v>
      </c>
      <c r="T470">
        <v>1765.4</v>
      </c>
      <c r="U470">
        <v>5</v>
      </c>
      <c r="V470">
        <v>0.1</v>
      </c>
      <c r="W470">
        <v>-98.21</v>
      </c>
      <c r="X470">
        <v>284.19</v>
      </c>
      <c r="Y470" t="s">
        <v>38</v>
      </c>
      <c r="Z470">
        <f>Superstore_Sales[[#This Row],[Sales]]*Superstore_Sales[[#This Row],[Quantity]]</f>
        <v>8827</v>
      </c>
      <c r="AA470" s="3">
        <f>Superstore_Sales[[#This Row],[TotalSales]]*Superstore_Sales[[#This Row],[Discount]]/100</f>
        <v>8.827</v>
      </c>
      <c r="AB470" s="2">
        <f>Superstore_Sales[[#This Row],[TotalSales]]-Superstore_Sales[[#This Row],[Dis_amt]]-Superstore_Sales[[#This Row],[Shipping Cost]]</f>
        <v>8533.9830000000002</v>
      </c>
    </row>
    <row r="471" spans="1:28" x14ac:dyDescent="0.35">
      <c r="A471">
        <v>189</v>
      </c>
      <c r="B471" t="s">
        <v>2453</v>
      </c>
      <c r="C471" s="1">
        <v>41993</v>
      </c>
      <c r="D471" s="1">
        <v>41995</v>
      </c>
      <c r="E471">
        <f>Superstore_Sales[[#This Row],[Ship Date]]-Superstore_Sales[[#This Row],[Order Date]]</f>
        <v>2</v>
      </c>
      <c r="F471" t="s">
        <v>25</v>
      </c>
      <c r="G471" t="s">
        <v>2454</v>
      </c>
      <c r="H471" t="s">
        <v>56</v>
      </c>
      <c r="I471" t="s">
        <v>28</v>
      </c>
      <c r="K471" t="s">
        <v>2455</v>
      </c>
      <c r="L471" t="s">
        <v>2456</v>
      </c>
      <c r="M471" t="s">
        <v>679</v>
      </c>
      <c r="N471" t="s">
        <v>135</v>
      </c>
      <c r="O471" t="s">
        <v>136</v>
      </c>
      <c r="P471" t="s">
        <v>119</v>
      </c>
      <c r="Q471" t="s">
        <v>50</v>
      </c>
      <c r="R471" t="s">
        <v>104</v>
      </c>
      <c r="S471" t="s">
        <v>120</v>
      </c>
      <c r="T471">
        <v>1480.37</v>
      </c>
      <c r="U471">
        <v>3</v>
      </c>
      <c r="V471">
        <v>0.2</v>
      </c>
      <c r="W471">
        <v>333.05</v>
      </c>
      <c r="X471">
        <v>283.928</v>
      </c>
      <c r="Y471" t="s">
        <v>61</v>
      </c>
      <c r="Z471">
        <f>Superstore_Sales[[#This Row],[Sales]]*Superstore_Sales[[#This Row],[Quantity]]</f>
        <v>4441.1099999999997</v>
      </c>
      <c r="AA471" s="3">
        <f>Superstore_Sales[[#This Row],[TotalSales]]*Superstore_Sales[[#This Row],[Discount]]/100</f>
        <v>8.8822200000000002</v>
      </c>
      <c r="AB471" s="2">
        <f>Superstore_Sales[[#This Row],[TotalSales]]-Superstore_Sales[[#This Row],[Dis_amt]]-Superstore_Sales[[#This Row],[Shipping Cost]]</f>
        <v>4148.2997799999994</v>
      </c>
    </row>
    <row r="472" spans="1:28" x14ac:dyDescent="0.35">
      <c r="A472">
        <v>26986</v>
      </c>
      <c r="B472" t="s">
        <v>2457</v>
      </c>
      <c r="C472" s="1">
        <v>41149</v>
      </c>
      <c r="D472" s="1">
        <v>41156</v>
      </c>
      <c r="E472">
        <f>Superstore_Sales[[#This Row],[Ship Date]]-Superstore_Sales[[#This Row],[Order Date]]</f>
        <v>7</v>
      </c>
      <c r="F472" t="s">
        <v>98</v>
      </c>
      <c r="G472" t="s">
        <v>2458</v>
      </c>
      <c r="H472" t="s">
        <v>2459</v>
      </c>
      <c r="I472" t="s">
        <v>43</v>
      </c>
      <c r="K472" t="s">
        <v>57</v>
      </c>
      <c r="L472" t="s">
        <v>58</v>
      </c>
      <c r="M472" t="s">
        <v>46</v>
      </c>
      <c r="N472" t="s">
        <v>47</v>
      </c>
      <c r="O472" t="s">
        <v>48</v>
      </c>
      <c r="P472" t="s">
        <v>2460</v>
      </c>
      <c r="Q472" t="s">
        <v>50</v>
      </c>
      <c r="R472" t="s">
        <v>104</v>
      </c>
      <c r="S472" t="s">
        <v>2461</v>
      </c>
      <c r="T472">
        <v>2301.14</v>
      </c>
      <c r="U472">
        <v>7</v>
      </c>
      <c r="V472">
        <v>0.3</v>
      </c>
      <c r="W472">
        <v>-953.44</v>
      </c>
      <c r="X472">
        <v>283.36</v>
      </c>
      <c r="Y472" t="s">
        <v>164</v>
      </c>
      <c r="Z472">
        <f>Superstore_Sales[[#This Row],[Sales]]*Superstore_Sales[[#This Row],[Quantity]]</f>
        <v>16107.98</v>
      </c>
      <c r="AA472" s="3">
        <f>Superstore_Sales[[#This Row],[TotalSales]]*Superstore_Sales[[#This Row],[Discount]]/100</f>
        <v>48.323939999999993</v>
      </c>
      <c r="AB472" s="2">
        <f>Superstore_Sales[[#This Row],[TotalSales]]-Superstore_Sales[[#This Row],[Dis_amt]]-Superstore_Sales[[#This Row],[Shipping Cost]]</f>
        <v>15776.296059999999</v>
      </c>
    </row>
    <row r="473" spans="1:28" x14ac:dyDescent="0.35">
      <c r="A473">
        <v>12764</v>
      </c>
      <c r="B473" t="s">
        <v>2462</v>
      </c>
      <c r="C473" s="1">
        <v>42203</v>
      </c>
      <c r="D473" s="1">
        <v>42203</v>
      </c>
      <c r="E473">
        <f>Superstore_Sales[[#This Row],[Ship Date]]-Superstore_Sales[[#This Row],[Order Date]]</f>
        <v>0</v>
      </c>
      <c r="F473" t="s">
        <v>73</v>
      </c>
      <c r="G473" t="s">
        <v>2463</v>
      </c>
      <c r="H473" t="s">
        <v>246</v>
      </c>
      <c r="I473" t="s">
        <v>43</v>
      </c>
      <c r="K473" t="s">
        <v>1382</v>
      </c>
      <c r="L473" t="s">
        <v>1382</v>
      </c>
      <c r="M473" t="s">
        <v>621</v>
      </c>
      <c r="N473" t="s">
        <v>68</v>
      </c>
      <c r="O473" t="s">
        <v>69</v>
      </c>
      <c r="P473" t="s">
        <v>1171</v>
      </c>
      <c r="Q473" t="s">
        <v>50</v>
      </c>
      <c r="R473" t="s">
        <v>336</v>
      </c>
      <c r="S473" t="s">
        <v>1172</v>
      </c>
      <c r="T473">
        <v>1100.52</v>
      </c>
      <c r="U473">
        <v>3</v>
      </c>
      <c r="V473">
        <v>0</v>
      </c>
      <c r="W473">
        <v>352.08</v>
      </c>
      <c r="X473">
        <v>283.25</v>
      </c>
      <c r="Y473" t="s">
        <v>53</v>
      </c>
      <c r="Z473">
        <f>Superstore_Sales[[#This Row],[Sales]]*Superstore_Sales[[#This Row],[Quantity]]</f>
        <v>3301.56</v>
      </c>
      <c r="AA473" s="3">
        <f>Superstore_Sales[[#This Row],[TotalSales]]*Superstore_Sales[[#This Row],[Discount]]/100</f>
        <v>0</v>
      </c>
      <c r="AB473" s="2">
        <f>Superstore_Sales[[#This Row],[TotalSales]]-Superstore_Sales[[#This Row],[Dis_amt]]-Superstore_Sales[[#This Row],[Shipping Cost]]</f>
        <v>3018.31</v>
      </c>
    </row>
    <row r="474" spans="1:28" x14ac:dyDescent="0.35">
      <c r="A474">
        <v>28750</v>
      </c>
      <c r="B474" t="s">
        <v>2464</v>
      </c>
      <c r="C474" s="1">
        <v>41248</v>
      </c>
      <c r="D474" s="1">
        <v>41255</v>
      </c>
      <c r="E474">
        <f>Superstore_Sales[[#This Row],[Ship Date]]-Superstore_Sales[[#This Row],[Order Date]]</f>
        <v>7</v>
      </c>
      <c r="F474" t="s">
        <v>98</v>
      </c>
      <c r="G474" t="s">
        <v>2465</v>
      </c>
      <c r="H474" t="s">
        <v>2466</v>
      </c>
      <c r="I474" t="s">
        <v>43</v>
      </c>
      <c r="K474" t="s">
        <v>1185</v>
      </c>
      <c r="L474" t="s">
        <v>1186</v>
      </c>
      <c r="M474" t="s">
        <v>144</v>
      </c>
      <c r="N474" t="s">
        <v>145</v>
      </c>
      <c r="O474" t="s">
        <v>48</v>
      </c>
      <c r="P474" t="s">
        <v>743</v>
      </c>
      <c r="Q474" t="s">
        <v>35</v>
      </c>
      <c r="R474" t="s">
        <v>81</v>
      </c>
      <c r="S474" t="s">
        <v>744</v>
      </c>
      <c r="T474">
        <v>2518.9499999999998</v>
      </c>
      <c r="U474">
        <v>7</v>
      </c>
      <c r="V474">
        <v>0</v>
      </c>
      <c r="W474">
        <v>553.98</v>
      </c>
      <c r="X474">
        <v>283.08999999999997</v>
      </c>
      <c r="Y474" t="s">
        <v>61</v>
      </c>
      <c r="Z474">
        <f>Superstore_Sales[[#This Row],[Sales]]*Superstore_Sales[[#This Row],[Quantity]]</f>
        <v>17632.649999999998</v>
      </c>
      <c r="AA474" s="3">
        <f>Superstore_Sales[[#This Row],[TotalSales]]*Superstore_Sales[[#This Row],[Discount]]/100</f>
        <v>0</v>
      </c>
      <c r="AB474" s="2">
        <f>Superstore_Sales[[#This Row],[TotalSales]]-Superstore_Sales[[#This Row],[Dis_amt]]-Superstore_Sales[[#This Row],[Shipping Cost]]</f>
        <v>17349.559999999998</v>
      </c>
    </row>
    <row r="475" spans="1:28" x14ac:dyDescent="0.35">
      <c r="A475">
        <v>12215</v>
      </c>
      <c r="B475" t="s">
        <v>2467</v>
      </c>
      <c r="C475" s="1">
        <v>42110</v>
      </c>
      <c r="D475" s="1">
        <v>42110</v>
      </c>
      <c r="E475">
        <f>Superstore_Sales[[#This Row],[Ship Date]]-Superstore_Sales[[#This Row],[Order Date]]</f>
        <v>0</v>
      </c>
      <c r="F475" t="s">
        <v>73</v>
      </c>
      <c r="G475" t="s">
        <v>2468</v>
      </c>
      <c r="H475" t="s">
        <v>1855</v>
      </c>
      <c r="I475" t="s">
        <v>43</v>
      </c>
      <c r="K475" t="s">
        <v>2469</v>
      </c>
      <c r="L475" t="s">
        <v>310</v>
      </c>
      <c r="M475" t="s">
        <v>210</v>
      </c>
      <c r="N475" t="s">
        <v>211</v>
      </c>
      <c r="O475" t="s">
        <v>69</v>
      </c>
      <c r="P475" t="s">
        <v>2470</v>
      </c>
      <c r="Q475" t="s">
        <v>50</v>
      </c>
      <c r="R475" t="s">
        <v>336</v>
      </c>
      <c r="S475" t="s">
        <v>2471</v>
      </c>
      <c r="T475">
        <v>996.3</v>
      </c>
      <c r="U475">
        <v>5</v>
      </c>
      <c r="V475">
        <v>0</v>
      </c>
      <c r="W475">
        <v>119.55</v>
      </c>
      <c r="X475">
        <v>282.58</v>
      </c>
      <c r="Y475" t="s">
        <v>53</v>
      </c>
      <c r="Z475">
        <f>Superstore_Sales[[#This Row],[Sales]]*Superstore_Sales[[#This Row],[Quantity]]</f>
        <v>4981.5</v>
      </c>
      <c r="AA475" s="3">
        <f>Superstore_Sales[[#This Row],[TotalSales]]*Superstore_Sales[[#This Row],[Discount]]/100</f>
        <v>0</v>
      </c>
      <c r="AB475" s="2">
        <f>Superstore_Sales[[#This Row],[TotalSales]]-Superstore_Sales[[#This Row],[Dis_amt]]-Superstore_Sales[[#This Row],[Shipping Cost]]</f>
        <v>4698.92</v>
      </c>
    </row>
    <row r="476" spans="1:28" x14ac:dyDescent="0.35">
      <c r="A476">
        <v>42837</v>
      </c>
      <c r="B476" t="s">
        <v>2472</v>
      </c>
      <c r="C476" s="1">
        <v>41153</v>
      </c>
      <c r="D476" s="1">
        <v>41153</v>
      </c>
      <c r="E476">
        <f>Superstore_Sales[[#This Row],[Ship Date]]-Superstore_Sales[[#This Row],[Order Date]]</f>
        <v>0</v>
      </c>
      <c r="F476" t="s">
        <v>73</v>
      </c>
      <c r="G476" t="s">
        <v>2473</v>
      </c>
      <c r="H476" t="s">
        <v>2474</v>
      </c>
      <c r="I476" t="s">
        <v>28</v>
      </c>
      <c r="K476" t="s">
        <v>1382</v>
      </c>
      <c r="L476" t="s">
        <v>1382</v>
      </c>
      <c r="M476" t="s">
        <v>621</v>
      </c>
      <c r="N476" t="s">
        <v>68</v>
      </c>
      <c r="O476" t="s">
        <v>69</v>
      </c>
      <c r="P476" t="s">
        <v>2475</v>
      </c>
      <c r="Q476" t="s">
        <v>50</v>
      </c>
      <c r="R476" t="s">
        <v>104</v>
      </c>
      <c r="S476" t="s">
        <v>2476</v>
      </c>
      <c r="T476">
        <v>922.95</v>
      </c>
      <c r="U476">
        <v>1</v>
      </c>
      <c r="V476">
        <v>0</v>
      </c>
      <c r="W476">
        <v>341.49</v>
      </c>
      <c r="X476">
        <v>282.08999999999997</v>
      </c>
      <c r="Y476" t="s">
        <v>53</v>
      </c>
      <c r="Z476">
        <f>Superstore_Sales[[#This Row],[Sales]]*Superstore_Sales[[#This Row],[Quantity]]</f>
        <v>922.95</v>
      </c>
      <c r="AA476" s="3">
        <f>Superstore_Sales[[#This Row],[TotalSales]]*Superstore_Sales[[#This Row],[Discount]]/100</f>
        <v>0</v>
      </c>
      <c r="AB476" s="2">
        <f>Superstore_Sales[[#This Row],[TotalSales]]-Superstore_Sales[[#This Row],[Dis_amt]]-Superstore_Sales[[#This Row],[Shipping Cost]]</f>
        <v>640.86000000000013</v>
      </c>
    </row>
    <row r="477" spans="1:28" x14ac:dyDescent="0.35">
      <c r="A477">
        <v>20009</v>
      </c>
      <c r="B477" t="s">
        <v>2477</v>
      </c>
      <c r="C477" s="1">
        <v>41852</v>
      </c>
      <c r="D477" s="1">
        <v>41853</v>
      </c>
      <c r="E477">
        <f>Superstore_Sales[[#This Row],[Ship Date]]-Superstore_Sales[[#This Row],[Order Date]]</f>
        <v>1</v>
      </c>
      <c r="F477" t="s">
        <v>25</v>
      </c>
      <c r="G477" t="s">
        <v>2478</v>
      </c>
      <c r="H477" t="s">
        <v>2479</v>
      </c>
      <c r="I477" t="s">
        <v>43</v>
      </c>
      <c r="K477" t="s">
        <v>2480</v>
      </c>
      <c r="L477" t="s">
        <v>154</v>
      </c>
      <c r="M477" t="s">
        <v>155</v>
      </c>
      <c r="N477" t="s">
        <v>68</v>
      </c>
      <c r="O477" t="s">
        <v>69</v>
      </c>
      <c r="P477" t="s">
        <v>1383</v>
      </c>
      <c r="Q477" t="s">
        <v>50</v>
      </c>
      <c r="R477" t="s">
        <v>336</v>
      </c>
      <c r="S477" t="s">
        <v>1384</v>
      </c>
      <c r="T477">
        <v>1850.45</v>
      </c>
      <c r="U477">
        <v>5</v>
      </c>
      <c r="V477">
        <v>0.1</v>
      </c>
      <c r="W477">
        <v>185</v>
      </c>
      <c r="X477">
        <v>281.82</v>
      </c>
      <c r="Y477" t="s">
        <v>38</v>
      </c>
      <c r="Z477">
        <f>Superstore_Sales[[#This Row],[Sales]]*Superstore_Sales[[#This Row],[Quantity]]</f>
        <v>9252.25</v>
      </c>
      <c r="AA477" s="3">
        <f>Superstore_Sales[[#This Row],[TotalSales]]*Superstore_Sales[[#This Row],[Discount]]/100</f>
        <v>9.2522500000000001</v>
      </c>
      <c r="AB477" s="2">
        <f>Superstore_Sales[[#This Row],[TotalSales]]-Superstore_Sales[[#This Row],[Dis_amt]]-Superstore_Sales[[#This Row],[Shipping Cost]]</f>
        <v>8961.1777500000007</v>
      </c>
    </row>
    <row r="478" spans="1:28" x14ac:dyDescent="0.35">
      <c r="A478">
        <v>10787</v>
      </c>
      <c r="B478" t="s">
        <v>2481</v>
      </c>
      <c r="C478" s="1">
        <v>42222</v>
      </c>
      <c r="D478" s="1">
        <v>42223</v>
      </c>
      <c r="E478">
        <f>Superstore_Sales[[#This Row],[Ship Date]]-Superstore_Sales[[#This Row],[Order Date]]</f>
        <v>1</v>
      </c>
      <c r="F478" t="s">
        <v>25</v>
      </c>
      <c r="G478" t="s">
        <v>2482</v>
      </c>
      <c r="H478" t="s">
        <v>2483</v>
      </c>
      <c r="I478" t="s">
        <v>28</v>
      </c>
      <c r="K478" t="s">
        <v>2484</v>
      </c>
      <c r="L478" t="s">
        <v>154</v>
      </c>
      <c r="M478" t="s">
        <v>155</v>
      </c>
      <c r="N478" t="s">
        <v>68</v>
      </c>
      <c r="O478" t="s">
        <v>69</v>
      </c>
      <c r="P478" t="s">
        <v>2485</v>
      </c>
      <c r="Q478" t="s">
        <v>35</v>
      </c>
      <c r="R478" t="s">
        <v>304</v>
      </c>
      <c r="S478" t="s">
        <v>2486</v>
      </c>
      <c r="T478">
        <v>1547.1</v>
      </c>
      <c r="U478">
        <v>6</v>
      </c>
      <c r="V478">
        <v>0</v>
      </c>
      <c r="W478">
        <v>340.2</v>
      </c>
      <c r="X478">
        <v>280.54000000000002</v>
      </c>
      <c r="Y478" t="s">
        <v>53</v>
      </c>
      <c r="Z478">
        <f>Superstore_Sales[[#This Row],[Sales]]*Superstore_Sales[[#This Row],[Quantity]]</f>
        <v>9282.5999999999985</v>
      </c>
      <c r="AA478" s="3">
        <f>Superstore_Sales[[#This Row],[TotalSales]]*Superstore_Sales[[#This Row],[Discount]]/100</f>
        <v>0</v>
      </c>
      <c r="AB478" s="2">
        <f>Superstore_Sales[[#This Row],[TotalSales]]-Superstore_Sales[[#This Row],[Dis_amt]]-Superstore_Sales[[#This Row],[Shipping Cost]]</f>
        <v>9002.0599999999977</v>
      </c>
    </row>
    <row r="479" spans="1:28" x14ac:dyDescent="0.35">
      <c r="A479">
        <v>30273</v>
      </c>
      <c r="B479" t="s">
        <v>2487</v>
      </c>
      <c r="C479" s="1">
        <v>42328</v>
      </c>
      <c r="D479" s="1">
        <v>42331</v>
      </c>
      <c r="E479">
        <f>Superstore_Sales[[#This Row],[Ship Date]]-Superstore_Sales[[#This Row],[Order Date]]</f>
        <v>3</v>
      </c>
      <c r="F479" t="s">
        <v>25</v>
      </c>
      <c r="G479" t="s">
        <v>2488</v>
      </c>
      <c r="H479" t="s">
        <v>851</v>
      </c>
      <c r="I479" t="s">
        <v>65</v>
      </c>
      <c r="K479" t="s">
        <v>1431</v>
      </c>
      <c r="L479" t="s">
        <v>1432</v>
      </c>
      <c r="M479" t="s">
        <v>1433</v>
      </c>
      <c r="N479" t="s">
        <v>322</v>
      </c>
      <c r="O479" t="s">
        <v>48</v>
      </c>
      <c r="P479" t="s">
        <v>1500</v>
      </c>
      <c r="Q479" t="s">
        <v>147</v>
      </c>
      <c r="R479" t="s">
        <v>148</v>
      </c>
      <c r="S479" t="s">
        <v>1501</v>
      </c>
      <c r="T479">
        <v>2190.9499999999998</v>
      </c>
      <c r="U479">
        <v>5</v>
      </c>
      <c r="V479">
        <v>0.17</v>
      </c>
      <c r="W479">
        <v>316.7</v>
      </c>
      <c r="X479">
        <v>280.47000000000003</v>
      </c>
      <c r="Y479" t="s">
        <v>61</v>
      </c>
      <c r="Z479">
        <f>Superstore_Sales[[#This Row],[Sales]]*Superstore_Sales[[#This Row],[Quantity]]</f>
        <v>10954.75</v>
      </c>
      <c r="AA479" s="3">
        <f>Superstore_Sales[[#This Row],[TotalSales]]*Superstore_Sales[[#This Row],[Discount]]/100</f>
        <v>18.623075</v>
      </c>
      <c r="AB479" s="2">
        <f>Superstore_Sales[[#This Row],[TotalSales]]-Superstore_Sales[[#This Row],[Dis_amt]]-Superstore_Sales[[#This Row],[Shipping Cost]]</f>
        <v>10655.656925000001</v>
      </c>
    </row>
    <row r="480" spans="1:28" x14ac:dyDescent="0.35">
      <c r="A480">
        <v>2378</v>
      </c>
      <c r="B480" t="s">
        <v>2489</v>
      </c>
      <c r="C480" s="1">
        <v>41398</v>
      </c>
      <c r="D480" s="1">
        <v>41403</v>
      </c>
      <c r="E480">
        <f>Superstore_Sales[[#This Row],[Ship Date]]-Superstore_Sales[[#This Row],[Order Date]]</f>
        <v>5</v>
      </c>
      <c r="F480" t="s">
        <v>98</v>
      </c>
      <c r="G480" t="s">
        <v>2490</v>
      </c>
      <c r="H480" t="s">
        <v>2491</v>
      </c>
      <c r="I480" t="s">
        <v>28</v>
      </c>
      <c r="K480" t="s">
        <v>1388</v>
      </c>
      <c r="L480" t="s">
        <v>1389</v>
      </c>
      <c r="M480" t="s">
        <v>219</v>
      </c>
      <c r="N480" t="s">
        <v>220</v>
      </c>
      <c r="O480" t="s">
        <v>136</v>
      </c>
      <c r="P480" t="s">
        <v>604</v>
      </c>
      <c r="Q480" t="s">
        <v>147</v>
      </c>
      <c r="R480" t="s">
        <v>148</v>
      </c>
      <c r="S480" t="s">
        <v>605</v>
      </c>
      <c r="T480">
        <v>3242.88</v>
      </c>
      <c r="U480">
        <v>9</v>
      </c>
      <c r="V480">
        <v>0</v>
      </c>
      <c r="W480">
        <v>324.18</v>
      </c>
      <c r="X480">
        <v>279.52999999999997</v>
      </c>
      <c r="Y480" t="s">
        <v>61</v>
      </c>
      <c r="Z480">
        <f>Superstore_Sales[[#This Row],[Sales]]*Superstore_Sales[[#This Row],[Quantity]]</f>
        <v>29185.920000000002</v>
      </c>
      <c r="AA480" s="3">
        <f>Superstore_Sales[[#This Row],[TotalSales]]*Superstore_Sales[[#This Row],[Discount]]/100</f>
        <v>0</v>
      </c>
      <c r="AB480" s="2">
        <f>Superstore_Sales[[#This Row],[TotalSales]]-Superstore_Sales[[#This Row],[Dis_amt]]-Superstore_Sales[[#This Row],[Shipping Cost]]</f>
        <v>28906.390000000003</v>
      </c>
    </row>
    <row r="481" spans="1:28" x14ac:dyDescent="0.35">
      <c r="A481">
        <v>47985</v>
      </c>
      <c r="B481" t="s">
        <v>2492</v>
      </c>
      <c r="C481" s="1">
        <v>41513</v>
      </c>
      <c r="D481" s="1">
        <v>41517</v>
      </c>
      <c r="E481">
        <f>Superstore_Sales[[#This Row],[Ship Date]]-Superstore_Sales[[#This Row],[Order Date]]</f>
        <v>4</v>
      </c>
      <c r="F481" t="s">
        <v>98</v>
      </c>
      <c r="G481" t="s">
        <v>2493</v>
      </c>
      <c r="H481" t="s">
        <v>2494</v>
      </c>
      <c r="I481" t="s">
        <v>28</v>
      </c>
      <c r="K481" t="s">
        <v>579</v>
      </c>
      <c r="L481" t="s">
        <v>580</v>
      </c>
      <c r="M481" t="s">
        <v>553</v>
      </c>
      <c r="N481" t="s">
        <v>554</v>
      </c>
      <c r="O481" t="s">
        <v>79</v>
      </c>
      <c r="P481" t="s">
        <v>87</v>
      </c>
      <c r="Q481" t="s">
        <v>35</v>
      </c>
      <c r="R481" t="s">
        <v>36</v>
      </c>
      <c r="S481" t="s">
        <v>88</v>
      </c>
      <c r="T481">
        <v>2544.6</v>
      </c>
      <c r="U481">
        <v>4</v>
      </c>
      <c r="V481">
        <v>0</v>
      </c>
      <c r="W481">
        <v>1246.8</v>
      </c>
      <c r="X481">
        <v>279.11</v>
      </c>
      <c r="Y481" t="s">
        <v>38</v>
      </c>
      <c r="Z481">
        <f>Superstore_Sales[[#This Row],[Sales]]*Superstore_Sales[[#This Row],[Quantity]]</f>
        <v>10178.4</v>
      </c>
      <c r="AA481" s="3">
        <f>Superstore_Sales[[#This Row],[TotalSales]]*Superstore_Sales[[#This Row],[Discount]]/100</f>
        <v>0</v>
      </c>
      <c r="AB481" s="2">
        <f>Superstore_Sales[[#This Row],[TotalSales]]-Superstore_Sales[[#This Row],[Dis_amt]]-Superstore_Sales[[#This Row],[Shipping Cost]]</f>
        <v>9899.2899999999991</v>
      </c>
    </row>
    <row r="482" spans="1:28" x14ac:dyDescent="0.35">
      <c r="A482">
        <v>46433</v>
      </c>
      <c r="B482" t="s">
        <v>2495</v>
      </c>
      <c r="C482" s="1">
        <v>41997</v>
      </c>
      <c r="D482" s="1">
        <v>42002</v>
      </c>
      <c r="E482">
        <f>Superstore_Sales[[#This Row],[Ship Date]]-Superstore_Sales[[#This Row],[Order Date]]</f>
        <v>5</v>
      </c>
      <c r="F482" t="s">
        <v>40</v>
      </c>
      <c r="G482" t="s">
        <v>2496</v>
      </c>
      <c r="H482" t="s">
        <v>2497</v>
      </c>
      <c r="I482" t="s">
        <v>28</v>
      </c>
      <c r="K482" t="s">
        <v>2498</v>
      </c>
      <c r="L482" t="s">
        <v>2499</v>
      </c>
      <c r="M482" t="s">
        <v>480</v>
      </c>
      <c r="N482" t="s">
        <v>195</v>
      </c>
      <c r="O482" t="s">
        <v>69</v>
      </c>
      <c r="P482" t="s">
        <v>645</v>
      </c>
      <c r="Q482" t="s">
        <v>35</v>
      </c>
      <c r="R482" t="s">
        <v>36</v>
      </c>
      <c r="S482" t="s">
        <v>646</v>
      </c>
      <c r="T482">
        <v>2605.56</v>
      </c>
      <c r="U482">
        <v>4</v>
      </c>
      <c r="V482">
        <v>0</v>
      </c>
      <c r="W482">
        <v>573.12</v>
      </c>
      <c r="X482">
        <v>278.98</v>
      </c>
      <c r="Y482" t="s">
        <v>61</v>
      </c>
      <c r="Z482">
        <f>Superstore_Sales[[#This Row],[Sales]]*Superstore_Sales[[#This Row],[Quantity]]</f>
        <v>10422.24</v>
      </c>
      <c r="AA482" s="3">
        <f>Superstore_Sales[[#This Row],[TotalSales]]*Superstore_Sales[[#This Row],[Discount]]/100</f>
        <v>0</v>
      </c>
      <c r="AB482" s="2">
        <f>Superstore_Sales[[#This Row],[TotalSales]]-Superstore_Sales[[#This Row],[Dis_amt]]-Superstore_Sales[[#This Row],[Shipping Cost]]</f>
        <v>10143.26</v>
      </c>
    </row>
    <row r="483" spans="1:28" x14ac:dyDescent="0.35">
      <c r="A483">
        <v>19915</v>
      </c>
      <c r="B483" t="s">
        <v>2500</v>
      </c>
      <c r="C483" s="1">
        <v>41668</v>
      </c>
      <c r="D483" s="1">
        <v>41670</v>
      </c>
      <c r="E483">
        <f>Superstore_Sales[[#This Row],[Ship Date]]-Superstore_Sales[[#This Row],[Order Date]]</f>
        <v>2</v>
      </c>
      <c r="F483" t="s">
        <v>40</v>
      </c>
      <c r="G483" t="s">
        <v>979</v>
      </c>
      <c r="H483" t="s">
        <v>980</v>
      </c>
      <c r="I483" t="s">
        <v>28</v>
      </c>
      <c r="K483" t="s">
        <v>920</v>
      </c>
      <c r="L483" t="s">
        <v>920</v>
      </c>
      <c r="M483" t="s">
        <v>463</v>
      </c>
      <c r="N483" t="s">
        <v>171</v>
      </c>
      <c r="O483" t="s">
        <v>69</v>
      </c>
      <c r="P483" t="s">
        <v>2267</v>
      </c>
      <c r="Q483" t="s">
        <v>147</v>
      </c>
      <c r="R483" t="s">
        <v>162</v>
      </c>
      <c r="S483" t="s">
        <v>2268</v>
      </c>
      <c r="T483">
        <v>1271.46</v>
      </c>
      <c r="U483">
        <v>11</v>
      </c>
      <c r="V483">
        <v>0.1</v>
      </c>
      <c r="W483">
        <v>-127.41</v>
      </c>
      <c r="X483">
        <v>278.75</v>
      </c>
      <c r="Y483" t="s">
        <v>38</v>
      </c>
      <c r="Z483">
        <f>Superstore_Sales[[#This Row],[Sales]]*Superstore_Sales[[#This Row],[Quantity]]</f>
        <v>13986.060000000001</v>
      </c>
      <c r="AA483" s="3">
        <f>Superstore_Sales[[#This Row],[TotalSales]]*Superstore_Sales[[#This Row],[Discount]]/100</f>
        <v>13.986060000000002</v>
      </c>
      <c r="AB483" s="2">
        <f>Superstore_Sales[[#This Row],[TotalSales]]-Superstore_Sales[[#This Row],[Dis_amt]]-Superstore_Sales[[#This Row],[Shipping Cost]]</f>
        <v>13693.323940000002</v>
      </c>
    </row>
    <row r="484" spans="1:28" x14ac:dyDescent="0.35">
      <c r="A484">
        <v>29802</v>
      </c>
      <c r="B484" t="s">
        <v>2501</v>
      </c>
      <c r="C484" s="1">
        <v>41608</v>
      </c>
      <c r="D484" s="1">
        <v>41612</v>
      </c>
      <c r="E484">
        <f>Superstore_Sales[[#This Row],[Ship Date]]-Superstore_Sales[[#This Row],[Order Date]]</f>
        <v>4</v>
      </c>
      <c r="F484" t="s">
        <v>40</v>
      </c>
      <c r="G484" t="s">
        <v>2502</v>
      </c>
      <c r="H484" t="s">
        <v>2503</v>
      </c>
      <c r="I484" t="s">
        <v>28</v>
      </c>
      <c r="K484" t="s">
        <v>1633</v>
      </c>
      <c r="L484" t="s">
        <v>1633</v>
      </c>
      <c r="M484" t="s">
        <v>1633</v>
      </c>
      <c r="N484" t="s">
        <v>322</v>
      </c>
      <c r="O484" t="s">
        <v>48</v>
      </c>
      <c r="P484" t="s">
        <v>2504</v>
      </c>
      <c r="Q484" t="s">
        <v>50</v>
      </c>
      <c r="R484" t="s">
        <v>336</v>
      </c>
      <c r="S484" t="s">
        <v>2505</v>
      </c>
      <c r="T484">
        <v>2051.1</v>
      </c>
      <c r="U484">
        <v>5</v>
      </c>
      <c r="V484">
        <v>0</v>
      </c>
      <c r="W484">
        <v>40.950000000000003</v>
      </c>
      <c r="X484">
        <v>278.13</v>
      </c>
      <c r="Y484" t="s">
        <v>38</v>
      </c>
      <c r="Z484">
        <f>Superstore_Sales[[#This Row],[Sales]]*Superstore_Sales[[#This Row],[Quantity]]</f>
        <v>10255.5</v>
      </c>
      <c r="AA484" s="3">
        <f>Superstore_Sales[[#This Row],[TotalSales]]*Superstore_Sales[[#This Row],[Discount]]/100</f>
        <v>0</v>
      </c>
      <c r="AB484" s="2">
        <f>Superstore_Sales[[#This Row],[TotalSales]]-Superstore_Sales[[#This Row],[Dis_amt]]-Superstore_Sales[[#This Row],[Shipping Cost]]</f>
        <v>9977.3700000000008</v>
      </c>
    </row>
    <row r="485" spans="1:28" x14ac:dyDescent="0.35">
      <c r="A485">
        <v>2645</v>
      </c>
      <c r="B485" t="s">
        <v>2506</v>
      </c>
      <c r="C485" s="1">
        <v>41780</v>
      </c>
      <c r="D485" s="1">
        <v>41782</v>
      </c>
      <c r="E485">
        <f>Superstore_Sales[[#This Row],[Ship Date]]-Superstore_Sales[[#This Row],[Order Date]]</f>
        <v>2</v>
      </c>
      <c r="F485" t="s">
        <v>40</v>
      </c>
      <c r="G485" t="s">
        <v>2507</v>
      </c>
      <c r="H485" t="s">
        <v>2508</v>
      </c>
      <c r="I485" t="s">
        <v>28</v>
      </c>
      <c r="K485" t="s">
        <v>227</v>
      </c>
      <c r="L485" t="s">
        <v>227</v>
      </c>
      <c r="M485" t="s">
        <v>228</v>
      </c>
      <c r="N485" t="s">
        <v>220</v>
      </c>
      <c r="O485" t="s">
        <v>136</v>
      </c>
      <c r="P485" t="s">
        <v>510</v>
      </c>
      <c r="Q485" t="s">
        <v>35</v>
      </c>
      <c r="R485" t="s">
        <v>36</v>
      </c>
      <c r="S485" t="s">
        <v>511</v>
      </c>
      <c r="T485">
        <v>2544.2399999999998</v>
      </c>
      <c r="U485">
        <v>6</v>
      </c>
      <c r="V485">
        <v>0</v>
      </c>
      <c r="W485">
        <v>992.16</v>
      </c>
      <c r="X485">
        <v>277.92500000000001</v>
      </c>
      <c r="Y485" t="s">
        <v>38</v>
      </c>
      <c r="Z485">
        <f>Superstore_Sales[[#This Row],[Sales]]*Superstore_Sales[[#This Row],[Quantity]]</f>
        <v>15265.439999999999</v>
      </c>
      <c r="AA485" s="3">
        <f>Superstore_Sales[[#This Row],[TotalSales]]*Superstore_Sales[[#This Row],[Discount]]/100</f>
        <v>0</v>
      </c>
      <c r="AB485" s="2">
        <f>Superstore_Sales[[#This Row],[TotalSales]]-Superstore_Sales[[#This Row],[Dis_amt]]-Superstore_Sales[[#This Row],[Shipping Cost]]</f>
        <v>14987.514999999999</v>
      </c>
    </row>
    <row r="486" spans="1:28" x14ac:dyDescent="0.35">
      <c r="A486">
        <v>11975</v>
      </c>
      <c r="B486" t="s">
        <v>2509</v>
      </c>
      <c r="C486" s="1">
        <v>42182</v>
      </c>
      <c r="D486" s="1">
        <v>42183</v>
      </c>
      <c r="E486">
        <f>Superstore_Sales[[#This Row],[Ship Date]]-Superstore_Sales[[#This Row],[Order Date]]</f>
        <v>1</v>
      </c>
      <c r="F486" t="s">
        <v>25</v>
      </c>
      <c r="G486" t="s">
        <v>2510</v>
      </c>
      <c r="H486" t="s">
        <v>2413</v>
      </c>
      <c r="I486" t="s">
        <v>65</v>
      </c>
      <c r="K486" t="s">
        <v>2511</v>
      </c>
      <c r="L486" t="s">
        <v>310</v>
      </c>
      <c r="M486" t="s">
        <v>210</v>
      </c>
      <c r="N486" t="s">
        <v>211</v>
      </c>
      <c r="O486" t="s">
        <v>69</v>
      </c>
      <c r="P486" t="s">
        <v>863</v>
      </c>
      <c r="Q486" t="s">
        <v>50</v>
      </c>
      <c r="R486" t="s">
        <v>336</v>
      </c>
      <c r="S486" t="s">
        <v>864</v>
      </c>
      <c r="T486">
        <v>1314.45</v>
      </c>
      <c r="U486">
        <v>3</v>
      </c>
      <c r="V486">
        <v>0</v>
      </c>
      <c r="W486">
        <v>341.73</v>
      </c>
      <c r="X486">
        <v>277.29000000000002</v>
      </c>
      <c r="Y486" t="s">
        <v>61</v>
      </c>
      <c r="Z486">
        <f>Superstore_Sales[[#This Row],[Sales]]*Superstore_Sales[[#This Row],[Quantity]]</f>
        <v>3943.3500000000004</v>
      </c>
      <c r="AA486" s="3">
        <f>Superstore_Sales[[#This Row],[TotalSales]]*Superstore_Sales[[#This Row],[Discount]]/100</f>
        <v>0</v>
      </c>
      <c r="AB486" s="2">
        <f>Superstore_Sales[[#This Row],[TotalSales]]-Superstore_Sales[[#This Row],[Dis_amt]]-Superstore_Sales[[#This Row],[Shipping Cost]]</f>
        <v>3666.0600000000004</v>
      </c>
    </row>
    <row r="487" spans="1:28" x14ac:dyDescent="0.35">
      <c r="A487">
        <v>7666</v>
      </c>
      <c r="B487" t="s">
        <v>2512</v>
      </c>
      <c r="C487" s="1">
        <v>41845</v>
      </c>
      <c r="D487" s="1">
        <v>41848</v>
      </c>
      <c r="E487">
        <f>Superstore_Sales[[#This Row],[Ship Date]]-Superstore_Sales[[#This Row],[Order Date]]</f>
        <v>3</v>
      </c>
      <c r="F487" t="s">
        <v>25</v>
      </c>
      <c r="G487" t="s">
        <v>2513</v>
      </c>
      <c r="H487" t="s">
        <v>2514</v>
      </c>
      <c r="I487" t="s">
        <v>43</v>
      </c>
      <c r="K487" t="s">
        <v>831</v>
      </c>
      <c r="L487" t="s">
        <v>831</v>
      </c>
      <c r="M487" t="s">
        <v>134</v>
      </c>
      <c r="N487" t="s">
        <v>135</v>
      </c>
      <c r="O487" t="s">
        <v>136</v>
      </c>
      <c r="P487" t="s">
        <v>2515</v>
      </c>
      <c r="Q487" t="s">
        <v>50</v>
      </c>
      <c r="R487" t="s">
        <v>104</v>
      </c>
      <c r="S487" t="s">
        <v>2516</v>
      </c>
      <c r="T487">
        <v>980.32</v>
      </c>
      <c r="U487">
        <v>2</v>
      </c>
      <c r="V487">
        <v>0.2</v>
      </c>
      <c r="W487">
        <v>110.28</v>
      </c>
      <c r="X487">
        <v>276.71300000000002</v>
      </c>
      <c r="Y487" t="s">
        <v>61</v>
      </c>
      <c r="Z487">
        <f>Superstore_Sales[[#This Row],[Sales]]*Superstore_Sales[[#This Row],[Quantity]]</f>
        <v>1960.64</v>
      </c>
      <c r="AA487" s="3">
        <f>Superstore_Sales[[#This Row],[TotalSales]]*Superstore_Sales[[#This Row],[Discount]]/100</f>
        <v>3.9212800000000003</v>
      </c>
      <c r="AB487" s="2">
        <f>Superstore_Sales[[#This Row],[TotalSales]]-Superstore_Sales[[#This Row],[Dis_amt]]-Superstore_Sales[[#This Row],[Shipping Cost]]</f>
        <v>1680.0057200000001</v>
      </c>
    </row>
    <row r="488" spans="1:28" x14ac:dyDescent="0.35">
      <c r="A488">
        <v>23278</v>
      </c>
      <c r="B488" t="s">
        <v>2517</v>
      </c>
      <c r="C488" s="1">
        <v>41208</v>
      </c>
      <c r="D488" s="1">
        <v>41210</v>
      </c>
      <c r="E488">
        <f>Superstore_Sales[[#This Row],[Ship Date]]-Superstore_Sales[[#This Row],[Order Date]]</f>
        <v>2</v>
      </c>
      <c r="F488" t="s">
        <v>40</v>
      </c>
      <c r="G488" t="s">
        <v>2518</v>
      </c>
      <c r="H488" t="s">
        <v>2519</v>
      </c>
      <c r="I488" t="s">
        <v>28</v>
      </c>
      <c r="K488" t="s">
        <v>2520</v>
      </c>
      <c r="L488" t="s">
        <v>202</v>
      </c>
      <c r="M488" t="s">
        <v>144</v>
      </c>
      <c r="N488" t="s">
        <v>145</v>
      </c>
      <c r="O488" t="s">
        <v>48</v>
      </c>
      <c r="P488" t="s">
        <v>2521</v>
      </c>
      <c r="Q488" t="s">
        <v>50</v>
      </c>
      <c r="R488" t="s">
        <v>336</v>
      </c>
      <c r="S488" t="s">
        <v>2522</v>
      </c>
      <c r="T488">
        <v>2470.5</v>
      </c>
      <c r="U488">
        <v>6</v>
      </c>
      <c r="V488">
        <v>0</v>
      </c>
      <c r="W488">
        <v>518.76</v>
      </c>
      <c r="X488">
        <v>276.29000000000002</v>
      </c>
      <c r="Y488" t="s">
        <v>61</v>
      </c>
      <c r="Z488">
        <f>Superstore_Sales[[#This Row],[Sales]]*Superstore_Sales[[#This Row],[Quantity]]</f>
        <v>14823</v>
      </c>
      <c r="AA488" s="3">
        <f>Superstore_Sales[[#This Row],[TotalSales]]*Superstore_Sales[[#This Row],[Discount]]/100</f>
        <v>0</v>
      </c>
      <c r="AB488" s="2">
        <f>Superstore_Sales[[#This Row],[TotalSales]]-Superstore_Sales[[#This Row],[Dis_amt]]-Superstore_Sales[[#This Row],[Shipping Cost]]</f>
        <v>14546.71</v>
      </c>
    </row>
    <row r="489" spans="1:28" x14ac:dyDescent="0.35">
      <c r="A489">
        <v>30694</v>
      </c>
      <c r="B489" t="s">
        <v>2523</v>
      </c>
      <c r="C489" s="1">
        <v>41634</v>
      </c>
      <c r="D489" s="1">
        <v>41635</v>
      </c>
      <c r="E489">
        <f>Superstore_Sales[[#This Row],[Ship Date]]-Superstore_Sales[[#This Row],[Order Date]]</f>
        <v>1</v>
      </c>
      <c r="F489" t="s">
        <v>25</v>
      </c>
      <c r="G489" t="s">
        <v>2524</v>
      </c>
      <c r="H489" t="s">
        <v>2525</v>
      </c>
      <c r="I489" t="s">
        <v>65</v>
      </c>
      <c r="K489" t="s">
        <v>2526</v>
      </c>
      <c r="L489" t="s">
        <v>93</v>
      </c>
      <c r="M489" t="s">
        <v>94</v>
      </c>
      <c r="N489" t="s">
        <v>47</v>
      </c>
      <c r="O489" t="s">
        <v>48</v>
      </c>
      <c r="P489" t="s">
        <v>2527</v>
      </c>
      <c r="Q489" t="s">
        <v>50</v>
      </c>
      <c r="R489" t="s">
        <v>336</v>
      </c>
      <c r="S489" t="s">
        <v>2528</v>
      </c>
      <c r="T489">
        <v>877.02</v>
      </c>
      <c r="U489">
        <v>2</v>
      </c>
      <c r="V489">
        <v>0</v>
      </c>
      <c r="W489">
        <v>105.24</v>
      </c>
      <c r="X489">
        <v>275.91000000000003</v>
      </c>
      <c r="Y489" t="s">
        <v>53</v>
      </c>
      <c r="Z489">
        <f>Superstore_Sales[[#This Row],[Sales]]*Superstore_Sales[[#This Row],[Quantity]]</f>
        <v>1754.04</v>
      </c>
      <c r="AA489" s="3">
        <f>Superstore_Sales[[#This Row],[TotalSales]]*Superstore_Sales[[#This Row],[Discount]]/100</f>
        <v>0</v>
      </c>
      <c r="AB489" s="2">
        <f>Superstore_Sales[[#This Row],[TotalSales]]-Superstore_Sales[[#This Row],[Dis_amt]]-Superstore_Sales[[#This Row],[Shipping Cost]]</f>
        <v>1478.1299999999999</v>
      </c>
    </row>
    <row r="490" spans="1:28" x14ac:dyDescent="0.35">
      <c r="A490">
        <v>30581</v>
      </c>
      <c r="B490" t="s">
        <v>2529</v>
      </c>
      <c r="C490" s="1">
        <v>41401</v>
      </c>
      <c r="D490" s="1">
        <v>41404</v>
      </c>
      <c r="E490">
        <f>Superstore_Sales[[#This Row],[Ship Date]]-Superstore_Sales[[#This Row],[Order Date]]</f>
        <v>3</v>
      </c>
      <c r="F490" t="s">
        <v>25</v>
      </c>
      <c r="G490" t="s">
        <v>2530</v>
      </c>
      <c r="H490" t="s">
        <v>2531</v>
      </c>
      <c r="I490" t="s">
        <v>65</v>
      </c>
      <c r="K490" t="s">
        <v>2532</v>
      </c>
      <c r="L490" t="s">
        <v>2533</v>
      </c>
      <c r="M490" t="s">
        <v>94</v>
      </c>
      <c r="N490" t="s">
        <v>47</v>
      </c>
      <c r="O490" t="s">
        <v>48</v>
      </c>
      <c r="P490" t="s">
        <v>2534</v>
      </c>
      <c r="Q490" t="s">
        <v>35</v>
      </c>
      <c r="R490" t="s">
        <v>81</v>
      </c>
      <c r="S490" t="s">
        <v>2535</v>
      </c>
      <c r="T490">
        <v>1917.36</v>
      </c>
      <c r="U490">
        <v>6</v>
      </c>
      <c r="V490">
        <v>0</v>
      </c>
      <c r="W490">
        <v>747.72</v>
      </c>
      <c r="X490">
        <v>275.57</v>
      </c>
      <c r="Y490" t="s">
        <v>61</v>
      </c>
      <c r="Z490">
        <f>Superstore_Sales[[#This Row],[Sales]]*Superstore_Sales[[#This Row],[Quantity]]</f>
        <v>11504.16</v>
      </c>
      <c r="AA490" s="3">
        <f>Superstore_Sales[[#This Row],[TotalSales]]*Superstore_Sales[[#This Row],[Discount]]/100</f>
        <v>0</v>
      </c>
      <c r="AB490" s="2">
        <f>Superstore_Sales[[#This Row],[TotalSales]]-Superstore_Sales[[#This Row],[Dis_amt]]-Superstore_Sales[[#This Row],[Shipping Cost]]</f>
        <v>11228.59</v>
      </c>
    </row>
    <row r="491" spans="1:28" x14ac:dyDescent="0.35">
      <c r="A491">
        <v>20626</v>
      </c>
      <c r="B491" t="s">
        <v>2536</v>
      </c>
      <c r="C491" s="1">
        <v>40916</v>
      </c>
      <c r="D491" s="1">
        <v>40920</v>
      </c>
      <c r="E491">
        <f>Superstore_Sales[[#This Row],[Ship Date]]-Superstore_Sales[[#This Row],[Order Date]]</f>
        <v>4</v>
      </c>
      <c r="F491" t="s">
        <v>40</v>
      </c>
      <c r="G491" t="s">
        <v>2537</v>
      </c>
      <c r="H491" t="s">
        <v>2538</v>
      </c>
      <c r="I491" t="s">
        <v>65</v>
      </c>
      <c r="K491" t="s">
        <v>2539</v>
      </c>
      <c r="L491" t="s">
        <v>2540</v>
      </c>
      <c r="M491" t="s">
        <v>144</v>
      </c>
      <c r="N491" t="s">
        <v>145</v>
      </c>
      <c r="O491" t="s">
        <v>48</v>
      </c>
      <c r="P491" t="s">
        <v>2541</v>
      </c>
      <c r="Q491" t="s">
        <v>35</v>
      </c>
      <c r="R491" t="s">
        <v>275</v>
      </c>
      <c r="S491" t="s">
        <v>2542</v>
      </c>
      <c r="T491">
        <v>2173.5</v>
      </c>
      <c r="U491">
        <v>7</v>
      </c>
      <c r="V491">
        <v>0</v>
      </c>
      <c r="W491">
        <v>260.82</v>
      </c>
      <c r="X491">
        <v>275.52</v>
      </c>
      <c r="Y491" t="s">
        <v>61</v>
      </c>
      <c r="Z491">
        <f>Superstore_Sales[[#This Row],[Sales]]*Superstore_Sales[[#This Row],[Quantity]]</f>
        <v>15214.5</v>
      </c>
      <c r="AA491" s="3">
        <f>Superstore_Sales[[#This Row],[TotalSales]]*Superstore_Sales[[#This Row],[Discount]]/100</f>
        <v>0</v>
      </c>
      <c r="AB491" s="2">
        <f>Superstore_Sales[[#This Row],[TotalSales]]-Superstore_Sales[[#This Row],[Dis_amt]]-Superstore_Sales[[#This Row],[Shipping Cost]]</f>
        <v>14938.98</v>
      </c>
    </row>
    <row r="492" spans="1:28" x14ac:dyDescent="0.35">
      <c r="A492">
        <v>36955</v>
      </c>
      <c r="B492" t="s">
        <v>2543</v>
      </c>
      <c r="C492" s="1">
        <v>41992</v>
      </c>
      <c r="D492" s="1">
        <v>41995</v>
      </c>
      <c r="E492">
        <f>Superstore_Sales[[#This Row],[Ship Date]]-Superstore_Sales[[#This Row],[Order Date]]</f>
        <v>3</v>
      </c>
      <c r="F492" t="s">
        <v>25</v>
      </c>
      <c r="G492" t="s">
        <v>2544</v>
      </c>
      <c r="H492" t="s">
        <v>2545</v>
      </c>
      <c r="I492" t="s">
        <v>65</v>
      </c>
      <c r="J492">
        <v>97301</v>
      </c>
      <c r="K492" t="s">
        <v>1851</v>
      </c>
      <c r="L492" t="s">
        <v>563</v>
      </c>
      <c r="M492" t="s">
        <v>31</v>
      </c>
      <c r="N492" t="s">
        <v>110</v>
      </c>
      <c r="O492" t="s">
        <v>33</v>
      </c>
      <c r="P492" t="s">
        <v>2546</v>
      </c>
      <c r="Q492" t="s">
        <v>50</v>
      </c>
      <c r="R492" t="s">
        <v>104</v>
      </c>
      <c r="S492" t="s">
        <v>2547</v>
      </c>
      <c r="T492">
        <v>377.45</v>
      </c>
      <c r="U492">
        <v>5</v>
      </c>
      <c r="V492">
        <v>0.5</v>
      </c>
      <c r="W492">
        <v>-264.22000000000003</v>
      </c>
      <c r="X492">
        <v>55.53</v>
      </c>
      <c r="Y492" t="s">
        <v>61</v>
      </c>
      <c r="Z492">
        <f>Superstore_Sales[[#This Row],[Sales]]*Superstore_Sales[[#This Row],[Quantity]]</f>
        <v>1887.25</v>
      </c>
      <c r="AA492" s="3">
        <f>Superstore_Sales[[#This Row],[TotalSales]]*Superstore_Sales[[#This Row],[Discount]]/100</f>
        <v>9.4362499999999994</v>
      </c>
      <c r="AB492" s="2">
        <f>Superstore_Sales[[#This Row],[TotalSales]]-Superstore_Sales[[#This Row],[Dis_amt]]-Superstore_Sales[[#This Row],[Shipping Cost]]</f>
        <v>1822.2837500000001</v>
      </c>
    </row>
    <row r="493" spans="1:28" x14ac:dyDescent="0.35">
      <c r="A493">
        <v>35948</v>
      </c>
      <c r="B493" t="s">
        <v>2548</v>
      </c>
      <c r="C493" s="1">
        <v>42103</v>
      </c>
      <c r="D493" s="1">
        <v>42107</v>
      </c>
      <c r="E493">
        <f>Superstore_Sales[[#This Row],[Ship Date]]-Superstore_Sales[[#This Row],[Order Date]]</f>
        <v>4</v>
      </c>
      <c r="F493" t="s">
        <v>98</v>
      </c>
      <c r="G493" t="s">
        <v>2544</v>
      </c>
      <c r="H493" t="s">
        <v>2545</v>
      </c>
      <c r="I493" t="s">
        <v>65</v>
      </c>
      <c r="J493">
        <v>94110</v>
      </c>
      <c r="K493" t="s">
        <v>279</v>
      </c>
      <c r="L493" t="s">
        <v>280</v>
      </c>
      <c r="M493" t="s">
        <v>31</v>
      </c>
      <c r="N493" t="s">
        <v>110</v>
      </c>
      <c r="O493" t="s">
        <v>33</v>
      </c>
      <c r="P493" t="s">
        <v>2549</v>
      </c>
      <c r="Q493" t="s">
        <v>147</v>
      </c>
      <c r="R493" t="s">
        <v>672</v>
      </c>
      <c r="S493" t="s">
        <v>2550</v>
      </c>
      <c r="T493">
        <v>195.76</v>
      </c>
      <c r="U493">
        <v>4</v>
      </c>
      <c r="V493">
        <v>0</v>
      </c>
      <c r="W493">
        <v>97.88</v>
      </c>
      <c r="X493">
        <v>34.03</v>
      </c>
      <c r="Y493" t="s">
        <v>38</v>
      </c>
      <c r="Z493">
        <f>Superstore_Sales[[#This Row],[Sales]]*Superstore_Sales[[#This Row],[Quantity]]</f>
        <v>783.04</v>
      </c>
      <c r="AA493" s="3">
        <f>Superstore_Sales[[#This Row],[TotalSales]]*Superstore_Sales[[#This Row],[Discount]]/100</f>
        <v>0</v>
      </c>
      <c r="AB493" s="2">
        <f>Superstore_Sales[[#This Row],[TotalSales]]-Superstore_Sales[[#This Row],[Dis_amt]]-Superstore_Sales[[#This Row],[Shipping Cost]]</f>
        <v>749.01</v>
      </c>
    </row>
    <row r="494" spans="1:28" x14ac:dyDescent="0.35">
      <c r="A494">
        <v>16678</v>
      </c>
      <c r="B494" t="s">
        <v>2551</v>
      </c>
      <c r="C494" s="1">
        <v>41077</v>
      </c>
      <c r="D494" s="1">
        <v>41079</v>
      </c>
      <c r="E494">
        <f>Superstore_Sales[[#This Row],[Ship Date]]-Superstore_Sales[[#This Row],[Order Date]]</f>
        <v>2</v>
      </c>
      <c r="F494" t="s">
        <v>40</v>
      </c>
      <c r="G494" t="s">
        <v>2552</v>
      </c>
      <c r="H494" t="s">
        <v>1215</v>
      </c>
      <c r="I494" t="s">
        <v>28</v>
      </c>
      <c r="K494" t="s">
        <v>2553</v>
      </c>
      <c r="L494" t="s">
        <v>2554</v>
      </c>
      <c r="M494" t="s">
        <v>463</v>
      </c>
      <c r="N494" t="s">
        <v>171</v>
      </c>
      <c r="O494" t="s">
        <v>69</v>
      </c>
      <c r="P494" t="s">
        <v>2555</v>
      </c>
      <c r="Q494" t="s">
        <v>50</v>
      </c>
      <c r="R494" t="s">
        <v>336</v>
      </c>
      <c r="S494" t="s">
        <v>2556</v>
      </c>
      <c r="T494">
        <v>1814.25</v>
      </c>
      <c r="U494">
        <v>5</v>
      </c>
      <c r="V494">
        <v>0</v>
      </c>
      <c r="W494">
        <v>653.1</v>
      </c>
      <c r="X494">
        <v>274.63</v>
      </c>
      <c r="Y494" t="s">
        <v>38</v>
      </c>
      <c r="Z494">
        <f>Superstore_Sales[[#This Row],[Sales]]*Superstore_Sales[[#This Row],[Quantity]]</f>
        <v>9071.25</v>
      </c>
      <c r="AA494" s="3">
        <f>Superstore_Sales[[#This Row],[TotalSales]]*Superstore_Sales[[#This Row],[Discount]]/100</f>
        <v>0</v>
      </c>
      <c r="AB494" s="2">
        <f>Superstore_Sales[[#This Row],[TotalSales]]-Superstore_Sales[[#This Row],[Dis_amt]]-Superstore_Sales[[#This Row],[Shipping Cost]]</f>
        <v>8796.6200000000008</v>
      </c>
    </row>
    <row r="495" spans="1:28" x14ac:dyDescent="0.35">
      <c r="A495">
        <v>18994</v>
      </c>
      <c r="B495" t="s">
        <v>2557</v>
      </c>
      <c r="C495" s="1">
        <v>41283</v>
      </c>
      <c r="D495" s="1">
        <v>41284</v>
      </c>
      <c r="E495">
        <f>Superstore_Sales[[#This Row],[Ship Date]]-Superstore_Sales[[#This Row],[Order Date]]</f>
        <v>1</v>
      </c>
      <c r="F495" t="s">
        <v>25</v>
      </c>
      <c r="G495" t="s">
        <v>2558</v>
      </c>
      <c r="H495" t="s">
        <v>2559</v>
      </c>
      <c r="I495" t="s">
        <v>28</v>
      </c>
      <c r="K495" t="s">
        <v>2560</v>
      </c>
      <c r="L495" t="s">
        <v>2561</v>
      </c>
      <c r="M495" t="s">
        <v>2562</v>
      </c>
      <c r="N495" t="s">
        <v>211</v>
      </c>
      <c r="O495" t="s">
        <v>69</v>
      </c>
      <c r="P495" t="s">
        <v>418</v>
      </c>
      <c r="Q495" t="s">
        <v>147</v>
      </c>
      <c r="R495" t="s">
        <v>148</v>
      </c>
      <c r="S495" t="s">
        <v>419</v>
      </c>
      <c r="T495">
        <v>1293.68</v>
      </c>
      <c r="U495">
        <v>5</v>
      </c>
      <c r="V495">
        <v>0.5</v>
      </c>
      <c r="W495">
        <v>-776.33</v>
      </c>
      <c r="X495">
        <v>274.58</v>
      </c>
      <c r="Y495" t="s">
        <v>53</v>
      </c>
      <c r="Z495">
        <f>Superstore_Sales[[#This Row],[Sales]]*Superstore_Sales[[#This Row],[Quantity]]</f>
        <v>6468.4000000000005</v>
      </c>
      <c r="AA495" s="3">
        <f>Superstore_Sales[[#This Row],[TotalSales]]*Superstore_Sales[[#This Row],[Discount]]/100</f>
        <v>32.342000000000006</v>
      </c>
      <c r="AB495" s="2">
        <f>Superstore_Sales[[#This Row],[TotalSales]]-Superstore_Sales[[#This Row],[Dis_amt]]-Superstore_Sales[[#This Row],[Shipping Cost]]</f>
        <v>6161.478000000001</v>
      </c>
    </row>
    <row r="496" spans="1:28" x14ac:dyDescent="0.35">
      <c r="A496">
        <v>17903</v>
      </c>
      <c r="B496" t="s">
        <v>2563</v>
      </c>
      <c r="C496" s="1">
        <v>42046</v>
      </c>
      <c r="D496" s="1">
        <v>42050</v>
      </c>
      <c r="E496">
        <f>Superstore_Sales[[#This Row],[Ship Date]]-Superstore_Sales[[#This Row],[Order Date]]</f>
        <v>4</v>
      </c>
      <c r="F496" t="s">
        <v>98</v>
      </c>
      <c r="G496" t="s">
        <v>2564</v>
      </c>
      <c r="H496" t="s">
        <v>964</v>
      </c>
      <c r="I496" t="s">
        <v>43</v>
      </c>
      <c r="K496" t="s">
        <v>2565</v>
      </c>
      <c r="L496" t="s">
        <v>2566</v>
      </c>
      <c r="M496" t="s">
        <v>463</v>
      </c>
      <c r="N496" t="s">
        <v>171</v>
      </c>
      <c r="O496" t="s">
        <v>69</v>
      </c>
      <c r="P496" t="s">
        <v>2567</v>
      </c>
      <c r="Q496" t="s">
        <v>147</v>
      </c>
      <c r="R496" t="s">
        <v>148</v>
      </c>
      <c r="S496" t="s">
        <v>2568</v>
      </c>
      <c r="T496">
        <v>2477.5500000000002</v>
      </c>
      <c r="U496">
        <v>5</v>
      </c>
      <c r="V496">
        <v>0</v>
      </c>
      <c r="W496">
        <v>1040.55</v>
      </c>
      <c r="X496">
        <v>273.88</v>
      </c>
      <c r="Y496" t="s">
        <v>38</v>
      </c>
      <c r="Z496">
        <f>Superstore_Sales[[#This Row],[Sales]]*Superstore_Sales[[#This Row],[Quantity]]</f>
        <v>12387.75</v>
      </c>
      <c r="AA496" s="3">
        <f>Superstore_Sales[[#This Row],[TotalSales]]*Superstore_Sales[[#This Row],[Discount]]/100</f>
        <v>0</v>
      </c>
      <c r="AB496" s="2">
        <f>Superstore_Sales[[#This Row],[TotalSales]]-Superstore_Sales[[#This Row],[Dis_amt]]-Superstore_Sales[[#This Row],[Shipping Cost]]</f>
        <v>12113.87</v>
      </c>
    </row>
    <row r="497" spans="1:28" x14ac:dyDescent="0.35">
      <c r="A497">
        <v>33399</v>
      </c>
      <c r="B497" t="s">
        <v>2569</v>
      </c>
      <c r="C497" s="1">
        <v>41107</v>
      </c>
      <c r="D497" s="1">
        <v>41107</v>
      </c>
      <c r="E497">
        <f>Superstore_Sales[[#This Row],[Ship Date]]-Superstore_Sales[[#This Row],[Order Date]]</f>
        <v>0</v>
      </c>
      <c r="F497" t="s">
        <v>73</v>
      </c>
      <c r="G497" t="s">
        <v>2544</v>
      </c>
      <c r="H497" t="s">
        <v>2545</v>
      </c>
      <c r="I497" t="s">
        <v>65</v>
      </c>
      <c r="J497">
        <v>85705</v>
      </c>
      <c r="K497" t="s">
        <v>2570</v>
      </c>
      <c r="L497" t="s">
        <v>2082</v>
      </c>
      <c r="M497" t="s">
        <v>31</v>
      </c>
      <c r="N497" t="s">
        <v>110</v>
      </c>
      <c r="O497" t="s">
        <v>33</v>
      </c>
      <c r="P497" t="s">
        <v>2571</v>
      </c>
      <c r="Q497" t="s">
        <v>50</v>
      </c>
      <c r="R497" t="s">
        <v>51</v>
      </c>
      <c r="S497" t="s">
        <v>2572</v>
      </c>
      <c r="T497">
        <v>259.14</v>
      </c>
      <c r="U497">
        <v>4</v>
      </c>
      <c r="V497">
        <v>0.2</v>
      </c>
      <c r="W497">
        <v>-25.91</v>
      </c>
      <c r="X497">
        <v>31.15</v>
      </c>
      <c r="Y497" t="s">
        <v>38</v>
      </c>
      <c r="Z497">
        <f>Superstore_Sales[[#This Row],[Sales]]*Superstore_Sales[[#This Row],[Quantity]]</f>
        <v>1036.56</v>
      </c>
      <c r="AA497" s="3">
        <f>Superstore_Sales[[#This Row],[TotalSales]]*Superstore_Sales[[#This Row],[Discount]]/100</f>
        <v>2.0731200000000003</v>
      </c>
      <c r="AB497" s="2">
        <f>Superstore_Sales[[#This Row],[TotalSales]]-Superstore_Sales[[#This Row],[Dis_amt]]-Superstore_Sales[[#This Row],[Shipping Cost]]</f>
        <v>1003.33688</v>
      </c>
    </row>
    <row r="498" spans="1:28" x14ac:dyDescent="0.35">
      <c r="A498">
        <v>25276</v>
      </c>
      <c r="B498" t="s">
        <v>2573</v>
      </c>
      <c r="C498" s="1">
        <v>41376</v>
      </c>
      <c r="D498" s="1">
        <v>41378</v>
      </c>
      <c r="E498">
        <f>Superstore_Sales[[#This Row],[Ship Date]]-Superstore_Sales[[#This Row],[Order Date]]</f>
        <v>2</v>
      </c>
      <c r="F498" t="s">
        <v>40</v>
      </c>
      <c r="G498" t="s">
        <v>2574</v>
      </c>
      <c r="H498" t="s">
        <v>2575</v>
      </c>
      <c r="I498" t="s">
        <v>43</v>
      </c>
      <c r="K498" t="s">
        <v>2576</v>
      </c>
      <c r="L498" t="s">
        <v>1946</v>
      </c>
      <c r="M498" t="s">
        <v>258</v>
      </c>
      <c r="N498" t="s">
        <v>118</v>
      </c>
      <c r="O498" t="s">
        <v>48</v>
      </c>
      <c r="P498" t="s">
        <v>884</v>
      </c>
      <c r="Q498" t="s">
        <v>35</v>
      </c>
      <c r="R498" t="s">
        <v>81</v>
      </c>
      <c r="S498" t="s">
        <v>885</v>
      </c>
      <c r="T498">
        <v>723.3</v>
      </c>
      <c r="U498">
        <v>2</v>
      </c>
      <c r="V498">
        <v>0</v>
      </c>
      <c r="W498">
        <v>332.7</v>
      </c>
      <c r="X498">
        <v>273.63</v>
      </c>
      <c r="Y498" t="s">
        <v>53</v>
      </c>
      <c r="Z498">
        <f>Superstore_Sales[[#This Row],[Sales]]*Superstore_Sales[[#This Row],[Quantity]]</f>
        <v>1446.6</v>
      </c>
      <c r="AA498" s="3">
        <f>Superstore_Sales[[#This Row],[TotalSales]]*Superstore_Sales[[#This Row],[Discount]]/100</f>
        <v>0</v>
      </c>
      <c r="AB498" s="2">
        <f>Superstore_Sales[[#This Row],[TotalSales]]-Superstore_Sales[[#This Row],[Dis_amt]]-Superstore_Sales[[#This Row],[Shipping Cost]]</f>
        <v>1172.9699999999998</v>
      </c>
    </row>
    <row r="499" spans="1:28" x14ac:dyDescent="0.35">
      <c r="A499">
        <v>19882</v>
      </c>
      <c r="B499" t="s">
        <v>2577</v>
      </c>
      <c r="C499" s="1">
        <v>42007</v>
      </c>
      <c r="D499" s="1">
        <v>42008</v>
      </c>
      <c r="E499">
        <f>Superstore_Sales[[#This Row],[Ship Date]]-Superstore_Sales[[#This Row],[Order Date]]</f>
        <v>1</v>
      </c>
      <c r="F499" t="s">
        <v>73</v>
      </c>
      <c r="G499" t="s">
        <v>2578</v>
      </c>
      <c r="H499" t="s">
        <v>2579</v>
      </c>
      <c r="I499" t="s">
        <v>28</v>
      </c>
      <c r="K499" t="s">
        <v>2580</v>
      </c>
      <c r="L499" t="s">
        <v>982</v>
      </c>
      <c r="M499" t="s">
        <v>463</v>
      </c>
      <c r="N499" t="s">
        <v>171</v>
      </c>
      <c r="O499" t="s">
        <v>69</v>
      </c>
      <c r="P499" t="s">
        <v>2581</v>
      </c>
      <c r="Q499" t="s">
        <v>35</v>
      </c>
      <c r="R499" t="s">
        <v>81</v>
      </c>
      <c r="S499" t="s">
        <v>2582</v>
      </c>
      <c r="T499">
        <v>2097.12</v>
      </c>
      <c r="U499">
        <v>8</v>
      </c>
      <c r="V499">
        <v>0</v>
      </c>
      <c r="W499">
        <v>188.64</v>
      </c>
      <c r="X499">
        <v>273.57</v>
      </c>
      <c r="Y499" t="s">
        <v>38</v>
      </c>
      <c r="Z499">
        <f>Superstore_Sales[[#This Row],[Sales]]*Superstore_Sales[[#This Row],[Quantity]]</f>
        <v>16776.96</v>
      </c>
      <c r="AA499" s="3">
        <f>Superstore_Sales[[#This Row],[TotalSales]]*Superstore_Sales[[#This Row],[Discount]]/100</f>
        <v>0</v>
      </c>
      <c r="AB499" s="2">
        <f>Superstore_Sales[[#This Row],[TotalSales]]-Superstore_Sales[[#This Row],[Dis_amt]]-Superstore_Sales[[#This Row],[Shipping Cost]]</f>
        <v>16503.39</v>
      </c>
    </row>
    <row r="500" spans="1:28" x14ac:dyDescent="0.35">
      <c r="A500">
        <v>20685</v>
      </c>
      <c r="B500" t="s">
        <v>2583</v>
      </c>
      <c r="C500" s="1">
        <v>42351</v>
      </c>
      <c r="D500" s="1">
        <v>42357</v>
      </c>
      <c r="E500">
        <f>Superstore_Sales[[#This Row],[Ship Date]]-Superstore_Sales[[#This Row],[Order Date]]</f>
        <v>6</v>
      </c>
      <c r="F500" t="s">
        <v>98</v>
      </c>
      <c r="G500" t="s">
        <v>2584</v>
      </c>
      <c r="H500" t="s">
        <v>2585</v>
      </c>
      <c r="I500" t="s">
        <v>28</v>
      </c>
      <c r="K500" t="s">
        <v>2586</v>
      </c>
      <c r="L500" t="s">
        <v>2226</v>
      </c>
      <c r="M500" t="s">
        <v>1155</v>
      </c>
      <c r="N500" t="s">
        <v>145</v>
      </c>
      <c r="O500" t="s">
        <v>48</v>
      </c>
      <c r="P500" t="s">
        <v>604</v>
      </c>
      <c r="Q500" t="s">
        <v>147</v>
      </c>
      <c r="R500" t="s">
        <v>148</v>
      </c>
      <c r="S500" t="s">
        <v>605</v>
      </c>
      <c r="T500">
        <v>3242.88</v>
      </c>
      <c r="U500">
        <v>6</v>
      </c>
      <c r="V500">
        <v>0</v>
      </c>
      <c r="W500">
        <v>421.56</v>
      </c>
      <c r="X500">
        <v>271.58999999999997</v>
      </c>
      <c r="Y500" t="s">
        <v>61</v>
      </c>
      <c r="Z500">
        <f>Superstore_Sales[[#This Row],[Sales]]*Superstore_Sales[[#This Row],[Quantity]]</f>
        <v>19457.28</v>
      </c>
      <c r="AA500" s="3">
        <f>Superstore_Sales[[#This Row],[TotalSales]]*Superstore_Sales[[#This Row],[Discount]]/100</f>
        <v>0</v>
      </c>
      <c r="AB500" s="2">
        <f>Superstore_Sales[[#This Row],[TotalSales]]-Superstore_Sales[[#This Row],[Dis_amt]]-Superstore_Sales[[#This Row],[Shipping Cost]]</f>
        <v>19185.689999999999</v>
      </c>
    </row>
    <row r="501" spans="1:28" x14ac:dyDescent="0.35">
      <c r="A501">
        <v>38992</v>
      </c>
      <c r="B501" t="s">
        <v>2587</v>
      </c>
      <c r="C501" s="1">
        <v>42188</v>
      </c>
      <c r="D501" s="1">
        <v>42191</v>
      </c>
      <c r="E501">
        <f>Superstore_Sales[[#This Row],[Ship Date]]-Superstore_Sales[[#This Row],[Order Date]]</f>
        <v>3</v>
      </c>
      <c r="F501" t="s">
        <v>25</v>
      </c>
      <c r="G501" t="s">
        <v>2588</v>
      </c>
      <c r="H501" t="s">
        <v>2545</v>
      </c>
      <c r="I501" t="s">
        <v>65</v>
      </c>
      <c r="J501">
        <v>77036</v>
      </c>
      <c r="K501" t="s">
        <v>2104</v>
      </c>
      <c r="L501" t="s">
        <v>160</v>
      </c>
      <c r="M501" t="s">
        <v>31</v>
      </c>
      <c r="N501" t="s">
        <v>32</v>
      </c>
      <c r="O501" t="s">
        <v>33</v>
      </c>
      <c r="P501" t="s">
        <v>2589</v>
      </c>
      <c r="Q501" t="s">
        <v>147</v>
      </c>
      <c r="R501" t="s">
        <v>672</v>
      </c>
      <c r="S501" t="s">
        <v>2590</v>
      </c>
      <c r="T501">
        <v>163.96</v>
      </c>
      <c r="U501">
        <v>5</v>
      </c>
      <c r="V501">
        <v>0.2</v>
      </c>
      <c r="W501">
        <v>59.44</v>
      </c>
      <c r="X501">
        <v>17.38</v>
      </c>
      <c r="Y501" t="s">
        <v>61</v>
      </c>
      <c r="Z501">
        <f>Superstore_Sales[[#This Row],[Sales]]*Superstore_Sales[[#This Row],[Quantity]]</f>
        <v>819.80000000000007</v>
      </c>
      <c r="AA501" s="3">
        <f>Superstore_Sales[[#This Row],[TotalSales]]*Superstore_Sales[[#This Row],[Discount]]/100</f>
        <v>1.6396000000000004</v>
      </c>
      <c r="AB501" s="2">
        <f>Superstore_Sales[[#This Row],[TotalSales]]-Superstore_Sales[[#This Row],[Dis_amt]]-Superstore_Sales[[#This Row],[Shipping Cost]]</f>
        <v>800.7804000000001</v>
      </c>
    </row>
    <row r="502" spans="1:28" x14ac:dyDescent="0.35">
      <c r="A502">
        <v>37710</v>
      </c>
      <c r="B502" t="s">
        <v>2591</v>
      </c>
      <c r="C502" s="1">
        <v>42234</v>
      </c>
      <c r="D502" s="1">
        <v>42240</v>
      </c>
      <c r="E502">
        <f>Superstore_Sales[[#This Row],[Ship Date]]-Superstore_Sales[[#This Row],[Order Date]]</f>
        <v>6</v>
      </c>
      <c r="F502" t="s">
        <v>98</v>
      </c>
      <c r="G502" t="s">
        <v>2592</v>
      </c>
      <c r="H502" t="s">
        <v>2545</v>
      </c>
      <c r="I502" t="s">
        <v>65</v>
      </c>
      <c r="J502">
        <v>40214</v>
      </c>
      <c r="K502" t="s">
        <v>2593</v>
      </c>
      <c r="L502" t="s">
        <v>2032</v>
      </c>
      <c r="M502" t="s">
        <v>31</v>
      </c>
      <c r="N502" t="s">
        <v>351</v>
      </c>
      <c r="O502" t="s">
        <v>33</v>
      </c>
      <c r="P502" t="s">
        <v>2594</v>
      </c>
      <c r="Q502" t="s">
        <v>35</v>
      </c>
      <c r="R502" t="s">
        <v>304</v>
      </c>
      <c r="S502" t="s">
        <v>2595</v>
      </c>
      <c r="T502">
        <v>98.16</v>
      </c>
      <c r="U502">
        <v>6</v>
      </c>
      <c r="V502">
        <v>0</v>
      </c>
      <c r="W502">
        <v>9.82</v>
      </c>
      <c r="X502">
        <v>13.93</v>
      </c>
      <c r="Y502" t="s">
        <v>164</v>
      </c>
      <c r="Z502">
        <f>Superstore_Sales[[#This Row],[Sales]]*Superstore_Sales[[#This Row],[Quantity]]</f>
        <v>588.96</v>
      </c>
      <c r="AA502" s="3">
        <f>Superstore_Sales[[#This Row],[TotalSales]]*Superstore_Sales[[#This Row],[Discount]]/100</f>
        <v>0</v>
      </c>
      <c r="AB502" s="2">
        <f>Superstore_Sales[[#This Row],[TotalSales]]-Superstore_Sales[[#This Row],[Dis_amt]]-Superstore_Sales[[#This Row],[Shipping Cost]]</f>
        <v>575.03000000000009</v>
      </c>
    </row>
    <row r="503" spans="1:28" x14ac:dyDescent="0.35">
      <c r="A503">
        <v>16408</v>
      </c>
      <c r="B503" t="s">
        <v>2596</v>
      </c>
      <c r="C503" s="1">
        <v>42284</v>
      </c>
      <c r="D503" s="1">
        <v>42285</v>
      </c>
      <c r="E503">
        <f>Superstore_Sales[[#This Row],[Ship Date]]-Superstore_Sales[[#This Row],[Order Date]]</f>
        <v>1</v>
      </c>
      <c r="F503" t="s">
        <v>25</v>
      </c>
      <c r="G503" t="s">
        <v>2597</v>
      </c>
      <c r="H503" t="s">
        <v>2598</v>
      </c>
      <c r="I503" t="s">
        <v>43</v>
      </c>
      <c r="K503" t="s">
        <v>2599</v>
      </c>
      <c r="L503" t="s">
        <v>2600</v>
      </c>
      <c r="M503" t="s">
        <v>170</v>
      </c>
      <c r="N503" t="s">
        <v>171</v>
      </c>
      <c r="O503" t="s">
        <v>69</v>
      </c>
      <c r="P503" t="s">
        <v>2601</v>
      </c>
      <c r="Q503" t="s">
        <v>50</v>
      </c>
      <c r="R503" t="s">
        <v>336</v>
      </c>
      <c r="S503" t="s">
        <v>2602</v>
      </c>
      <c r="T503">
        <v>597.36</v>
      </c>
      <c r="U503">
        <v>4</v>
      </c>
      <c r="V503">
        <v>0</v>
      </c>
      <c r="W503">
        <v>226.92</v>
      </c>
      <c r="X503">
        <v>271.01</v>
      </c>
      <c r="Y503" t="s">
        <v>53</v>
      </c>
      <c r="Z503">
        <f>Superstore_Sales[[#This Row],[Sales]]*Superstore_Sales[[#This Row],[Quantity]]</f>
        <v>2389.44</v>
      </c>
      <c r="AA503" s="3">
        <f>Superstore_Sales[[#This Row],[TotalSales]]*Superstore_Sales[[#This Row],[Discount]]/100</f>
        <v>0</v>
      </c>
      <c r="AB503" s="2">
        <f>Superstore_Sales[[#This Row],[TotalSales]]-Superstore_Sales[[#This Row],[Dis_amt]]-Superstore_Sales[[#This Row],[Shipping Cost]]</f>
        <v>2118.4300000000003</v>
      </c>
    </row>
    <row r="504" spans="1:28" x14ac:dyDescent="0.35">
      <c r="A504">
        <v>43335</v>
      </c>
      <c r="B504" t="s">
        <v>2603</v>
      </c>
      <c r="C504" s="1">
        <v>41810</v>
      </c>
      <c r="D504" s="1">
        <v>41814</v>
      </c>
      <c r="E504">
        <f>Superstore_Sales[[#This Row],[Ship Date]]-Superstore_Sales[[#This Row],[Order Date]]</f>
        <v>4</v>
      </c>
      <c r="F504" t="s">
        <v>98</v>
      </c>
      <c r="G504" t="s">
        <v>2604</v>
      </c>
      <c r="H504" t="s">
        <v>2356</v>
      </c>
      <c r="I504" t="s">
        <v>43</v>
      </c>
      <c r="K504" t="s">
        <v>2605</v>
      </c>
      <c r="L504" t="s">
        <v>2605</v>
      </c>
      <c r="M504" t="s">
        <v>480</v>
      </c>
      <c r="N504" t="s">
        <v>195</v>
      </c>
      <c r="O504" t="s">
        <v>69</v>
      </c>
      <c r="P504" t="s">
        <v>2606</v>
      </c>
      <c r="Q504" t="s">
        <v>147</v>
      </c>
      <c r="R504" t="s">
        <v>148</v>
      </c>
      <c r="S504" t="s">
        <v>2607</v>
      </c>
      <c r="T504">
        <v>3955.14</v>
      </c>
      <c r="U504">
        <v>14</v>
      </c>
      <c r="V504">
        <v>0</v>
      </c>
      <c r="W504">
        <v>1383.9</v>
      </c>
      <c r="X504">
        <v>270.64999999999998</v>
      </c>
      <c r="Y504" t="s">
        <v>38</v>
      </c>
      <c r="Z504">
        <f>Superstore_Sales[[#This Row],[Sales]]*Superstore_Sales[[#This Row],[Quantity]]</f>
        <v>55371.96</v>
      </c>
      <c r="AA504" s="3">
        <f>Superstore_Sales[[#This Row],[TotalSales]]*Superstore_Sales[[#This Row],[Discount]]/100</f>
        <v>0</v>
      </c>
      <c r="AB504" s="2">
        <f>Superstore_Sales[[#This Row],[TotalSales]]-Superstore_Sales[[#This Row],[Dis_amt]]-Superstore_Sales[[#This Row],[Shipping Cost]]</f>
        <v>55101.31</v>
      </c>
    </row>
    <row r="505" spans="1:28" x14ac:dyDescent="0.35">
      <c r="A505">
        <v>20959</v>
      </c>
      <c r="B505" t="s">
        <v>2608</v>
      </c>
      <c r="C505" s="1">
        <v>42196</v>
      </c>
      <c r="D505" s="1">
        <v>42199</v>
      </c>
      <c r="E505">
        <f>Superstore_Sales[[#This Row],[Ship Date]]-Superstore_Sales[[#This Row],[Order Date]]</f>
        <v>3</v>
      </c>
      <c r="F505" t="s">
        <v>25</v>
      </c>
      <c r="G505" t="s">
        <v>2609</v>
      </c>
      <c r="H505" t="s">
        <v>1287</v>
      </c>
      <c r="I505" t="s">
        <v>28</v>
      </c>
      <c r="K505" t="s">
        <v>2610</v>
      </c>
      <c r="L505" t="s">
        <v>848</v>
      </c>
      <c r="M505" t="s">
        <v>321</v>
      </c>
      <c r="N505" t="s">
        <v>322</v>
      </c>
      <c r="O505" t="s">
        <v>48</v>
      </c>
      <c r="P505" t="s">
        <v>2611</v>
      </c>
      <c r="Q505" t="s">
        <v>50</v>
      </c>
      <c r="R505" t="s">
        <v>336</v>
      </c>
      <c r="S505" t="s">
        <v>2612</v>
      </c>
      <c r="T505">
        <v>796.82</v>
      </c>
      <c r="U505">
        <v>6</v>
      </c>
      <c r="V505">
        <v>7.0000000000000007E-2</v>
      </c>
      <c r="W505">
        <v>231.26</v>
      </c>
      <c r="X505">
        <v>270.56</v>
      </c>
      <c r="Y505" t="s">
        <v>38</v>
      </c>
      <c r="Z505">
        <f>Superstore_Sales[[#This Row],[Sales]]*Superstore_Sales[[#This Row],[Quantity]]</f>
        <v>4780.92</v>
      </c>
      <c r="AA505" s="3">
        <f>Superstore_Sales[[#This Row],[TotalSales]]*Superstore_Sales[[#This Row],[Discount]]/100</f>
        <v>3.3466440000000004</v>
      </c>
      <c r="AB505" s="2">
        <f>Superstore_Sales[[#This Row],[TotalSales]]-Superstore_Sales[[#This Row],[Dis_amt]]-Superstore_Sales[[#This Row],[Shipping Cost]]</f>
        <v>4507.0133559999995</v>
      </c>
    </row>
    <row r="506" spans="1:28" x14ac:dyDescent="0.35">
      <c r="A506">
        <v>13714</v>
      </c>
      <c r="B506" t="s">
        <v>2613</v>
      </c>
      <c r="C506" s="1">
        <v>42118</v>
      </c>
      <c r="D506" s="1">
        <v>42121</v>
      </c>
      <c r="E506">
        <f>Superstore_Sales[[#This Row],[Ship Date]]-Superstore_Sales[[#This Row],[Order Date]]</f>
        <v>3</v>
      </c>
      <c r="F506" t="s">
        <v>40</v>
      </c>
      <c r="G506" t="s">
        <v>2614</v>
      </c>
      <c r="H506" t="s">
        <v>2615</v>
      </c>
      <c r="I506" t="s">
        <v>28</v>
      </c>
      <c r="K506" t="s">
        <v>2616</v>
      </c>
      <c r="L506" t="s">
        <v>662</v>
      </c>
      <c r="M506" t="s">
        <v>67</v>
      </c>
      <c r="N506" t="s">
        <v>68</v>
      </c>
      <c r="O506" t="s">
        <v>69</v>
      </c>
      <c r="P506" t="s">
        <v>2283</v>
      </c>
      <c r="Q506" t="s">
        <v>35</v>
      </c>
      <c r="R506" t="s">
        <v>304</v>
      </c>
      <c r="S506" t="s">
        <v>2284</v>
      </c>
      <c r="T506">
        <v>2305.2600000000002</v>
      </c>
      <c r="U506">
        <v>9</v>
      </c>
      <c r="V506">
        <v>0</v>
      </c>
      <c r="W506">
        <v>922.05</v>
      </c>
      <c r="X506">
        <v>270.26</v>
      </c>
      <c r="Y506" t="s">
        <v>61</v>
      </c>
      <c r="Z506">
        <f>Superstore_Sales[[#This Row],[Sales]]*Superstore_Sales[[#This Row],[Quantity]]</f>
        <v>20747.340000000004</v>
      </c>
      <c r="AA506" s="3">
        <f>Superstore_Sales[[#This Row],[TotalSales]]*Superstore_Sales[[#This Row],[Discount]]/100</f>
        <v>0</v>
      </c>
      <c r="AB506" s="2">
        <f>Superstore_Sales[[#This Row],[TotalSales]]-Superstore_Sales[[#This Row],[Dis_amt]]-Superstore_Sales[[#This Row],[Shipping Cost]]</f>
        <v>20477.080000000005</v>
      </c>
    </row>
    <row r="507" spans="1:28" x14ac:dyDescent="0.35">
      <c r="A507">
        <v>3875</v>
      </c>
      <c r="B507" t="s">
        <v>2617</v>
      </c>
      <c r="C507" s="1">
        <v>41032</v>
      </c>
      <c r="D507" s="1">
        <v>41036</v>
      </c>
      <c r="E507">
        <f>Superstore_Sales[[#This Row],[Ship Date]]-Superstore_Sales[[#This Row],[Order Date]]</f>
        <v>4</v>
      </c>
      <c r="F507" t="s">
        <v>98</v>
      </c>
      <c r="G507" t="s">
        <v>2618</v>
      </c>
      <c r="H507" t="s">
        <v>2619</v>
      </c>
      <c r="I507" t="s">
        <v>28</v>
      </c>
      <c r="K507" t="s">
        <v>1665</v>
      </c>
      <c r="L507" t="s">
        <v>227</v>
      </c>
      <c r="M507" t="s">
        <v>228</v>
      </c>
      <c r="N507" t="s">
        <v>220</v>
      </c>
      <c r="O507" t="s">
        <v>136</v>
      </c>
      <c r="P507" t="s">
        <v>2620</v>
      </c>
      <c r="Q507" t="s">
        <v>50</v>
      </c>
      <c r="R507" t="s">
        <v>104</v>
      </c>
      <c r="S507" t="s">
        <v>2621</v>
      </c>
      <c r="T507">
        <v>2833.76</v>
      </c>
      <c r="U507">
        <v>10</v>
      </c>
      <c r="V507">
        <v>0.2</v>
      </c>
      <c r="W507">
        <v>35.36</v>
      </c>
      <c r="X507">
        <v>269.94</v>
      </c>
      <c r="Y507" t="s">
        <v>38</v>
      </c>
      <c r="Z507">
        <f>Superstore_Sales[[#This Row],[Sales]]*Superstore_Sales[[#This Row],[Quantity]]</f>
        <v>28337.600000000002</v>
      </c>
      <c r="AA507" s="3">
        <f>Superstore_Sales[[#This Row],[TotalSales]]*Superstore_Sales[[#This Row],[Discount]]/100</f>
        <v>56.675200000000004</v>
      </c>
      <c r="AB507" s="2">
        <f>Superstore_Sales[[#This Row],[TotalSales]]-Superstore_Sales[[#This Row],[Dis_amt]]-Superstore_Sales[[#This Row],[Shipping Cost]]</f>
        <v>28010.984800000002</v>
      </c>
    </row>
    <row r="508" spans="1:28" x14ac:dyDescent="0.35">
      <c r="A508">
        <v>23466</v>
      </c>
      <c r="B508" t="s">
        <v>2622</v>
      </c>
      <c r="C508" s="1">
        <v>41187</v>
      </c>
      <c r="D508" s="1">
        <v>41191</v>
      </c>
      <c r="E508">
        <f>Superstore_Sales[[#This Row],[Ship Date]]-Superstore_Sales[[#This Row],[Order Date]]</f>
        <v>4</v>
      </c>
      <c r="F508" t="s">
        <v>98</v>
      </c>
      <c r="G508" t="s">
        <v>2623</v>
      </c>
      <c r="H508" t="s">
        <v>2624</v>
      </c>
      <c r="I508" t="s">
        <v>43</v>
      </c>
      <c r="K508" t="s">
        <v>2625</v>
      </c>
      <c r="L508" t="s">
        <v>2626</v>
      </c>
      <c r="M508" t="s">
        <v>258</v>
      </c>
      <c r="N508" t="s">
        <v>118</v>
      </c>
      <c r="O508" t="s">
        <v>48</v>
      </c>
      <c r="P508" t="s">
        <v>156</v>
      </c>
      <c r="Q508" t="s">
        <v>147</v>
      </c>
      <c r="R508" t="s">
        <v>148</v>
      </c>
      <c r="S508" t="s">
        <v>157</v>
      </c>
      <c r="T508">
        <v>2077.3200000000002</v>
      </c>
      <c r="U508">
        <v>4</v>
      </c>
      <c r="V508">
        <v>0</v>
      </c>
      <c r="W508">
        <v>581.64</v>
      </c>
      <c r="X508">
        <v>269.89</v>
      </c>
      <c r="Y508" t="s">
        <v>61</v>
      </c>
      <c r="Z508">
        <f>Superstore_Sales[[#This Row],[Sales]]*Superstore_Sales[[#This Row],[Quantity]]</f>
        <v>8309.2800000000007</v>
      </c>
      <c r="AA508" s="3">
        <f>Superstore_Sales[[#This Row],[TotalSales]]*Superstore_Sales[[#This Row],[Discount]]/100</f>
        <v>0</v>
      </c>
      <c r="AB508" s="2">
        <f>Superstore_Sales[[#This Row],[TotalSales]]-Superstore_Sales[[#This Row],[Dis_amt]]-Superstore_Sales[[#This Row],[Shipping Cost]]</f>
        <v>8039.39</v>
      </c>
    </row>
    <row r="509" spans="1:28" x14ac:dyDescent="0.35">
      <c r="A509">
        <v>4452</v>
      </c>
      <c r="B509" t="s">
        <v>2627</v>
      </c>
      <c r="C509" s="1">
        <v>42320</v>
      </c>
      <c r="D509" s="1">
        <v>42324</v>
      </c>
      <c r="E509">
        <f>Superstore_Sales[[#This Row],[Ship Date]]-Superstore_Sales[[#This Row],[Order Date]]</f>
        <v>4</v>
      </c>
      <c r="F509" t="s">
        <v>98</v>
      </c>
      <c r="G509" t="s">
        <v>2628</v>
      </c>
      <c r="H509" t="s">
        <v>2629</v>
      </c>
      <c r="I509" t="s">
        <v>28</v>
      </c>
      <c r="K509" t="s">
        <v>1439</v>
      </c>
      <c r="L509" t="s">
        <v>1439</v>
      </c>
      <c r="M509" t="s">
        <v>1440</v>
      </c>
      <c r="N509" t="s">
        <v>266</v>
      </c>
      <c r="O509" t="s">
        <v>136</v>
      </c>
      <c r="P509" t="s">
        <v>2630</v>
      </c>
      <c r="Q509" t="s">
        <v>50</v>
      </c>
      <c r="R509" t="s">
        <v>336</v>
      </c>
      <c r="S509" t="s">
        <v>2631</v>
      </c>
      <c r="T509">
        <v>1916.88</v>
      </c>
      <c r="U509">
        <v>7</v>
      </c>
      <c r="V509">
        <v>0</v>
      </c>
      <c r="W509">
        <v>939.26</v>
      </c>
      <c r="X509">
        <v>269.76400000000001</v>
      </c>
      <c r="Y509" t="s">
        <v>38</v>
      </c>
      <c r="Z509">
        <f>Superstore_Sales[[#This Row],[Sales]]*Superstore_Sales[[#This Row],[Quantity]]</f>
        <v>13418.16</v>
      </c>
      <c r="AA509" s="3">
        <f>Superstore_Sales[[#This Row],[TotalSales]]*Superstore_Sales[[#This Row],[Discount]]/100</f>
        <v>0</v>
      </c>
      <c r="AB509" s="2">
        <f>Superstore_Sales[[#This Row],[TotalSales]]-Superstore_Sales[[#This Row],[Dis_amt]]-Superstore_Sales[[#This Row],[Shipping Cost]]</f>
        <v>13148.396000000001</v>
      </c>
    </row>
    <row r="510" spans="1:28" x14ac:dyDescent="0.35">
      <c r="A510">
        <v>14178</v>
      </c>
      <c r="B510" t="s">
        <v>2632</v>
      </c>
      <c r="C510" s="1">
        <v>41734</v>
      </c>
      <c r="D510" s="1">
        <v>41737</v>
      </c>
      <c r="E510">
        <f>Superstore_Sales[[#This Row],[Ship Date]]-Superstore_Sales[[#This Row],[Order Date]]</f>
        <v>3</v>
      </c>
      <c r="F510" t="s">
        <v>25</v>
      </c>
      <c r="G510" t="s">
        <v>2633</v>
      </c>
      <c r="H510" t="s">
        <v>1862</v>
      </c>
      <c r="I510" t="s">
        <v>28</v>
      </c>
      <c r="K510" t="s">
        <v>2634</v>
      </c>
      <c r="L510" t="s">
        <v>154</v>
      </c>
      <c r="M510" t="s">
        <v>155</v>
      </c>
      <c r="N510" t="s">
        <v>68</v>
      </c>
      <c r="O510" t="s">
        <v>69</v>
      </c>
      <c r="P510" t="s">
        <v>516</v>
      </c>
      <c r="Q510" t="s">
        <v>35</v>
      </c>
      <c r="R510" t="s">
        <v>36</v>
      </c>
      <c r="S510" t="s">
        <v>517</v>
      </c>
      <c r="T510">
        <v>1622.57</v>
      </c>
      <c r="U510">
        <v>3</v>
      </c>
      <c r="V510">
        <v>0.15</v>
      </c>
      <c r="W510">
        <v>133.61000000000001</v>
      </c>
      <c r="X510">
        <v>268.19</v>
      </c>
      <c r="Y510" t="s">
        <v>61</v>
      </c>
      <c r="Z510">
        <f>Superstore_Sales[[#This Row],[Sales]]*Superstore_Sales[[#This Row],[Quantity]]</f>
        <v>4867.71</v>
      </c>
      <c r="AA510" s="3">
        <f>Superstore_Sales[[#This Row],[TotalSales]]*Superstore_Sales[[#This Row],[Discount]]/100</f>
        <v>7.3015649999999992</v>
      </c>
      <c r="AB510" s="2">
        <f>Superstore_Sales[[#This Row],[TotalSales]]-Superstore_Sales[[#This Row],[Dis_amt]]-Superstore_Sales[[#This Row],[Shipping Cost]]</f>
        <v>4592.2184350000007</v>
      </c>
    </row>
    <row r="511" spans="1:28" x14ac:dyDescent="0.35">
      <c r="A511">
        <v>12075</v>
      </c>
      <c r="B511" t="s">
        <v>2635</v>
      </c>
      <c r="C511" s="1">
        <v>42195</v>
      </c>
      <c r="D511" s="1">
        <v>42199</v>
      </c>
      <c r="E511">
        <f>Superstore_Sales[[#This Row],[Ship Date]]-Superstore_Sales[[#This Row],[Order Date]]</f>
        <v>4</v>
      </c>
      <c r="F511" t="s">
        <v>40</v>
      </c>
      <c r="G511" t="s">
        <v>2636</v>
      </c>
      <c r="H511" t="s">
        <v>1152</v>
      </c>
      <c r="I511" t="s">
        <v>43</v>
      </c>
      <c r="K511" t="s">
        <v>2637</v>
      </c>
      <c r="L511" t="s">
        <v>437</v>
      </c>
      <c r="M511" t="s">
        <v>67</v>
      </c>
      <c r="N511" t="s">
        <v>68</v>
      </c>
      <c r="O511" t="s">
        <v>69</v>
      </c>
      <c r="P511" t="s">
        <v>2638</v>
      </c>
      <c r="Q511" t="s">
        <v>50</v>
      </c>
      <c r="R511" t="s">
        <v>336</v>
      </c>
      <c r="S511" t="s">
        <v>2639</v>
      </c>
      <c r="T511">
        <v>1361.04</v>
      </c>
      <c r="U511">
        <v>9</v>
      </c>
      <c r="V511">
        <v>0.1</v>
      </c>
      <c r="W511">
        <v>196.53</v>
      </c>
      <c r="X511">
        <v>268.04000000000002</v>
      </c>
      <c r="Y511" t="s">
        <v>38</v>
      </c>
      <c r="Z511">
        <f>Superstore_Sales[[#This Row],[Sales]]*Superstore_Sales[[#This Row],[Quantity]]</f>
        <v>12249.36</v>
      </c>
      <c r="AA511" s="3">
        <f>Superstore_Sales[[#This Row],[TotalSales]]*Superstore_Sales[[#This Row],[Discount]]/100</f>
        <v>12.249360000000001</v>
      </c>
      <c r="AB511" s="2">
        <f>Superstore_Sales[[#This Row],[TotalSales]]-Superstore_Sales[[#This Row],[Dis_amt]]-Superstore_Sales[[#This Row],[Shipping Cost]]</f>
        <v>11969.07064</v>
      </c>
    </row>
    <row r="512" spans="1:28" x14ac:dyDescent="0.35">
      <c r="A512">
        <v>24075</v>
      </c>
      <c r="B512" t="s">
        <v>2640</v>
      </c>
      <c r="C512" s="1">
        <v>42283</v>
      </c>
      <c r="D512" s="1">
        <v>42289</v>
      </c>
      <c r="E512">
        <f>Superstore_Sales[[#This Row],[Ship Date]]-Superstore_Sales[[#This Row],[Order Date]]</f>
        <v>6</v>
      </c>
      <c r="F512" t="s">
        <v>98</v>
      </c>
      <c r="G512" t="s">
        <v>2641</v>
      </c>
      <c r="H512" t="s">
        <v>2642</v>
      </c>
      <c r="I512" t="s">
        <v>43</v>
      </c>
      <c r="K512" t="s">
        <v>2643</v>
      </c>
      <c r="L512" t="s">
        <v>143</v>
      </c>
      <c r="M512" t="s">
        <v>144</v>
      </c>
      <c r="N512" t="s">
        <v>145</v>
      </c>
      <c r="O512" t="s">
        <v>48</v>
      </c>
      <c r="P512" t="s">
        <v>755</v>
      </c>
      <c r="Q512" t="s">
        <v>35</v>
      </c>
      <c r="R512" t="s">
        <v>81</v>
      </c>
      <c r="S512" t="s">
        <v>756</v>
      </c>
      <c r="T512">
        <v>3391.74</v>
      </c>
      <c r="U512">
        <v>9</v>
      </c>
      <c r="V512">
        <v>0</v>
      </c>
      <c r="W512">
        <v>271.08</v>
      </c>
      <c r="X512">
        <v>267.93</v>
      </c>
      <c r="Y512" t="s">
        <v>61</v>
      </c>
      <c r="Z512">
        <f>Superstore_Sales[[#This Row],[Sales]]*Superstore_Sales[[#This Row],[Quantity]]</f>
        <v>30525.659999999996</v>
      </c>
      <c r="AA512" s="3">
        <f>Superstore_Sales[[#This Row],[TotalSales]]*Superstore_Sales[[#This Row],[Discount]]/100</f>
        <v>0</v>
      </c>
      <c r="AB512" s="2">
        <f>Superstore_Sales[[#This Row],[TotalSales]]-Superstore_Sales[[#This Row],[Dis_amt]]-Superstore_Sales[[#This Row],[Shipping Cost]]</f>
        <v>30257.729999999996</v>
      </c>
    </row>
    <row r="513" spans="1:28" x14ac:dyDescent="0.35">
      <c r="A513">
        <v>6989</v>
      </c>
      <c r="B513" t="s">
        <v>2644</v>
      </c>
      <c r="C513" s="1">
        <v>41791</v>
      </c>
      <c r="D513" s="1">
        <v>41797</v>
      </c>
      <c r="E513">
        <f>Superstore_Sales[[#This Row],[Ship Date]]-Superstore_Sales[[#This Row],[Order Date]]</f>
        <v>6</v>
      </c>
      <c r="F513" t="s">
        <v>98</v>
      </c>
      <c r="G513" t="s">
        <v>2645</v>
      </c>
      <c r="H513" t="s">
        <v>2646</v>
      </c>
      <c r="I513" t="s">
        <v>28</v>
      </c>
      <c r="K513" t="s">
        <v>264</v>
      </c>
      <c r="L513" t="s">
        <v>264</v>
      </c>
      <c r="M513" t="s">
        <v>265</v>
      </c>
      <c r="N513" t="s">
        <v>266</v>
      </c>
      <c r="O513" t="s">
        <v>136</v>
      </c>
      <c r="P513" t="s">
        <v>267</v>
      </c>
      <c r="Q513" t="s">
        <v>35</v>
      </c>
      <c r="R513" t="s">
        <v>36</v>
      </c>
      <c r="S513" t="s">
        <v>268</v>
      </c>
      <c r="T513">
        <v>2375.3000000000002</v>
      </c>
      <c r="U513">
        <v>7</v>
      </c>
      <c r="V513">
        <v>0.2</v>
      </c>
      <c r="W513">
        <v>-207.84</v>
      </c>
      <c r="X513">
        <v>267.78399999999999</v>
      </c>
      <c r="Y513" t="s">
        <v>164</v>
      </c>
      <c r="Z513">
        <f>Superstore_Sales[[#This Row],[Sales]]*Superstore_Sales[[#This Row],[Quantity]]</f>
        <v>16627.100000000002</v>
      </c>
      <c r="AA513" s="3">
        <f>Superstore_Sales[[#This Row],[TotalSales]]*Superstore_Sales[[#This Row],[Discount]]/100</f>
        <v>33.254200000000004</v>
      </c>
      <c r="AB513" s="2">
        <f>Superstore_Sales[[#This Row],[TotalSales]]-Superstore_Sales[[#This Row],[Dis_amt]]-Superstore_Sales[[#This Row],[Shipping Cost]]</f>
        <v>16326.061800000003</v>
      </c>
    </row>
    <row r="514" spans="1:28" x14ac:dyDescent="0.35">
      <c r="A514">
        <v>47262</v>
      </c>
      <c r="B514" t="s">
        <v>2647</v>
      </c>
      <c r="C514" s="1">
        <v>41506</v>
      </c>
      <c r="D514" s="1">
        <v>41508</v>
      </c>
      <c r="E514">
        <f>Superstore_Sales[[#This Row],[Ship Date]]-Superstore_Sales[[#This Row],[Order Date]]</f>
        <v>2</v>
      </c>
      <c r="F514" t="s">
        <v>25</v>
      </c>
      <c r="G514" t="s">
        <v>2648</v>
      </c>
      <c r="H514" t="s">
        <v>2649</v>
      </c>
      <c r="I514" t="s">
        <v>43</v>
      </c>
      <c r="K514" t="s">
        <v>2650</v>
      </c>
      <c r="L514" t="s">
        <v>2651</v>
      </c>
      <c r="M514" t="s">
        <v>1099</v>
      </c>
      <c r="N514" t="s">
        <v>1100</v>
      </c>
      <c r="O514" t="s">
        <v>79</v>
      </c>
      <c r="P514" t="s">
        <v>2601</v>
      </c>
      <c r="Q514" t="s">
        <v>50</v>
      </c>
      <c r="R514" t="s">
        <v>336</v>
      </c>
      <c r="S514" t="s">
        <v>2602</v>
      </c>
      <c r="T514">
        <v>889.02</v>
      </c>
      <c r="U514">
        <v>6</v>
      </c>
      <c r="V514">
        <v>0</v>
      </c>
      <c r="W514">
        <v>320.04000000000002</v>
      </c>
      <c r="X514">
        <v>267.64</v>
      </c>
      <c r="Y514" t="s">
        <v>53</v>
      </c>
      <c r="Z514">
        <f>Superstore_Sales[[#This Row],[Sales]]*Superstore_Sales[[#This Row],[Quantity]]</f>
        <v>5334.12</v>
      </c>
      <c r="AA514" s="3">
        <f>Superstore_Sales[[#This Row],[TotalSales]]*Superstore_Sales[[#This Row],[Discount]]/100</f>
        <v>0</v>
      </c>
      <c r="AB514" s="2">
        <f>Superstore_Sales[[#This Row],[TotalSales]]-Superstore_Sales[[#This Row],[Dis_amt]]-Superstore_Sales[[#This Row],[Shipping Cost]]</f>
        <v>5066.4799999999996</v>
      </c>
    </row>
    <row r="515" spans="1:28" x14ac:dyDescent="0.35">
      <c r="A515">
        <v>48487</v>
      </c>
      <c r="B515" t="s">
        <v>2652</v>
      </c>
      <c r="C515" s="1">
        <v>41150</v>
      </c>
      <c r="D515" s="1">
        <v>41150</v>
      </c>
      <c r="E515">
        <f>Superstore_Sales[[#This Row],[Ship Date]]-Superstore_Sales[[#This Row],[Order Date]]</f>
        <v>0</v>
      </c>
      <c r="F515" t="s">
        <v>73</v>
      </c>
      <c r="G515" t="s">
        <v>2653</v>
      </c>
      <c r="H515" t="s">
        <v>2654</v>
      </c>
      <c r="I515" t="s">
        <v>28</v>
      </c>
      <c r="K515" t="s">
        <v>2655</v>
      </c>
      <c r="L515" t="s">
        <v>2655</v>
      </c>
      <c r="M515" t="s">
        <v>1180</v>
      </c>
      <c r="N515" t="s">
        <v>195</v>
      </c>
      <c r="O515" t="s">
        <v>69</v>
      </c>
      <c r="P515" t="s">
        <v>2656</v>
      </c>
      <c r="Q515" t="s">
        <v>50</v>
      </c>
      <c r="R515" t="s">
        <v>104</v>
      </c>
      <c r="S515" t="s">
        <v>2657</v>
      </c>
      <c r="T515">
        <v>1782.48</v>
      </c>
      <c r="U515">
        <v>4</v>
      </c>
      <c r="V515">
        <v>0</v>
      </c>
      <c r="W515">
        <v>873.36</v>
      </c>
      <c r="X515">
        <v>266.39999999999998</v>
      </c>
      <c r="Y515" t="s">
        <v>38</v>
      </c>
      <c r="Z515">
        <f>Superstore_Sales[[#This Row],[Sales]]*Superstore_Sales[[#This Row],[Quantity]]</f>
        <v>7129.92</v>
      </c>
      <c r="AA515" s="3">
        <f>Superstore_Sales[[#This Row],[TotalSales]]*Superstore_Sales[[#This Row],[Discount]]/100</f>
        <v>0</v>
      </c>
      <c r="AB515" s="2">
        <f>Superstore_Sales[[#This Row],[TotalSales]]-Superstore_Sales[[#This Row],[Dis_amt]]-Superstore_Sales[[#This Row],[Shipping Cost]]</f>
        <v>6863.52</v>
      </c>
    </row>
    <row r="516" spans="1:28" x14ac:dyDescent="0.35">
      <c r="A516">
        <v>14902</v>
      </c>
      <c r="B516" t="s">
        <v>2658</v>
      </c>
      <c r="C516" s="1">
        <v>41612</v>
      </c>
      <c r="D516" s="1">
        <v>41613</v>
      </c>
      <c r="E516">
        <f>Superstore_Sales[[#This Row],[Ship Date]]-Superstore_Sales[[#This Row],[Order Date]]</f>
        <v>1</v>
      </c>
      <c r="F516" t="s">
        <v>25</v>
      </c>
      <c r="G516" t="s">
        <v>2659</v>
      </c>
      <c r="H516" t="s">
        <v>1638</v>
      </c>
      <c r="I516" t="s">
        <v>28</v>
      </c>
      <c r="K516" t="s">
        <v>2297</v>
      </c>
      <c r="L516" t="s">
        <v>651</v>
      </c>
      <c r="M516" t="s">
        <v>155</v>
      </c>
      <c r="N516" t="s">
        <v>68</v>
      </c>
      <c r="O516" t="s">
        <v>69</v>
      </c>
      <c r="P516" t="s">
        <v>1628</v>
      </c>
      <c r="Q516" t="s">
        <v>35</v>
      </c>
      <c r="R516" t="s">
        <v>81</v>
      </c>
      <c r="S516" t="s">
        <v>1629</v>
      </c>
      <c r="T516">
        <v>667.77</v>
      </c>
      <c r="U516">
        <v>3</v>
      </c>
      <c r="V516">
        <v>0.15</v>
      </c>
      <c r="W516">
        <v>274.92</v>
      </c>
      <c r="X516">
        <v>266.02</v>
      </c>
      <c r="Y516" t="s">
        <v>53</v>
      </c>
      <c r="Z516">
        <f>Superstore_Sales[[#This Row],[Sales]]*Superstore_Sales[[#This Row],[Quantity]]</f>
        <v>2003.31</v>
      </c>
      <c r="AA516" s="3">
        <f>Superstore_Sales[[#This Row],[TotalSales]]*Superstore_Sales[[#This Row],[Discount]]/100</f>
        <v>3.0049649999999999</v>
      </c>
      <c r="AB516" s="2">
        <f>Superstore_Sales[[#This Row],[TotalSales]]-Superstore_Sales[[#This Row],[Dis_amt]]-Superstore_Sales[[#This Row],[Shipping Cost]]</f>
        <v>1734.2850349999999</v>
      </c>
    </row>
    <row r="517" spans="1:28" x14ac:dyDescent="0.35">
      <c r="A517">
        <v>23910</v>
      </c>
      <c r="B517" t="s">
        <v>2660</v>
      </c>
      <c r="C517" s="1">
        <v>42290</v>
      </c>
      <c r="D517" s="1">
        <v>42295</v>
      </c>
      <c r="E517">
        <f>Superstore_Sales[[#This Row],[Ship Date]]-Superstore_Sales[[#This Row],[Order Date]]</f>
        <v>5</v>
      </c>
      <c r="F517" t="s">
        <v>98</v>
      </c>
      <c r="G517" t="s">
        <v>2661</v>
      </c>
      <c r="H517" t="s">
        <v>2662</v>
      </c>
      <c r="I517" t="s">
        <v>28</v>
      </c>
      <c r="K517" t="s">
        <v>644</v>
      </c>
      <c r="L517" t="s">
        <v>417</v>
      </c>
      <c r="M517" t="s">
        <v>46</v>
      </c>
      <c r="N517" t="s">
        <v>47</v>
      </c>
      <c r="O517" t="s">
        <v>48</v>
      </c>
      <c r="P517" t="s">
        <v>2663</v>
      </c>
      <c r="Q517" t="s">
        <v>35</v>
      </c>
      <c r="R517" t="s">
        <v>81</v>
      </c>
      <c r="S517" t="s">
        <v>2664</v>
      </c>
      <c r="T517">
        <v>1612.85</v>
      </c>
      <c r="U517">
        <v>5</v>
      </c>
      <c r="V517">
        <v>0.1</v>
      </c>
      <c r="W517">
        <v>394.25</v>
      </c>
      <c r="X517">
        <v>266</v>
      </c>
      <c r="Y517" t="s">
        <v>38</v>
      </c>
      <c r="Z517">
        <f>Superstore_Sales[[#This Row],[Sales]]*Superstore_Sales[[#This Row],[Quantity]]</f>
        <v>8064.25</v>
      </c>
      <c r="AA517" s="3">
        <f>Superstore_Sales[[#This Row],[TotalSales]]*Superstore_Sales[[#This Row],[Discount]]/100</f>
        <v>8.0642500000000013</v>
      </c>
      <c r="AB517" s="2">
        <f>Superstore_Sales[[#This Row],[TotalSales]]-Superstore_Sales[[#This Row],[Dis_amt]]-Superstore_Sales[[#This Row],[Shipping Cost]]</f>
        <v>7790.1857499999996</v>
      </c>
    </row>
    <row r="518" spans="1:28" x14ac:dyDescent="0.35">
      <c r="A518">
        <v>17770</v>
      </c>
      <c r="B518" t="s">
        <v>2665</v>
      </c>
      <c r="C518" s="1">
        <v>41992</v>
      </c>
      <c r="D518" s="1">
        <v>41994</v>
      </c>
      <c r="E518">
        <f>Superstore_Sales[[#This Row],[Ship Date]]-Superstore_Sales[[#This Row],[Order Date]]</f>
        <v>2</v>
      </c>
      <c r="F518" t="s">
        <v>40</v>
      </c>
      <c r="G518" t="s">
        <v>2666</v>
      </c>
      <c r="H518" t="s">
        <v>2667</v>
      </c>
      <c r="I518" t="s">
        <v>65</v>
      </c>
      <c r="K518" t="s">
        <v>2668</v>
      </c>
      <c r="L518" t="s">
        <v>2669</v>
      </c>
      <c r="M518" t="s">
        <v>463</v>
      </c>
      <c r="N518" t="s">
        <v>171</v>
      </c>
      <c r="O518" t="s">
        <v>69</v>
      </c>
      <c r="P518" t="s">
        <v>2670</v>
      </c>
      <c r="Q518" t="s">
        <v>147</v>
      </c>
      <c r="R518" t="s">
        <v>162</v>
      </c>
      <c r="S518" t="s">
        <v>2671</v>
      </c>
      <c r="T518">
        <v>845.21</v>
      </c>
      <c r="U518">
        <v>7</v>
      </c>
      <c r="V518">
        <v>0.1</v>
      </c>
      <c r="W518">
        <v>-9.49</v>
      </c>
      <c r="X518">
        <v>265.85000000000002</v>
      </c>
      <c r="Y518" t="s">
        <v>53</v>
      </c>
      <c r="Z518">
        <f>Superstore_Sales[[#This Row],[Sales]]*Superstore_Sales[[#This Row],[Quantity]]</f>
        <v>5916.47</v>
      </c>
      <c r="AA518" s="3">
        <f>Superstore_Sales[[#This Row],[TotalSales]]*Superstore_Sales[[#This Row],[Discount]]/100</f>
        <v>5.9164700000000003</v>
      </c>
      <c r="AB518" s="2">
        <f>Superstore_Sales[[#This Row],[TotalSales]]-Superstore_Sales[[#This Row],[Dis_amt]]-Superstore_Sales[[#This Row],[Shipping Cost]]</f>
        <v>5644.7035299999998</v>
      </c>
    </row>
    <row r="519" spans="1:28" x14ac:dyDescent="0.35">
      <c r="A519">
        <v>21505</v>
      </c>
      <c r="B519" t="s">
        <v>2672</v>
      </c>
      <c r="C519" s="1">
        <v>41441</v>
      </c>
      <c r="D519" s="1">
        <v>41447</v>
      </c>
      <c r="E519">
        <f>Superstore_Sales[[#This Row],[Ship Date]]-Superstore_Sales[[#This Row],[Order Date]]</f>
        <v>6</v>
      </c>
      <c r="F519" t="s">
        <v>98</v>
      </c>
      <c r="G519" t="s">
        <v>2673</v>
      </c>
      <c r="H519" t="s">
        <v>2674</v>
      </c>
      <c r="I519" t="s">
        <v>28</v>
      </c>
      <c r="K519" t="s">
        <v>2675</v>
      </c>
      <c r="L519" t="s">
        <v>334</v>
      </c>
      <c r="M519" t="s">
        <v>258</v>
      </c>
      <c r="N519" t="s">
        <v>118</v>
      </c>
      <c r="O519" t="s">
        <v>48</v>
      </c>
      <c r="P519" t="s">
        <v>2395</v>
      </c>
      <c r="Q519" t="s">
        <v>147</v>
      </c>
      <c r="R519" t="s">
        <v>148</v>
      </c>
      <c r="S519" t="s">
        <v>2396</v>
      </c>
      <c r="T519">
        <v>2799.63</v>
      </c>
      <c r="U519">
        <v>9</v>
      </c>
      <c r="V519">
        <v>0</v>
      </c>
      <c r="W519">
        <v>391.77</v>
      </c>
      <c r="X519">
        <v>265.45999999999998</v>
      </c>
      <c r="Y519" t="s">
        <v>61</v>
      </c>
      <c r="Z519">
        <f>Superstore_Sales[[#This Row],[Sales]]*Superstore_Sales[[#This Row],[Quantity]]</f>
        <v>25196.670000000002</v>
      </c>
      <c r="AA519" s="3">
        <f>Superstore_Sales[[#This Row],[TotalSales]]*Superstore_Sales[[#This Row],[Discount]]/100</f>
        <v>0</v>
      </c>
      <c r="AB519" s="2">
        <f>Superstore_Sales[[#This Row],[TotalSales]]-Superstore_Sales[[#This Row],[Dis_amt]]-Superstore_Sales[[#This Row],[Shipping Cost]]</f>
        <v>24931.210000000003</v>
      </c>
    </row>
    <row r="520" spans="1:28" x14ac:dyDescent="0.35">
      <c r="A520">
        <v>27612</v>
      </c>
      <c r="B520" t="s">
        <v>2676</v>
      </c>
      <c r="C520" s="1">
        <v>41871</v>
      </c>
      <c r="D520" s="1">
        <v>41871</v>
      </c>
      <c r="E520">
        <f>Superstore_Sales[[#This Row],[Ship Date]]-Superstore_Sales[[#This Row],[Order Date]]</f>
        <v>0</v>
      </c>
      <c r="F520" t="s">
        <v>73</v>
      </c>
      <c r="G520" t="s">
        <v>2677</v>
      </c>
      <c r="H520" t="s">
        <v>2678</v>
      </c>
      <c r="I520" t="s">
        <v>65</v>
      </c>
      <c r="K520" t="s">
        <v>2679</v>
      </c>
      <c r="L520" t="s">
        <v>2679</v>
      </c>
      <c r="M520" t="s">
        <v>2680</v>
      </c>
      <c r="N520" t="s">
        <v>322</v>
      </c>
      <c r="O520" t="s">
        <v>48</v>
      </c>
      <c r="P520" t="s">
        <v>2395</v>
      </c>
      <c r="Q520" t="s">
        <v>147</v>
      </c>
      <c r="R520" t="s">
        <v>148</v>
      </c>
      <c r="S520" t="s">
        <v>2396</v>
      </c>
      <c r="T520">
        <v>1549.13</v>
      </c>
      <c r="U520">
        <v>6</v>
      </c>
      <c r="V520">
        <v>0.17</v>
      </c>
      <c r="W520">
        <v>-56.11</v>
      </c>
      <c r="X520">
        <v>265.14</v>
      </c>
      <c r="Y520" t="s">
        <v>53</v>
      </c>
      <c r="Z520">
        <f>Superstore_Sales[[#This Row],[Sales]]*Superstore_Sales[[#This Row],[Quantity]]</f>
        <v>9294.7800000000007</v>
      </c>
      <c r="AA520" s="3">
        <f>Superstore_Sales[[#This Row],[TotalSales]]*Superstore_Sales[[#This Row],[Discount]]/100</f>
        <v>15.801126000000002</v>
      </c>
      <c r="AB520" s="2">
        <f>Superstore_Sales[[#This Row],[TotalSales]]-Superstore_Sales[[#This Row],[Dis_amt]]-Superstore_Sales[[#This Row],[Shipping Cost]]</f>
        <v>9013.8388740000009</v>
      </c>
    </row>
    <row r="521" spans="1:28" x14ac:dyDescent="0.35">
      <c r="A521">
        <v>5957</v>
      </c>
      <c r="B521" t="s">
        <v>2681</v>
      </c>
      <c r="C521" s="1">
        <v>41446</v>
      </c>
      <c r="D521" s="1">
        <v>41450</v>
      </c>
      <c r="E521">
        <f>Superstore_Sales[[#This Row],[Ship Date]]-Superstore_Sales[[#This Row],[Order Date]]</f>
        <v>4</v>
      </c>
      <c r="F521" t="s">
        <v>98</v>
      </c>
      <c r="G521" t="s">
        <v>2682</v>
      </c>
      <c r="H521" t="s">
        <v>2683</v>
      </c>
      <c r="I521" t="s">
        <v>43</v>
      </c>
      <c r="K521" t="s">
        <v>1388</v>
      </c>
      <c r="L521" t="s">
        <v>1389</v>
      </c>
      <c r="M521" t="s">
        <v>219</v>
      </c>
      <c r="N521" t="s">
        <v>220</v>
      </c>
      <c r="O521" t="s">
        <v>136</v>
      </c>
      <c r="P521" t="s">
        <v>87</v>
      </c>
      <c r="Q521" t="s">
        <v>35</v>
      </c>
      <c r="R521" t="s">
        <v>36</v>
      </c>
      <c r="S521" t="s">
        <v>88</v>
      </c>
      <c r="T521">
        <v>1696.4</v>
      </c>
      <c r="U521">
        <v>4</v>
      </c>
      <c r="V521">
        <v>0</v>
      </c>
      <c r="W521">
        <v>67.84</v>
      </c>
      <c r="X521">
        <v>264.88799999999998</v>
      </c>
      <c r="Y521" t="s">
        <v>38</v>
      </c>
      <c r="Z521">
        <f>Superstore_Sales[[#This Row],[Sales]]*Superstore_Sales[[#This Row],[Quantity]]</f>
        <v>6785.6</v>
      </c>
      <c r="AA521" s="3">
        <f>Superstore_Sales[[#This Row],[TotalSales]]*Superstore_Sales[[#This Row],[Discount]]/100</f>
        <v>0</v>
      </c>
      <c r="AB521" s="2">
        <f>Superstore_Sales[[#This Row],[TotalSales]]-Superstore_Sales[[#This Row],[Dis_amt]]-Superstore_Sales[[#This Row],[Shipping Cost]]</f>
        <v>6520.7120000000004</v>
      </c>
    </row>
    <row r="522" spans="1:28" x14ac:dyDescent="0.35">
      <c r="A522">
        <v>9316</v>
      </c>
      <c r="B522" t="s">
        <v>2684</v>
      </c>
      <c r="C522" s="1">
        <v>41417</v>
      </c>
      <c r="D522" s="1">
        <v>41419</v>
      </c>
      <c r="E522">
        <f>Superstore_Sales[[#This Row],[Ship Date]]-Superstore_Sales[[#This Row],[Order Date]]</f>
        <v>2</v>
      </c>
      <c r="F522" t="s">
        <v>25</v>
      </c>
      <c r="G522" t="s">
        <v>2685</v>
      </c>
      <c r="H522" t="s">
        <v>396</v>
      </c>
      <c r="I522" t="s">
        <v>43</v>
      </c>
      <c r="K522" t="s">
        <v>1388</v>
      </c>
      <c r="L522" t="s">
        <v>1389</v>
      </c>
      <c r="M522" t="s">
        <v>219</v>
      </c>
      <c r="N522" t="s">
        <v>220</v>
      </c>
      <c r="O522" t="s">
        <v>136</v>
      </c>
      <c r="P522" t="s">
        <v>2686</v>
      </c>
      <c r="Q522" t="s">
        <v>147</v>
      </c>
      <c r="R522" t="s">
        <v>148</v>
      </c>
      <c r="S522" t="s">
        <v>2687</v>
      </c>
      <c r="T522">
        <v>935.5</v>
      </c>
      <c r="U522">
        <v>5</v>
      </c>
      <c r="V522">
        <v>0</v>
      </c>
      <c r="W522">
        <v>168.3</v>
      </c>
      <c r="X522">
        <v>264.428</v>
      </c>
      <c r="Y522" t="s">
        <v>61</v>
      </c>
      <c r="Z522">
        <f>Superstore_Sales[[#This Row],[Sales]]*Superstore_Sales[[#This Row],[Quantity]]</f>
        <v>4677.5</v>
      </c>
      <c r="AA522" s="3">
        <f>Superstore_Sales[[#This Row],[TotalSales]]*Superstore_Sales[[#This Row],[Discount]]/100</f>
        <v>0</v>
      </c>
      <c r="AB522" s="2">
        <f>Superstore_Sales[[#This Row],[TotalSales]]-Superstore_Sales[[#This Row],[Dis_amt]]-Superstore_Sales[[#This Row],[Shipping Cost]]</f>
        <v>4413.0720000000001</v>
      </c>
    </row>
    <row r="523" spans="1:28" x14ac:dyDescent="0.35">
      <c r="A523">
        <v>14608</v>
      </c>
      <c r="B523" t="s">
        <v>2688</v>
      </c>
      <c r="C523" s="1">
        <v>41759</v>
      </c>
      <c r="D523" s="1">
        <v>41762</v>
      </c>
      <c r="E523">
        <f>Superstore_Sales[[#This Row],[Ship Date]]-Superstore_Sales[[#This Row],[Order Date]]</f>
        <v>3</v>
      </c>
      <c r="F523" t="s">
        <v>25</v>
      </c>
      <c r="G523" t="s">
        <v>2689</v>
      </c>
      <c r="H523" t="s">
        <v>2690</v>
      </c>
      <c r="I523" t="s">
        <v>43</v>
      </c>
      <c r="K523" t="s">
        <v>2691</v>
      </c>
      <c r="L523" t="s">
        <v>154</v>
      </c>
      <c r="M523" t="s">
        <v>155</v>
      </c>
      <c r="N523" t="s">
        <v>68</v>
      </c>
      <c r="O523" t="s">
        <v>69</v>
      </c>
      <c r="P523" t="s">
        <v>2692</v>
      </c>
      <c r="Q523" t="s">
        <v>35</v>
      </c>
      <c r="R523" t="s">
        <v>275</v>
      </c>
      <c r="S523" t="s">
        <v>2693</v>
      </c>
      <c r="T523">
        <v>2036.81</v>
      </c>
      <c r="U523">
        <v>9</v>
      </c>
      <c r="V523">
        <v>0.15</v>
      </c>
      <c r="W523">
        <v>359.3</v>
      </c>
      <c r="X523">
        <v>263.82</v>
      </c>
      <c r="Y523" t="s">
        <v>61</v>
      </c>
      <c r="Z523">
        <f>Superstore_Sales[[#This Row],[Sales]]*Superstore_Sales[[#This Row],[Quantity]]</f>
        <v>18331.29</v>
      </c>
      <c r="AA523" s="3">
        <f>Superstore_Sales[[#This Row],[TotalSales]]*Superstore_Sales[[#This Row],[Discount]]/100</f>
        <v>27.496934999999997</v>
      </c>
      <c r="AB523" s="2">
        <f>Superstore_Sales[[#This Row],[TotalSales]]-Superstore_Sales[[#This Row],[Dis_amt]]-Superstore_Sales[[#This Row],[Shipping Cost]]</f>
        <v>18039.973065000002</v>
      </c>
    </row>
    <row r="524" spans="1:28" x14ac:dyDescent="0.35">
      <c r="A524">
        <v>13059</v>
      </c>
      <c r="B524" t="s">
        <v>2694</v>
      </c>
      <c r="C524" s="1">
        <v>41440</v>
      </c>
      <c r="D524" s="1">
        <v>41440</v>
      </c>
      <c r="E524">
        <f>Superstore_Sales[[#This Row],[Ship Date]]-Superstore_Sales[[#This Row],[Order Date]]</f>
        <v>0</v>
      </c>
      <c r="F524" t="s">
        <v>73</v>
      </c>
      <c r="G524" t="s">
        <v>2695</v>
      </c>
      <c r="H524" t="s">
        <v>2696</v>
      </c>
      <c r="I524" t="s">
        <v>43</v>
      </c>
      <c r="K524" t="s">
        <v>2697</v>
      </c>
      <c r="L524" t="s">
        <v>651</v>
      </c>
      <c r="M524" t="s">
        <v>155</v>
      </c>
      <c r="N524" t="s">
        <v>68</v>
      </c>
      <c r="O524" t="s">
        <v>69</v>
      </c>
      <c r="P524" t="s">
        <v>2698</v>
      </c>
      <c r="Q524" t="s">
        <v>35</v>
      </c>
      <c r="R524" t="s">
        <v>304</v>
      </c>
      <c r="S524" t="s">
        <v>2699</v>
      </c>
      <c r="T524">
        <v>980.52</v>
      </c>
      <c r="U524">
        <v>4</v>
      </c>
      <c r="V524">
        <v>0</v>
      </c>
      <c r="W524">
        <v>176.4</v>
      </c>
      <c r="X524">
        <v>263.70999999999998</v>
      </c>
      <c r="Y524" t="s">
        <v>38</v>
      </c>
      <c r="Z524">
        <f>Superstore_Sales[[#This Row],[Sales]]*Superstore_Sales[[#This Row],[Quantity]]</f>
        <v>3922.08</v>
      </c>
      <c r="AA524" s="3">
        <f>Superstore_Sales[[#This Row],[TotalSales]]*Superstore_Sales[[#This Row],[Discount]]/100</f>
        <v>0</v>
      </c>
      <c r="AB524" s="2">
        <f>Superstore_Sales[[#This Row],[TotalSales]]-Superstore_Sales[[#This Row],[Dis_amt]]-Superstore_Sales[[#This Row],[Shipping Cost]]</f>
        <v>3658.37</v>
      </c>
    </row>
    <row r="525" spans="1:28" x14ac:dyDescent="0.35">
      <c r="A525">
        <v>14707</v>
      </c>
      <c r="B525" t="s">
        <v>2700</v>
      </c>
      <c r="C525" s="1">
        <v>41991</v>
      </c>
      <c r="D525" s="1">
        <v>41995</v>
      </c>
      <c r="E525">
        <f>Superstore_Sales[[#This Row],[Ship Date]]-Superstore_Sales[[#This Row],[Order Date]]</f>
        <v>4</v>
      </c>
      <c r="F525" t="s">
        <v>98</v>
      </c>
      <c r="G525" t="s">
        <v>2701</v>
      </c>
      <c r="H525" t="s">
        <v>2702</v>
      </c>
      <c r="I525" t="s">
        <v>28</v>
      </c>
      <c r="K525" t="s">
        <v>2703</v>
      </c>
      <c r="L525" t="s">
        <v>1772</v>
      </c>
      <c r="M525" t="s">
        <v>155</v>
      </c>
      <c r="N525" t="s">
        <v>68</v>
      </c>
      <c r="O525" t="s">
        <v>69</v>
      </c>
      <c r="P525" t="s">
        <v>2704</v>
      </c>
      <c r="Q525" t="s">
        <v>35</v>
      </c>
      <c r="R525" t="s">
        <v>81</v>
      </c>
      <c r="S525" t="s">
        <v>2705</v>
      </c>
      <c r="T525">
        <v>1654.64</v>
      </c>
      <c r="U525">
        <v>8</v>
      </c>
      <c r="V525">
        <v>0.15</v>
      </c>
      <c r="W525">
        <v>681.2</v>
      </c>
      <c r="X525">
        <v>263.47000000000003</v>
      </c>
      <c r="Y525" t="s">
        <v>38</v>
      </c>
      <c r="Z525">
        <f>Superstore_Sales[[#This Row],[Sales]]*Superstore_Sales[[#This Row],[Quantity]]</f>
        <v>13237.12</v>
      </c>
      <c r="AA525" s="3">
        <f>Superstore_Sales[[#This Row],[TotalSales]]*Superstore_Sales[[#This Row],[Discount]]/100</f>
        <v>19.85568</v>
      </c>
      <c r="AB525" s="2">
        <f>Superstore_Sales[[#This Row],[TotalSales]]-Superstore_Sales[[#This Row],[Dis_amt]]-Superstore_Sales[[#This Row],[Shipping Cost]]</f>
        <v>12953.794320000001</v>
      </c>
    </row>
    <row r="526" spans="1:28" x14ac:dyDescent="0.35">
      <c r="A526">
        <v>26873</v>
      </c>
      <c r="B526" t="s">
        <v>2706</v>
      </c>
      <c r="C526" s="1">
        <v>42206</v>
      </c>
      <c r="D526" s="1">
        <v>42210</v>
      </c>
      <c r="E526">
        <f>Superstore_Sales[[#This Row],[Ship Date]]-Superstore_Sales[[#This Row],[Order Date]]</f>
        <v>4</v>
      </c>
      <c r="F526" t="s">
        <v>98</v>
      </c>
      <c r="G526" t="s">
        <v>2707</v>
      </c>
      <c r="H526" t="s">
        <v>2708</v>
      </c>
      <c r="I526" t="s">
        <v>28</v>
      </c>
      <c r="K526" t="s">
        <v>2610</v>
      </c>
      <c r="L526" t="s">
        <v>573</v>
      </c>
      <c r="M526" t="s">
        <v>321</v>
      </c>
      <c r="N526" t="s">
        <v>322</v>
      </c>
      <c r="O526" t="s">
        <v>48</v>
      </c>
      <c r="P526" t="s">
        <v>137</v>
      </c>
      <c r="Q526" t="s">
        <v>50</v>
      </c>
      <c r="R526" t="s">
        <v>51</v>
      </c>
      <c r="S526" t="s">
        <v>138</v>
      </c>
      <c r="T526">
        <v>2063.77</v>
      </c>
      <c r="U526">
        <v>6</v>
      </c>
      <c r="V526">
        <v>0.27</v>
      </c>
      <c r="W526">
        <v>141.19</v>
      </c>
      <c r="X526">
        <v>263.01</v>
      </c>
      <c r="Y526" t="s">
        <v>38</v>
      </c>
      <c r="Z526">
        <f>Superstore_Sales[[#This Row],[Sales]]*Superstore_Sales[[#This Row],[Quantity]]</f>
        <v>12382.619999999999</v>
      </c>
      <c r="AA526" s="3">
        <f>Superstore_Sales[[#This Row],[TotalSales]]*Superstore_Sales[[#This Row],[Discount]]/100</f>
        <v>33.433074000000005</v>
      </c>
      <c r="AB526" s="2">
        <f>Superstore_Sales[[#This Row],[TotalSales]]-Superstore_Sales[[#This Row],[Dis_amt]]-Superstore_Sales[[#This Row],[Shipping Cost]]</f>
        <v>12086.176925999998</v>
      </c>
    </row>
    <row r="527" spans="1:28" x14ac:dyDescent="0.35">
      <c r="A527">
        <v>6479</v>
      </c>
      <c r="B527" t="s">
        <v>2709</v>
      </c>
      <c r="C527" s="1">
        <v>41696</v>
      </c>
      <c r="D527" s="1">
        <v>41699</v>
      </c>
      <c r="E527">
        <f>Superstore_Sales[[#This Row],[Ship Date]]-Superstore_Sales[[#This Row],[Order Date]]</f>
        <v>3</v>
      </c>
      <c r="F527" t="s">
        <v>25</v>
      </c>
      <c r="G527" t="s">
        <v>2710</v>
      </c>
      <c r="H527" t="s">
        <v>841</v>
      </c>
      <c r="I527" t="s">
        <v>28</v>
      </c>
      <c r="K527" t="s">
        <v>2711</v>
      </c>
      <c r="L527" t="s">
        <v>831</v>
      </c>
      <c r="M527" t="s">
        <v>134</v>
      </c>
      <c r="N527" t="s">
        <v>135</v>
      </c>
      <c r="O527" t="s">
        <v>136</v>
      </c>
      <c r="P527" t="s">
        <v>2712</v>
      </c>
      <c r="Q527" t="s">
        <v>50</v>
      </c>
      <c r="R527" t="s">
        <v>104</v>
      </c>
      <c r="S527" t="s">
        <v>2713</v>
      </c>
      <c r="T527">
        <v>1411.2</v>
      </c>
      <c r="U527">
        <v>6</v>
      </c>
      <c r="V527">
        <v>0.2</v>
      </c>
      <c r="W527">
        <v>405.72</v>
      </c>
      <c r="X527">
        <v>262.11099999999999</v>
      </c>
      <c r="Y527" t="s">
        <v>61</v>
      </c>
      <c r="Z527">
        <f>Superstore_Sales[[#This Row],[Sales]]*Superstore_Sales[[#This Row],[Quantity]]</f>
        <v>8467.2000000000007</v>
      </c>
      <c r="AA527" s="3">
        <f>Superstore_Sales[[#This Row],[TotalSales]]*Superstore_Sales[[#This Row],[Discount]]/100</f>
        <v>16.934400000000004</v>
      </c>
      <c r="AB527" s="2">
        <f>Superstore_Sales[[#This Row],[TotalSales]]-Superstore_Sales[[#This Row],[Dis_amt]]-Superstore_Sales[[#This Row],[Shipping Cost]]</f>
        <v>8188.1546000000008</v>
      </c>
    </row>
    <row r="528" spans="1:28" x14ac:dyDescent="0.35">
      <c r="A528">
        <v>11765</v>
      </c>
      <c r="B528" t="s">
        <v>2714</v>
      </c>
      <c r="C528" s="1">
        <v>41238</v>
      </c>
      <c r="D528" s="1">
        <v>41242</v>
      </c>
      <c r="E528">
        <f>Superstore_Sales[[#This Row],[Ship Date]]-Superstore_Sales[[#This Row],[Order Date]]</f>
        <v>4</v>
      </c>
      <c r="F528" t="s">
        <v>98</v>
      </c>
      <c r="G528" t="s">
        <v>2715</v>
      </c>
      <c r="H528" t="s">
        <v>1236</v>
      </c>
      <c r="I528" t="s">
        <v>28</v>
      </c>
      <c r="K528" t="s">
        <v>2716</v>
      </c>
      <c r="L528" t="s">
        <v>527</v>
      </c>
      <c r="M528" t="s">
        <v>67</v>
      </c>
      <c r="N528" t="s">
        <v>68</v>
      </c>
      <c r="O528" t="s">
        <v>69</v>
      </c>
      <c r="P528" t="s">
        <v>581</v>
      </c>
      <c r="Q528" t="s">
        <v>147</v>
      </c>
      <c r="R528" t="s">
        <v>148</v>
      </c>
      <c r="S528" t="s">
        <v>582</v>
      </c>
      <c r="T528">
        <v>2039.8</v>
      </c>
      <c r="U528">
        <v>4</v>
      </c>
      <c r="V528">
        <v>0.1</v>
      </c>
      <c r="W528">
        <v>-113.36</v>
      </c>
      <c r="X528">
        <v>262.11</v>
      </c>
      <c r="Y528" t="s">
        <v>38</v>
      </c>
      <c r="Z528">
        <f>Superstore_Sales[[#This Row],[Sales]]*Superstore_Sales[[#This Row],[Quantity]]</f>
        <v>8159.2</v>
      </c>
      <c r="AA528" s="3">
        <f>Superstore_Sales[[#This Row],[TotalSales]]*Superstore_Sales[[#This Row],[Discount]]/100</f>
        <v>8.1592000000000002</v>
      </c>
      <c r="AB528" s="2">
        <f>Superstore_Sales[[#This Row],[TotalSales]]-Superstore_Sales[[#This Row],[Dis_amt]]-Superstore_Sales[[#This Row],[Shipping Cost]]</f>
        <v>7888.9308000000001</v>
      </c>
    </row>
    <row r="529" spans="1:28" x14ac:dyDescent="0.35">
      <c r="A529">
        <v>25263</v>
      </c>
      <c r="B529" t="s">
        <v>2717</v>
      </c>
      <c r="C529" s="1">
        <v>41506</v>
      </c>
      <c r="D529" s="1">
        <v>41510</v>
      </c>
      <c r="E529">
        <f>Superstore_Sales[[#This Row],[Ship Date]]-Superstore_Sales[[#This Row],[Order Date]]</f>
        <v>4</v>
      </c>
      <c r="F529" t="s">
        <v>98</v>
      </c>
      <c r="G529" t="s">
        <v>2718</v>
      </c>
      <c r="H529" t="s">
        <v>1900</v>
      </c>
      <c r="I529" t="s">
        <v>28</v>
      </c>
      <c r="K529" t="s">
        <v>965</v>
      </c>
      <c r="L529" t="s">
        <v>965</v>
      </c>
      <c r="M529" t="s">
        <v>144</v>
      </c>
      <c r="N529" t="s">
        <v>145</v>
      </c>
      <c r="O529" t="s">
        <v>48</v>
      </c>
      <c r="P529" t="s">
        <v>295</v>
      </c>
      <c r="Q529" t="s">
        <v>35</v>
      </c>
      <c r="R529" t="s">
        <v>36</v>
      </c>
      <c r="S529" t="s">
        <v>296</v>
      </c>
      <c r="T529">
        <v>5737.5</v>
      </c>
      <c r="U529">
        <v>9</v>
      </c>
      <c r="V529">
        <v>0</v>
      </c>
      <c r="W529">
        <v>630.99</v>
      </c>
      <c r="X529">
        <v>261.87</v>
      </c>
      <c r="Y529" t="s">
        <v>61</v>
      </c>
      <c r="Z529">
        <f>Superstore_Sales[[#This Row],[Sales]]*Superstore_Sales[[#This Row],[Quantity]]</f>
        <v>51637.5</v>
      </c>
      <c r="AA529" s="3">
        <f>Superstore_Sales[[#This Row],[TotalSales]]*Superstore_Sales[[#This Row],[Discount]]/100</f>
        <v>0</v>
      </c>
      <c r="AB529" s="2">
        <f>Superstore_Sales[[#This Row],[TotalSales]]-Superstore_Sales[[#This Row],[Dis_amt]]-Superstore_Sales[[#This Row],[Shipping Cost]]</f>
        <v>51375.63</v>
      </c>
    </row>
    <row r="530" spans="1:28" x14ac:dyDescent="0.35">
      <c r="A530">
        <v>21794</v>
      </c>
      <c r="B530" t="s">
        <v>2719</v>
      </c>
      <c r="C530" s="1">
        <v>41418</v>
      </c>
      <c r="D530" s="1">
        <v>41422</v>
      </c>
      <c r="E530">
        <f>Superstore_Sales[[#This Row],[Ship Date]]-Superstore_Sales[[#This Row],[Order Date]]</f>
        <v>4</v>
      </c>
      <c r="F530" t="s">
        <v>98</v>
      </c>
      <c r="G530" t="s">
        <v>2720</v>
      </c>
      <c r="H530" t="s">
        <v>2721</v>
      </c>
      <c r="I530" t="s">
        <v>28</v>
      </c>
      <c r="K530" t="s">
        <v>44</v>
      </c>
      <c r="L530" t="s">
        <v>45</v>
      </c>
      <c r="M530" t="s">
        <v>46</v>
      </c>
      <c r="N530" t="s">
        <v>47</v>
      </c>
      <c r="O530" t="s">
        <v>48</v>
      </c>
      <c r="P530" t="s">
        <v>779</v>
      </c>
      <c r="Q530" t="s">
        <v>35</v>
      </c>
      <c r="R530" t="s">
        <v>81</v>
      </c>
      <c r="S530" t="s">
        <v>780</v>
      </c>
      <c r="T530">
        <v>1641.09</v>
      </c>
      <c r="U530">
        <v>7</v>
      </c>
      <c r="V530">
        <v>0.1</v>
      </c>
      <c r="W530">
        <v>473.91</v>
      </c>
      <c r="X530">
        <v>261.52</v>
      </c>
      <c r="Y530" t="s">
        <v>38</v>
      </c>
      <c r="Z530">
        <f>Superstore_Sales[[#This Row],[Sales]]*Superstore_Sales[[#This Row],[Quantity]]</f>
        <v>11487.63</v>
      </c>
      <c r="AA530" s="3">
        <f>Superstore_Sales[[#This Row],[TotalSales]]*Superstore_Sales[[#This Row],[Discount]]/100</f>
        <v>11.487629999999999</v>
      </c>
      <c r="AB530" s="2">
        <f>Superstore_Sales[[#This Row],[TotalSales]]-Superstore_Sales[[#This Row],[Dis_amt]]-Superstore_Sales[[#This Row],[Shipping Cost]]</f>
        <v>11214.622369999999</v>
      </c>
    </row>
    <row r="531" spans="1:28" x14ac:dyDescent="0.35">
      <c r="A531">
        <v>8859</v>
      </c>
      <c r="B531" t="s">
        <v>2722</v>
      </c>
      <c r="C531" s="1">
        <v>41216</v>
      </c>
      <c r="D531" s="1">
        <v>41220</v>
      </c>
      <c r="E531">
        <f>Superstore_Sales[[#This Row],[Ship Date]]-Superstore_Sales[[#This Row],[Order Date]]</f>
        <v>4</v>
      </c>
      <c r="F531" t="s">
        <v>98</v>
      </c>
      <c r="G531" t="s">
        <v>2723</v>
      </c>
      <c r="H531" t="s">
        <v>2724</v>
      </c>
      <c r="I531" t="s">
        <v>65</v>
      </c>
      <c r="K531" t="s">
        <v>2725</v>
      </c>
      <c r="L531" t="s">
        <v>2726</v>
      </c>
      <c r="M531" t="s">
        <v>2727</v>
      </c>
      <c r="N531" t="s">
        <v>266</v>
      </c>
      <c r="O531" t="s">
        <v>136</v>
      </c>
      <c r="P531" t="s">
        <v>592</v>
      </c>
      <c r="Q531" t="s">
        <v>50</v>
      </c>
      <c r="R531" t="s">
        <v>336</v>
      </c>
      <c r="S531" t="s">
        <v>593</v>
      </c>
      <c r="T531">
        <v>1380.9</v>
      </c>
      <c r="U531">
        <v>5</v>
      </c>
      <c r="V531">
        <v>0</v>
      </c>
      <c r="W531">
        <v>303.7</v>
      </c>
      <c r="X531">
        <v>261.262</v>
      </c>
      <c r="Y531" t="s">
        <v>38</v>
      </c>
      <c r="Z531">
        <f>Superstore_Sales[[#This Row],[Sales]]*Superstore_Sales[[#This Row],[Quantity]]</f>
        <v>6904.5</v>
      </c>
      <c r="AA531" s="3">
        <f>Superstore_Sales[[#This Row],[TotalSales]]*Superstore_Sales[[#This Row],[Discount]]/100</f>
        <v>0</v>
      </c>
      <c r="AB531" s="2">
        <f>Superstore_Sales[[#This Row],[TotalSales]]-Superstore_Sales[[#This Row],[Dis_amt]]-Superstore_Sales[[#This Row],[Shipping Cost]]</f>
        <v>6643.2380000000003</v>
      </c>
    </row>
    <row r="532" spans="1:28" x14ac:dyDescent="0.35">
      <c r="A532">
        <v>27261</v>
      </c>
      <c r="B532" t="s">
        <v>2728</v>
      </c>
      <c r="C532" s="1">
        <v>41173</v>
      </c>
      <c r="D532" s="1">
        <v>41178</v>
      </c>
      <c r="E532">
        <f>Superstore_Sales[[#This Row],[Ship Date]]-Superstore_Sales[[#This Row],[Order Date]]</f>
        <v>5</v>
      </c>
      <c r="F532" t="s">
        <v>40</v>
      </c>
      <c r="G532" t="s">
        <v>2729</v>
      </c>
      <c r="H532" t="s">
        <v>2730</v>
      </c>
      <c r="I532" t="s">
        <v>28</v>
      </c>
      <c r="K532" t="s">
        <v>1945</v>
      </c>
      <c r="L532" t="s">
        <v>1946</v>
      </c>
      <c r="M532" t="s">
        <v>258</v>
      </c>
      <c r="N532" t="s">
        <v>118</v>
      </c>
      <c r="O532" t="s">
        <v>48</v>
      </c>
      <c r="P532" t="s">
        <v>438</v>
      </c>
      <c r="Q532" t="s">
        <v>35</v>
      </c>
      <c r="R532" t="s">
        <v>36</v>
      </c>
      <c r="S532" t="s">
        <v>439</v>
      </c>
      <c r="T532">
        <v>1917</v>
      </c>
      <c r="U532">
        <v>3</v>
      </c>
      <c r="V532">
        <v>0</v>
      </c>
      <c r="W532">
        <v>690.12</v>
      </c>
      <c r="X532">
        <v>261.08</v>
      </c>
      <c r="Y532" t="s">
        <v>38</v>
      </c>
      <c r="Z532">
        <f>Superstore_Sales[[#This Row],[Sales]]*Superstore_Sales[[#This Row],[Quantity]]</f>
        <v>5751</v>
      </c>
      <c r="AA532" s="3">
        <f>Superstore_Sales[[#This Row],[TotalSales]]*Superstore_Sales[[#This Row],[Discount]]/100</f>
        <v>0</v>
      </c>
      <c r="AB532" s="2">
        <f>Superstore_Sales[[#This Row],[TotalSales]]-Superstore_Sales[[#This Row],[Dis_amt]]-Superstore_Sales[[#This Row],[Shipping Cost]]</f>
        <v>5489.92</v>
      </c>
    </row>
    <row r="533" spans="1:28" x14ac:dyDescent="0.35">
      <c r="A533">
        <v>30515</v>
      </c>
      <c r="B533" t="s">
        <v>2731</v>
      </c>
      <c r="C533" s="1">
        <v>41929</v>
      </c>
      <c r="D533" s="1">
        <v>41931</v>
      </c>
      <c r="E533">
        <f>Superstore_Sales[[#This Row],[Ship Date]]-Superstore_Sales[[#This Row],[Order Date]]</f>
        <v>2</v>
      </c>
      <c r="F533" t="s">
        <v>40</v>
      </c>
      <c r="G533" t="s">
        <v>2732</v>
      </c>
      <c r="H533" t="s">
        <v>2733</v>
      </c>
      <c r="I533" t="s">
        <v>28</v>
      </c>
      <c r="K533" t="s">
        <v>2734</v>
      </c>
      <c r="L533" t="s">
        <v>102</v>
      </c>
      <c r="M533" t="s">
        <v>94</v>
      </c>
      <c r="N533" t="s">
        <v>47</v>
      </c>
      <c r="O533" t="s">
        <v>48</v>
      </c>
      <c r="P533" t="s">
        <v>2521</v>
      </c>
      <c r="Q533" t="s">
        <v>50</v>
      </c>
      <c r="R533" t="s">
        <v>336</v>
      </c>
      <c r="S533" t="s">
        <v>2522</v>
      </c>
      <c r="T533">
        <v>823.5</v>
      </c>
      <c r="U533">
        <v>2</v>
      </c>
      <c r="V533">
        <v>0</v>
      </c>
      <c r="W533">
        <v>172.92</v>
      </c>
      <c r="X533">
        <v>260.60000000000002</v>
      </c>
      <c r="Y533" t="s">
        <v>53</v>
      </c>
      <c r="Z533">
        <f>Superstore_Sales[[#This Row],[Sales]]*Superstore_Sales[[#This Row],[Quantity]]</f>
        <v>1647</v>
      </c>
      <c r="AA533" s="3">
        <f>Superstore_Sales[[#This Row],[TotalSales]]*Superstore_Sales[[#This Row],[Discount]]/100</f>
        <v>0</v>
      </c>
      <c r="AB533" s="2">
        <f>Superstore_Sales[[#This Row],[TotalSales]]-Superstore_Sales[[#This Row],[Dis_amt]]-Superstore_Sales[[#This Row],[Shipping Cost]]</f>
        <v>1386.4</v>
      </c>
    </row>
    <row r="534" spans="1:28" x14ac:dyDescent="0.35">
      <c r="A534">
        <v>26538</v>
      </c>
      <c r="B534" t="s">
        <v>2735</v>
      </c>
      <c r="C534" s="1">
        <v>41795</v>
      </c>
      <c r="D534" s="1">
        <v>41799</v>
      </c>
      <c r="E534">
        <f>Superstore_Sales[[#This Row],[Ship Date]]-Superstore_Sales[[#This Row],[Order Date]]</f>
        <v>4</v>
      </c>
      <c r="F534" t="s">
        <v>98</v>
      </c>
      <c r="G534" t="s">
        <v>2736</v>
      </c>
      <c r="H534" t="s">
        <v>775</v>
      </c>
      <c r="I534" t="s">
        <v>28</v>
      </c>
      <c r="K534" t="s">
        <v>2737</v>
      </c>
      <c r="L534" t="s">
        <v>856</v>
      </c>
      <c r="M534" t="s">
        <v>144</v>
      </c>
      <c r="N534" t="s">
        <v>145</v>
      </c>
      <c r="O534" t="s">
        <v>48</v>
      </c>
      <c r="P534" t="s">
        <v>87</v>
      </c>
      <c r="Q534" t="s">
        <v>35</v>
      </c>
      <c r="R534" t="s">
        <v>36</v>
      </c>
      <c r="S534" t="s">
        <v>88</v>
      </c>
      <c r="T534">
        <v>3180.75</v>
      </c>
      <c r="U534">
        <v>5</v>
      </c>
      <c r="V534">
        <v>0</v>
      </c>
      <c r="W534">
        <v>1081.3499999999999</v>
      </c>
      <c r="X534">
        <v>260.29000000000002</v>
      </c>
      <c r="Y534" t="s">
        <v>61</v>
      </c>
      <c r="Z534">
        <f>Superstore_Sales[[#This Row],[Sales]]*Superstore_Sales[[#This Row],[Quantity]]</f>
        <v>15903.75</v>
      </c>
      <c r="AA534" s="3">
        <f>Superstore_Sales[[#This Row],[TotalSales]]*Superstore_Sales[[#This Row],[Discount]]/100</f>
        <v>0</v>
      </c>
      <c r="AB534" s="2">
        <f>Superstore_Sales[[#This Row],[TotalSales]]-Superstore_Sales[[#This Row],[Dis_amt]]-Superstore_Sales[[#This Row],[Shipping Cost]]</f>
        <v>15643.46</v>
      </c>
    </row>
    <row r="535" spans="1:28" x14ac:dyDescent="0.35">
      <c r="A535">
        <v>14619</v>
      </c>
      <c r="B535" t="s">
        <v>2738</v>
      </c>
      <c r="C535" s="1">
        <v>41773</v>
      </c>
      <c r="D535" s="1">
        <v>41775</v>
      </c>
      <c r="E535">
        <f>Superstore_Sales[[#This Row],[Ship Date]]-Superstore_Sales[[#This Row],[Order Date]]</f>
        <v>2</v>
      </c>
      <c r="F535" t="s">
        <v>40</v>
      </c>
      <c r="G535" t="s">
        <v>2739</v>
      </c>
      <c r="H535" t="s">
        <v>2740</v>
      </c>
      <c r="I535" t="s">
        <v>43</v>
      </c>
      <c r="K535" t="s">
        <v>2741</v>
      </c>
      <c r="L535" t="s">
        <v>878</v>
      </c>
      <c r="M535" t="s">
        <v>155</v>
      </c>
      <c r="N535" t="s">
        <v>68</v>
      </c>
      <c r="O535" t="s">
        <v>69</v>
      </c>
      <c r="P535" t="s">
        <v>1781</v>
      </c>
      <c r="Q535" t="s">
        <v>35</v>
      </c>
      <c r="R535" t="s">
        <v>275</v>
      </c>
      <c r="S535" t="s">
        <v>1782</v>
      </c>
      <c r="T535">
        <v>2910.19</v>
      </c>
      <c r="U535">
        <v>11</v>
      </c>
      <c r="V535">
        <v>0.15</v>
      </c>
      <c r="W535">
        <v>-68.72</v>
      </c>
      <c r="X535">
        <v>259.97000000000003</v>
      </c>
      <c r="Y535" t="s">
        <v>38</v>
      </c>
      <c r="Z535">
        <f>Superstore_Sales[[#This Row],[Sales]]*Superstore_Sales[[#This Row],[Quantity]]</f>
        <v>32012.09</v>
      </c>
      <c r="AA535" s="3">
        <f>Superstore_Sales[[#This Row],[TotalSales]]*Superstore_Sales[[#This Row],[Discount]]/100</f>
        <v>48.018135000000001</v>
      </c>
      <c r="AB535" s="2">
        <f>Superstore_Sales[[#This Row],[TotalSales]]-Superstore_Sales[[#This Row],[Dis_amt]]-Superstore_Sales[[#This Row],[Shipping Cost]]</f>
        <v>31704.101865000001</v>
      </c>
    </row>
    <row r="536" spans="1:28" x14ac:dyDescent="0.35">
      <c r="A536">
        <v>28515</v>
      </c>
      <c r="B536" t="s">
        <v>2742</v>
      </c>
      <c r="C536" s="1">
        <v>41933</v>
      </c>
      <c r="D536" s="1">
        <v>41936</v>
      </c>
      <c r="E536">
        <f>Superstore_Sales[[#This Row],[Ship Date]]-Superstore_Sales[[#This Row],[Order Date]]</f>
        <v>3</v>
      </c>
      <c r="F536" t="s">
        <v>40</v>
      </c>
      <c r="G536" t="s">
        <v>2743</v>
      </c>
      <c r="H536" t="s">
        <v>123</v>
      </c>
      <c r="I536" t="s">
        <v>28</v>
      </c>
      <c r="K536" t="s">
        <v>2744</v>
      </c>
      <c r="L536" t="s">
        <v>2744</v>
      </c>
      <c r="M536" t="s">
        <v>144</v>
      </c>
      <c r="N536" t="s">
        <v>145</v>
      </c>
      <c r="O536" t="s">
        <v>48</v>
      </c>
      <c r="P536" t="s">
        <v>2745</v>
      </c>
      <c r="Q536" t="s">
        <v>35</v>
      </c>
      <c r="R536" t="s">
        <v>36</v>
      </c>
      <c r="S536" t="s">
        <v>2746</v>
      </c>
      <c r="T536">
        <v>910.35</v>
      </c>
      <c r="U536">
        <v>5</v>
      </c>
      <c r="V536">
        <v>0</v>
      </c>
      <c r="W536">
        <v>391.35</v>
      </c>
      <c r="X536">
        <v>259.57</v>
      </c>
      <c r="Y536" t="s">
        <v>53</v>
      </c>
      <c r="Z536">
        <f>Superstore_Sales[[#This Row],[Sales]]*Superstore_Sales[[#This Row],[Quantity]]</f>
        <v>4551.75</v>
      </c>
      <c r="AA536" s="3">
        <f>Superstore_Sales[[#This Row],[TotalSales]]*Superstore_Sales[[#This Row],[Discount]]/100</f>
        <v>0</v>
      </c>
      <c r="AB536" s="2">
        <f>Superstore_Sales[[#This Row],[TotalSales]]-Superstore_Sales[[#This Row],[Dis_amt]]-Superstore_Sales[[#This Row],[Shipping Cost]]</f>
        <v>4292.18</v>
      </c>
    </row>
    <row r="537" spans="1:28" x14ac:dyDescent="0.35">
      <c r="A537">
        <v>16022</v>
      </c>
      <c r="B537" t="s">
        <v>2747</v>
      </c>
      <c r="C537" s="1">
        <v>42227</v>
      </c>
      <c r="D537" s="1">
        <v>42230</v>
      </c>
      <c r="E537">
        <f>Superstore_Sales[[#This Row],[Ship Date]]-Superstore_Sales[[#This Row],[Order Date]]</f>
        <v>3</v>
      </c>
      <c r="F537" t="s">
        <v>25</v>
      </c>
      <c r="G537" t="s">
        <v>2748</v>
      </c>
      <c r="H537" t="s">
        <v>2749</v>
      </c>
      <c r="I537" t="s">
        <v>65</v>
      </c>
      <c r="K537" t="s">
        <v>2511</v>
      </c>
      <c r="L537" t="s">
        <v>310</v>
      </c>
      <c r="M537" t="s">
        <v>210</v>
      </c>
      <c r="N537" t="s">
        <v>211</v>
      </c>
      <c r="O537" t="s">
        <v>69</v>
      </c>
      <c r="P537" t="s">
        <v>2750</v>
      </c>
      <c r="Q537" t="s">
        <v>50</v>
      </c>
      <c r="R537" t="s">
        <v>104</v>
      </c>
      <c r="S537" t="s">
        <v>2751</v>
      </c>
      <c r="T537">
        <v>856.68</v>
      </c>
      <c r="U537">
        <v>2</v>
      </c>
      <c r="V537">
        <v>0</v>
      </c>
      <c r="W537">
        <v>274.08</v>
      </c>
      <c r="X537">
        <v>259.33999999999997</v>
      </c>
      <c r="Y537" t="s">
        <v>53</v>
      </c>
      <c r="Z537">
        <f>Superstore_Sales[[#This Row],[Sales]]*Superstore_Sales[[#This Row],[Quantity]]</f>
        <v>1713.36</v>
      </c>
      <c r="AA537" s="3">
        <f>Superstore_Sales[[#This Row],[TotalSales]]*Superstore_Sales[[#This Row],[Discount]]/100</f>
        <v>0</v>
      </c>
      <c r="AB537" s="2">
        <f>Superstore_Sales[[#This Row],[TotalSales]]-Superstore_Sales[[#This Row],[Dis_amt]]-Superstore_Sales[[#This Row],[Shipping Cost]]</f>
        <v>1454.02</v>
      </c>
    </row>
    <row r="538" spans="1:28" x14ac:dyDescent="0.35">
      <c r="A538">
        <v>1117</v>
      </c>
      <c r="B538" t="s">
        <v>2752</v>
      </c>
      <c r="C538" s="1">
        <v>41763</v>
      </c>
      <c r="D538" s="1">
        <v>41767</v>
      </c>
      <c r="E538">
        <f>Superstore_Sales[[#This Row],[Ship Date]]-Superstore_Sales[[#This Row],[Order Date]]</f>
        <v>4</v>
      </c>
      <c r="F538" t="s">
        <v>98</v>
      </c>
      <c r="G538" t="s">
        <v>2753</v>
      </c>
      <c r="H538" t="s">
        <v>2754</v>
      </c>
      <c r="I538" t="s">
        <v>43</v>
      </c>
      <c r="K538" t="s">
        <v>218</v>
      </c>
      <c r="L538" t="s">
        <v>218</v>
      </c>
      <c r="M538" t="s">
        <v>219</v>
      </c>
      <c r="N538" t="s">
        <v>220</v>
      </c>
      <c r="O538" t="s">
        <v>136</v>
      </c>
      <c r="P538" t="s">
        <v>1321</v>
      </c>
      <c r="Q538" t="s">
        <v>50</v>
      </c>
      <c r="R538" t="s">
        <v>51</v>
      </c>
      <c r="S538" t="s">
        <v>1322</v>
      </c>
      <c r="T538">
        <v>1731.07</v>
      </c>
      <c r="U538">
        <v>7</v>
      </c>
      <c r="V538">
        <v>0.2</v>
      </c>
      <c r="W538">
        <v>-238.03</v>
      </c>
      <c r="X538">
        <v>259.24900000000002</v>
      </c>
      <c r="Y538" t="s">
        <v>38</v>
      </c>
      <c r="Z538">
        <f>Superstore_Sales[[#This Row],[Sales]]*Superstore_Sales[[#This Row],[Quantity]]</f>
        <v>12117.49</v>
      </c>
      <c r="AA538" s="3">
        <f>Superstore_Sales[[#This Row],[TotalSales]]*Superstore_Sales[[#This Row],[Discount]]/100</f>
        <v>24.23498</v>
      </c>
      <c r="AB538" s="2">
        <f>Superstore_Sales[[#This Row],[TotalSales]]-Superstore_Sales[[#This Row],[Dis_amt]]-Superstore_Sales[[#This Row],[Shipping Cost]]</f>
        <v>11834.006020000001</v>
      </c>
    </row>
    <row r="539" spans="1:28" x14ac:dyDescent="0.35">
      <c r="A539">
        <v>15203</v>
      </c>
      <c r="B539" t="s">
        <v>2755</v>
      </c>
      <c r="C539" s="1">
        <v>41835</v>
      </c>
      <c r="D539" s="1">
        <v>41835</v>
      </c>
      <c r="E539">
        <f>Superstore_Sales[[#This Row],[Ship Date]]-Superstore_Sales[[#This Row],[Order Date]]</f>
        <v>0</v>
      </c>
      <c r="F539" t="s">
        <v>73</v>
      </c>
      <c r="G539" t="s">
        <v>2756</v>
      </c>
      <c r="H539" t="s">
        <v>2757</v>
      </c>
      <c r="I539" t="s">
        <v>65</v>
      </c>
      <c r="K539" t="s">
        <v>2758</v>
      </c>
      <c r="L539" t="s">
        <v>982</v>
      </c>
      <c r="M539" t="s">
        <v>463</v>
      </c>
      <c r="N539" t="s">
        <v>171</v>
      </c>
      <c r="O539" t="s">
        <v>69</v>
      </c>
      <c r="P539" t="s">
        <v>2759</v>
      </c>
      <c r="Q539" t="s">
        <v>35</v>
      </c>
      <c r="R539" t="s">
        <v>36</v>
      </c>
      <c r="S539" t="s">
        <v>2760</v>
      </c>
      <c r="T539">
        <v>1330.99</v>
      </c>
      <c r="U539">
        <v>12</v>
      </c>
      <c r="V539">
        <v>0.1</v>
      </c>
      <c r="W539">
        <v>-103.61</v>
      </c>
      <c r="X539">
        <v>259.12</v>
      </c>
      <c r="Y539" t="s">
        <v>53</v>
      </c>
      <c r="Z539">
        <f>Superstore_Sales[[#This Row],[Sales]]*Superstore_Sales[[#This Row],[Quantity]]</f>
        <v>15971.880000000001</v>
      </c>
      <c r="AA539" s="3">
        <f>Superstore_Sales[[#This Row],[TotalSales]]*Superstore_Sales[[#This Row],[Discount]]/100</f>
        <v>15.971880000000001</v>
      </c>
      <c r="AB539" s="2">
        <f>Superstore_Sales[[#This Row],[TotalSales]]-Superstore_Sales[[#This Row],[Dis_amt]]-Superstore_Sales[[#This Row],[Shipping Cost]]</f>
        <v>15696.788120000001</v>
      </c>
    </row>
    <row r="540" spans="1:28" x14ac:dyDescent="0.35">
      <c r="A540">
        <v>7903</v>
      </c>
      <c r="B540" t="s">
        <v>2761</v>
      </c>
      <c r="C540" s="1">
        <v>42340</v>
      </c>
      <c r="D540" s="1">
        <v>42344</v>
      </c>
      <c r="E540">
        <f>Superstore_Sales[[#This Row],[Ship Date]]-Superstore_Sales[[#This Row],[Order Date]]</f>
        <v>4</v>
      </c>
      <c r="F540" t="s">
        <v>40</v>
      </c>
      <c r="G540" t="s">
        <v>2762</v>
      </c>
      <c r="H540" t="s">
        <v>2763</v>
      </c>
      <c r="I540" t="s">
        <v>43</v>
      </c>
      <c r="K540" t="s">
        <v>2764</v>
      </c>
      <c r="L540" t="s">
        <v>2765</v>
      </c>
      <c r="M540" t="s">
        <v>265</v>
      </c>
      <c r="N540" t="s">
        <v>266</v>
      </c>
      <c r="O540" t="s">
        <v>136</v>
      </c>
      <c r="P540" t="s">
        <v>2766</v>
      </c>
      <c r="Q540" t="s">
        <v>35</v>
      </c>
      <c r="R540" t="s">
        <v>304</v>
      </c>
      <c r="S540" t="s">
        <v>2767</v>
      </c>
      <c r="T540">
        <v>1914.08</v>
      </c>
      <c r="U540">
        <v>14</v>
      </c>
      <c r="V540">
        <v>0.2</v>
      </c>
      <c r="W540">
        <v>669.76</v>
      </c>
      <c r="X540">
        <v>258.95999999999998</v>
      </c>
      <c r="Y540" t="s">
        <v>61</v>
      </c>
      <c r="Z540">
        <f>Superstore_Sales[[#This Row],[Sales]]*Superstore_Sales[[#This Row],[Quantity]]</f>
        <v>26797.119999999999</v>
      </c>
      <c r="AA540" s="3">
        <f>Superstore_Sales[[#This Row],[TotalSales]]*Superstore_Sales[[#This Row],[Discount]]/100</f>
        <v>53.594239999999999</v>
      </c>
      <c r="AB540" s="2">
        <f>Superstore_Sales[[#This Row],[TotalSales]]-Superstore_Sales[[#This Row],[Dis_amt]]-Superstore_Sales[[#This Row],[Shipping Cost]]</f>
        <v>26484.565760000001</v>
      </c>
    </row>
    <row r="541" spans="1:28" x14ac:dyDescent="0.35">
      <c r="A541">
        <v>1500</v>
      </c>
      <c r="B541" t="s">
        <v>2768</v>
      </c>
      <c r="C541" s="1">
        <v>42012</v>
      </c>
      <c r="D541" s="1">
        <v>42017</v>
      </c>
      <c r="E541">
        <f>Superstore_Sales[[#This Row],[Ship Date]]-Superstore_Sales[[#This Row],[Order Date]]</f>
        <v>5</v>
      </c>
      <c r="F541" t="s">
        <v>98</v>
      </c>
      <c r="G541" t="s">
        <v>2769</v>
      </c>
      <c r="H541" t="s">
        <v>2525</v>
      </c>
      <c r="I541" t="s">
        <v>65</v>
      </c>
      <c r="K541" t="s">
        <v>2770</v>
      </c>
      <c r="L541" t="s">
        <v>2771</v>
      </c>
      <c r="M541" t="s">
        <v>134</v>
      </c>
      <c r="N541" t="s">
        <v>135</v>
      </c>
      <c r="O541" t="s">
        <v>136</v>
      </c>
      <c r="P541" t="s">
        <v>295</v>
      </c>
      <c r="Q541" t="s">
        <v>35</v>
      </c>
      <c r="R541" t="s">
        <v>36</v>
      </c>
      <c r="S541" t="s">
        <v>296</v>
      </c>
      <c r="T541">
        <v>3393.12</v>
      </c>
      <c r="U541">
        <v>8</v>
      </c>
      <c r="V541">
        <v>0</v>
      </c>
      <c r="W541">
        <v>101.76</v>
      </c>
      <c r="X541">
        <v>258.83499999999998</v>
      </c>
      <c r="Y541" t="s">
        <v>61</v>
      </c>
      <c r="Z541">
        <f>Superstore_Sales[[#This Row],[Sales]]*Superstore_Sales[[#This Row],[Quantity]]</f>
        <v>27144.959999999999</v>
      </c>
      <c r="AA541" s="3">
        <f>Superstore_Sales[[#This Row],[TotalSales]]*Superstore_Sales[[#This Row],[Discount]]/100</f>
        <v>0</v>
      </c>
      <c r="AB541" s="2">
        <f>Superstore_Sales[[#This Row],[TotalSales]]-Superstore_Sales[[#This Row],[Dis_amt]]-Superstore_Sales[[#This Row],[Shipping Cost]]</f>
        <v>26886.125</v>
      </c>
    </row>
    <row r="542" spans="1:28" x14ac:dyDescent="0.35">
      <c r="A542">
        <v>40178</v>
      </c>
      <c r="B542" t="s">
        <v>2772</v>
      </c>
      <c r="C542" s="1">
        <v>41821</v>
      </c>
      <c r="D542" s="1">
        <v>41824</v>
      </c>
      <c r="E542">
        <f>Superstore_Sales[[#This Row],[Ship Date]]-Superstore_Sales[[#This Row],[Order Date]]</f>
        <v>3</v>
      </c>
      <c r="F542" t="s">
        <v>40</v>
      </c>
      <c r="G542" t="s">
        <v>2588</v>
      </c>
      <c r="H542" t="s">
        <v>2545</v>
      </c>
      <c r="I542" t="s">
        <v>65</v>
      </c>
      <c r="J542">
        <v>60505</v>
      </c>
      <c r="K542" t="s">
        <v>2773</v>
      </c>
      <c r="L542" t="s">
        <v>1720</v>
      </c>
      <c r="M542" t="s">
        <v>31</v>
      </c>
      <c r="N542" t="s">
        <v>32</v>
      </c>
      <c r="O542" t="s">
        <v>33</v>
      </c>
      <c r="P542" t="s">
        <v>2774</v>
      </c>
      <c r="Q542" t="s">
        <v>35</v>
      </c>
      <c r="R542" t="s">
        <v>304</v>
      </c>
      <c r="S542" t="s">
        <v>2775</v>
      </c>
      <c r="T542">
        <v>50.12</v>
      </c>
      <c r="U542">
        <v>7</v>
      </c>
      <c r="V542">
        <v>0.2</v>
      </c>
      <c r="W542">
        <v>-0.63</v>
      </c>
      <c r="X542">
        <v>1.34</v>
      </c>
      <c r="Y542" t="s">
        <v>61</v>
      </c>
      <c r="Z542">
        <f>Superstore_Sales[[#This Row],[Sales]]*Superstore_Sales[[#This Row],[Quantity]]</f>
        <v>350.84</v>
      </c>
      <c r="AA542" s="3">
        <f>Superstore_Sales[[#This Row],[TotalSales]]*Superstore_Sales[[#This Row],[Discount]]/100</f>
        <v>0.70167999999999997</v>
      </c>
      <c r="AB542" s="2">
        <f>Superstore_Sales[[#This Row],[TotalSales]]-Superstore_Sales[[#This Row],[Dis_amt]]-Superstore_Sales[[#This Row],[Shipping Cost]]</f>
        <v>348.79831999999999</v>
      </c>
    </row>
    <row r="543" spans="1:28" x14ac:dyDescent="0.35">
      <c r="A543">
        <v>24382</v>
      </c>
      <c r="B543" t="s">
        <v>2776</v>
      </c>
      <c r="C543" s="1">
        <v>42182</v>
      </c>
      <c r="D543" s="1">
        <v>42182</v>
      </c>
      <c r="E543">
        <f>Superstore_Sales[[#This Row],[Ship Date]]-Superstore_Sales[[#This Row],[Order Date]]</f>
        <v>0</v>
      </c>
      <c r="F543" t="s">
        <v>73</v>
      </c>
      <c r="G543" t="s">
        <v>2777</v>
      </c>
      <c r="H543" t="s">
        <v>1962</v>
      </c>
      <c r="I543" t="s">
        <v>28</v>
      </c>
      <c r="K543" t="s">
        <v>2778</v>
      </c>
      <c r="L543" t="s">
        <v>2181</v>
      </c>
      <c r="M543" t="s">
        <v>144</v>
      </c>
      <c r="N543" t="s">
        <v>145</v>
      </c>
      <c r="O543" t="s">
        <v>48</v>
      </c>
      <c r="P543" t="s">
        <v>884</v>
      </c>
      <c r="Q543" t="s">
        <v>35</v>
      </c>
      <c r="R543" t="s">
        <v>81</v>
      </c>
      <c r="S543" t="s">
        <v>885</v>
      </c>
      <c r="T543">
        <v>1446.6</v>
      </c>
      <c r="U543">
        <v>4</v>
      </c>
      <c r="V543">
        <v>0</v>
      </c>
      <c r="W543">
        <v>665.4</v>
      </c>
      <c r="X543">
        <v>258.02</v>
      </c>
      <c r="Y543" t="s">
        <v>38</v>
      </c>
      <c r="Z543">
        <f>Superstore_Sales[[#This Row],[Sales]]*Superstore_Sales[[#This Row],[Quantity]]</f>
        <v>5786.4</v>
      </c>
      <c r="AA543" s="3">
        <f>Superstore_Sales[[#This Row],[TotalSales]]*Superstore_Sales[[#This Row],[Discount]]/100</f>
        <v>0</v>
      </c>
      <c r="AB543" s="2">
        <f>Superstore_Sales[[#This Row],[TotalSales]]-Superstore_Sales[[#This Row],[Dis_amt]]-Superstore_Sales[[#This Row],[Shipping Cost]]</f>
        <v>5528.3799999999992</v>
      </c>
    </row>
    <row r="544" spans="1:28" x14ac:dyDescent="0.35">
      <c r="A544">
        <v>25242</v>
      </c>
      <c r="B544" t="s">
        <v>2779</v>
      </c>
      <c r="C544" s="1">
        <v>40979</v>
      </c>
      <c r="D544" s="1">
        <v>40984</v>
      </c>
      <c r="E544">
        <f>Superstore_Sales[[#This Row],[Ship Date]]-Superstore_Sales[[#This Row],[Order Date]]</f>
        <v>5</v>
      </c>
      <c r="F544" t="s">
        <v>98</v>
      </c>
      <c r="G544" t="s">
        <v>2780</v>
      </c>
      <c r="H544" t="s">
        <v>2046</v>
      </c>
      <c r="I544" t="s">
        <v>28</v>
      </c>
      <c r="K544" t="s">
        <v>1539</v>
      </c>
      <c r="L544" t="s">
        <v>1539</v>
      </c>
      <c r="M544" t="s">
        <v>144</v>
      </c>
      <c r="N544" t="s">
        <v>145</v>
      </c>
      <c r="O544" t="s">
        <v>48</v>
      </c>
      <c r="P544" t="s">
        <v>691</v>
      </c>
      <c r="Q544" t="s">
        <v>50</v>
      </c>
      <c r="R544" t="s">
        <v>51</v>
      </c>
      <c r="S544" t="s">
        <v>692</v>
      </c>
      <c r="T544">
        <v>3272.01</v>
      </c>
      <c r="U544">
        <v>7</v>
      </c>
      <c r="V544">
        <v>0</v>
      </c>
      <c r="W544">
        <v>1537.83</v>
      </c>
      <c r="X544">
        <v>257.63</v>
      </c>
      <c r="Y544" t="s">
        <v>61</v>
      </c>
      <c r="Z544">
        <f>Superstore_Sales[[#This Row],[Sales]]*Superstore_Sales[[#This Row],[Quantity]]</f>
        <v>22904.07</v>
      </c>
      <c r="AA544" s="3">
        <f>Superstore_Sales[[#This Row],[TotalSales]]*Superstore_Sales[[#This Row],[Discount]]/100</f>
        <v>0</v>
      </c>
      <c r="AB544" s="2">
        <f>Superstore_Sales[[#This Row],[TotalSales]]-Superstore_Sales[[#This Row],[Dis_amt]]-Superstore_Sales[[#This Row],[Shipping Cost]]</f>
        <v>22646.44</v>
      </c>
    </row>
    <row r="545" spans="1:28" x14ac:dyDescent="0.35">
      <c r="A545">
        <v>26410</v>
      </c>
      <c r="B545" t="s">
        <v>2781</v>
      </c>
      <c r="C545" s="1">
        <v>41654</v>
      </c>
      <c r="D545" s="1">
        <v>41660</v>
      </c>
      <c r="E545">
        <f>Superstore_Sales[[#This Row],[Ship Date]]-Superstore_Sales[[#This Row],[Order Date]]</f>
        <v>6</v>
      </c>
      <c r="F545" t="s">
        <v>98</v>
      </c>
      <c r="G545" t="s">
        <v>2782</v>
      </c>
      <c r="H545" t="s">
        <v>1082</v>
      </c>
      <c r="I545" t="s">
        <v>65</v>
      </c>
      <c r="K545" t="s">
        <v>609</v>
      </c>
      <c r="L545" t="s">
        <v>610</v>
      </c>
      <c r="M545" t="s">
        <v>611</v>
      </c>
      <c r="N545" t="s">
        <v>322</v>
      </c>
      <c r="O545" t="s">
        <v>48</v>
      </c>
      <c r="P545" t="s">
        <v>2783</v>
      </c>
      <c r="Q545" t="s">
        <v>147</v>
      </c>
      <c r="R545" t="s">
        <v>148</v>
      </c>
      <c r="S545" t="s">
        <v>2784</v>
      </c>
      <c r="T545">
        <v>3386.86</v>
      </c>
      <c r="U545">
        <v>7</v>
      </c>
      <c r="V545">
        <v>0.15</v>
      </c>
      <c r="W545">
        <v>-597.67999999999995</v>
      </c>
      <c r="X545">
        <v>257.24</v>
      </c>
      <c r="Y545" t="s">
        <v>164</v>
      </c>
      <c r="Z545">
        <f>Superstore_Sales[[#This Row],[Sales]]*Superstore_Sales[[#This Row],[Quantity]]</f>
        <v>23708.02</v>
      </c>
      <c r="AA545" s="3">
        <f>Superstore_Sales[[#This Row],[TotalSales]]*Superstore_Sales[[#This Row],[Discount]]/100</f>
        <v>35.56203</v>
      </c>
      <c r="AB545" s="2">
        <f>Superstore_Sales[[#This Row],[TotalSales]]-Superstore_Sales[[#This Row],[Dis_amt]]-Superstore_Sales[[#This Row],[Shipping Cost]]</f>
        <v>23415.217969999998</v>
      </c>
    </row>
    <row r="546" spans="1:28" x14ac:dyDescent="0.35">
      <c r="A546">
        <v>29849</v>
      </c>
      <c r="B546" t="s">
        <v>2785</v>
      </c>
      <c r="C546" s="1">
        <v>41514</v>
      </c>
      <c r="D546" s="1">
        <v>41519</v>
      </c>
      <c r="E546">
        <f>Superstore_Sales[[#This Row],[Ship Date]]-Superstore_Sales[[#This Row],[Order Date]]</f>
        <v>5</v>
      </c>
      <c r="F546" t="s">
        <v>40</v>
      </c>
      <c r="G546" t="s">
        <v>284</v>
      </c>
      <c r="H546" t="s">
        <v>285</v>
      </c>
      <c r="I546" t="s">
        <v>43</v>
      </c>
      <c r="K546" t="s">
        <v>2786</v>
      </c>
      <c r="L546" t="s">
        <v>1715</v>
      </c>
      <c r="M546" t="s">
        <v>46</v>
      </c>
      <c r="N546" t="s">
        <v>47</v>
      </c>
      <c r="O546" t="s">
        <v>48</v>
      </c>
      <c r="P546" t="s">
        <v>146</v>
      </c>
      <c r="Q546" t="s">
        <v>147</v>
      </c>
      <c r="R546" t="s">
        <v>148</v>
      </c>
      <c r="S546" t="s">
        <v>149</v>
      </c>
      <c r="T546">
        <v>2498.5300000000002</v>
      </c>
      <c r="U546">
        <v>9</v>
      </c>
      <c r="V546">
        <v>0.1</v>
      </c>
      <c r="W546">
        <v>499.45</v>
      </c>
      <c r="X546">
        <v>257.16000000000003</v>
      </c>
      <c r="Y546" t="s">
        <v>61</v>
      </c>
      <c r="Z546">
        <f>Superstore_Sales[[#This Row],[Sales]]*Superstore_Sales[[#This Row],[Quantity]]</f>
        <v>22486.77</v>
      </c>
      <c r="AA546" s="3">
        <f>Superstore_Sales[[#This Row],[TotalSales]]*Superstore_Sales[[#This Row],[Discount]]/100</f>
        <v>22.48677</v>
      </c>
      <c r="AB546" s="2">
        <f>Superstore_Sales[[#This Row],[TotalSales]]-Superstore_Sales[[#This Row],[Dis_amt]]-Superstore_Sales[[#This Row],[Shipping Cost]]</f>
        <v>22207.123230000001</v>
      </c>
    </row>
    <row r="547" spans="1:28" x14ac:dyDescent="0.35">
      <c r="A547">
        <v>18210</v>
      </c>
      <c r="B547" t="s">
        <v>2787</v>
      </c>
      <c r="C547" s="1">
        <v>41231</v>
      </c>
      <c r="D547" s="1">
        <v>41233</v>
      </c>
      <c r="E547">
        <f>Superstore_Sales[[#This Row],[Ship Date]]-Superstore_Sales[[#This Row],[Order Date]]</f>
        <v>2</v>
      </c>
      <c r="F547" t="s">
        <v>40</v>
      </c>
      <c r="G547" t="s">
        <v>2788</v>
      </c>
      <c r="H547" t="s">
        <v>2041</v>
      </c>
      <c r="I547" t="s">
        <v>43</v>
      </c>
      <c r="K547" t="s">
        <v>2789</v>
      </c>
      <c r="L547" t="s">
        <v>2790</v>
      </c>
      <c r="M547" t="s">
        <v>2791</v>
      </c>
      <c r="N547" t="s">
        <v>171</v>
      </c>
      <c r="O547" t="s">
        <v>69</v>
      </c>
      <c r="P547" t="s">
        <v>2792</v>
      </c>
      <c r="Q547" t="s">
        <v>35</v>
      </c>
      <c r="R547" t="s">
        <v>36</v>
      </c>
      <c r="S547" t="s">
        <v>2793</v>
      </c>
      <c r="T547">
        <v>728.53</v>
      </c>
      <c r="U547">
        <v>7</v>
      </c>
      <c r="V547">
        <v>0.4</v>
      </c>
      <c r="W547">
        <v>-133.72999999999999</v>
      </c>
      <c r="X547">
        <v>257.16000000000003</v>
      </c>
      <c r="Y547" t="s">
        <v>53</v>
      </c>
      <c r="Z547">
        <f>Superstore_Sales[[#This Row],[Sales]]*Superstore_Sales[[#This Row],[Quantity]]</f>
        <v>5099.71</v>
      </c>
      <c r="AA547" s="3">
        <f>Superstore_Sales[[#This Row],[TotalSales]]*Superstore_Sales[[#This Row],[Discount]]/100</f>
        <v>20.39884</v>
      </c>
      <c r="AB547" s="2">
        <f>Superstore_Sales[[#This Row],[TotalSales]]-Superstore_Sales[[#This Row],[Dis_amt]]-Superstore_Sales[[#This Row],[Shipping Cost]]</f>
        <v>4822.1511600000003</v>
      </c>
    </row>
    <row r="548" spans="1:28" x14ac:dyDescent="0.35">
      <c r="A548">
        <v>50691</v>
      </c>
      <c r="B548" t="s">
        <v>2794</v>
      </c>
      <c r="C548" s="1">
        <v>42362</v>
      </c>
      <c r="D548" s="1">
        <v>42366</v>
      </c>
      <c r="E548">
        <f>Superstore_Sales[[#This Row],[Ship Date]]-Superstore_Sales[[#This Row],[Order Date]]</f>
        <v>4</v>
      </c>
      <c r="F548" t="s">
        <v>98</v>
      </c>
      <c r="G548" t="s">
        <v>2795</v>
      </c>
      <c r="H548" t="s">
        <v>2796</v>
      </c>
      <c r="I548" t="s">
        <v>28</v>
      </c>
      <c r="K548" t="s">
        <v>2797</v>
      </c>
      <c r="L548" t="s">
        <v>2798</v>
      </c>
      <c r="M548" t="s">
        <v>2799</v>
      </c>
      <c r="N548" t="s">
        <v>126</v>
      </c>
      <c r="O548" t="s">
        <v>48</v>
      </c>
      <c r="P548" t="s">
        <v>221</v>
      </c>
      <c r="Q548" t="s">
        <v>35</v>
      </c>
      <c r="R548" t="s">
        <v>36</v>
      </c>
      <c r="S548" t="s">
        <v>222</v>
      </c>
      <c r="T548">
        <v>2575.92</v>
      </c>
      <c r="U548">
        <v>4</v>
      </c>
      <c r="V548">
        <v>0</v>
      </c>
      <c r="W548">
        <v>772.68</v>
      </c>
      <c r="X548">
        <v>256.87</v>
      </c>
      <c r="Y548" t="s">
        <v>38</v>
      </c>
      <c r="Z548">
        <f>Superstore_Sales[[#This Row],[Sales]]*Superstore_Sales[[#This Row],[Quantity]]</f>
        <v>10303.68</v>
      </c>
      <c r="AA548" s="3">
        <f>Superstore_Sales[[#This Row],[TotalSales]]*Superstore_Sales[[#This Row],[Discount]]/100</f>
        <v>0</v>
      </c>
      <c r="AB548" s="2">
        <f>Superstore_Sales[[#This Row],[TotalSales]]-Superstore_Sales[[#This Row],[Dis_amt]]-Superstore_Sales[[#This Row],[Shipping Cost]]</f>
        <v>10046.81</v>
      </c>
    </row>
    <row r="549" spans="1:28" x14ac:dyDescent="0.35">
      <c r="A549">
        <v>12118</v>
      </c>
      <c r="B549" t="s">
        <v>2800</v>
      </c>
      <c r="C549" s="1">
        <v>41441</v>
      </c>
      <c r="D549" s="1">
        <v>41445</v>
      </c>
      <c r="E549">
        <f>Superstore_Sales[[#This Row],[Ship Date]]-Superstore_Sales[[#This Row],[Order Date]]</f>
        <v>4</v>
      </c>
      <c r="F549" t="s">
        <v>98</v>
      </c>
      <c r="G549" t="s">
        <v>2801</v>
      </c>
      <c r="H549" t="s">
        <v>2802</v>
      </c>
      <c r="I549" t="s">
        <v>28</v>
      </c>
      <c r="K549" t="s">
        <v>2803</v>
      </c>
      <c r="L549" t="s">
        <v>2115</v>
      </c>
      <c r="M549" t="s">
        <v>170</v>
      </c>
      <c r="N549" t="s">
        <v>171</v>
      </c>
      <c r="O549" t="s">
        <v>69</v>
      </c>
      <c r="P549" t="s">
        <v>736</v>
      </c>
      <c r="Q549" t="s">
        <v>50</v>
      </c>
      <c r="R549" t="s">
        <v>336</v>
      </c>
      <c r="S549" t="s">
        <v>737</v>
      </c>
      <c r="T549">
        <v>2546.46</v>
      </c>
      <c r="U549">
        <v>7</v>
      </c>
      <c r="V549">
        <v>0</v>
      </c>
      <c r="W549">
        <v>381.78</v>
      </c>
      <c r="X549">
        <v>256.7</v>
      </c>
      <c r="Y549" t="s">
        <v>38</v>
      </c>
      <c r="Z549">
        <f>Superstore_Sales[[#This Row],[Sales]]*Superstore_Sales[[#This Row],[Quantity]]</f>
        <v>17825.22</v>
      </c>
      <c r="AA549" s="3">
        <f>Superstore_Sales[[#This Row],[TotalSales]]*Superstore_Sales[[#This Row],[Discount]]/100</f>
        <v>0</v>
      </c>
      <c r="AB549" s="2">
        <f>Superstore_Sales[[#This Row],[TotalSales]]-Superstore_Sales[[#This Row],[Dis_amt]]-Superstore_Sales[[#This Row],[Shipping Cost]]</f>
        <v>17568.52</v>
      </c>
    </row>
    <row r="550" spans="1:28" x14ac:dyDescent="0.35">
      <c r="A550">
        <v>28213</v>
      </c>
      <c r="B550" t="s">
        <v>2804</v>
      </c>
      <c r="C550" s="1">
        <v>41831</v>
      </c>
      <c r="D550" s="1">
        <v>41835</v>
      </c>
      <c r="E550">
        <f>Superstore_Sales[[#This Row],[Ship Date]]-Superstore_Sales[[#This Row],[Order Date]]</f>
        <v>4</v>
      </c>
      <c r="F550" t="s">
        <v>98</v>
      </c>
      <c r="G550" t="s">
        <v>2805</v>
      </c>
      <c r="H550" t="s">
        <v>2806</v>
      </c>
      <c r="I550" t="s">
        <v>28</v>
      </c>
      <c r="K550" t="s">
        <v>2807</v>
      </c>
      <c r="L550" t="s">
        <v>2808</v>
      </c>
      <c r="M550" t="s">
        <v>1155</v>
      </c>
      <c r="N550" t="s">
        <v>145</v>
      </c>
      <c r="O550" t="s">
        <v>48</v>
      </c>
      <c r="P550" t="s">
        <v>1361</v>
      </c>
      <c r="Q550" t="s">
        <v>50</v>
      </c>
      <c r="R550" t="s">
        <v>336</v>
      </c>
      <c r="S550" t="s">
        <v>1362</v>
      </c>
      <c r="T550">
        <v>2888.76</v>
      </c>
      <c r="U550">
        <v>7</v>
      </c>
      <c r="V550">
        <v>0</v>
      </c>
      <c r="W550">
        <v>173.25</v>
      </c>
      <c r="X550">
        <v>256.64</v>
      </c>
      <c r="Y550" t="s">
        <v>61</v>
      </c>
      <c r="Z550">
        <f>Superstore_Sales[[#This Row],[Sales]]*Superstore_Sales[[#This Row],[Quantity]]</f>
        <v>20221.32</v>
      </c>
      <c r="AA550" s="3">
        <f>Superstore_Sales[[#This Row],[TotalSales]]*Superstore_Sales[[#This Row],[Discount]]/100</f>
        <v>0</v>
      </c>
      <c r="AB550" s="2">
        <f>Superstore_Sales[[#This Row],[TotalSales]]-Superstore_Sales[[#This Row],[Dis_amt]]-Superstore_Sales[[#This Row],[Shipping Cost]]</f>
        <v>19964.68</v>
      </c>
    </row>
    <row r="551" spans="1:28" x14ac:dyDescent="0.35">
      <c r="A551">
        <v>20417</v>
      </c>
      <c r="B551" t="s">
        <v>2809</v>
      </c>
      <c r="C551" s="1">
        <v>41416</v>
      </c>
      <c r="D551" s="1">
        <v>41419</v>
      </c>
      <c r="E551">
        <f>Superstore_Sales[[#This Row],[Ship Date]]-Superstore_Sales[[#This Row],[Order Date]]</f>
        <v>3</v>
      </c>
      <c r="F551" t="s">
        <v>40</v>
      </c>
      <c r="G551" t="s">
        <v>2810</v>
      </c>
      <c r="H551" t="s">
        <v>1671</v>
      </c>
      <c r="I551" t="s">
        <v>65</v>
      </c>
      <c r="K551" t="s">
        <v>765</v>
      </c>
      <c r="L551" t="s">
        <v>766</v>
      </c>
      <c r="M551" t="s">
        <v>767</v>
      </c>
      <c r="N551" t="s">
        <v>322</v>
      </c>
      <c r="O551" t="s">
        <v>48</v>
      </c>
      <c r="P551" t="s">
        <v>2485</v>
      </c>
      <c r="Q551" t="s">
        <v>35</v>
      </c>
      <c r="R551" t="s">
        <v>304</v>
      </c>
      <c r="S551" t="s">
        <v>2486</v>
      </c>
      <c r="T551">
        <v>1031.4000000000001</v>
      </c>
      <c r="U551">
        <v>4</v>
      </c>
      <c r="V551">
        <v>0</v>
      </c>
      <c r="W551">
        <v>185.64</v>
      </c>
      <c r="X551">
        <v>256.26</v>
      </c>
      <c r="Y551" t="s">
        <v>38</v>
      </c>
      <c r="Z551">
        <f>Superstore_Sales[[#This Row],[Sales]]*Superstore_Sales[[#This Row],[Quantity]]</f>
        <v>4125.6000000000004</v>
      </c>
      <c r="AA551" s="3">
        <f>Superstore_Sales[[#This Row],[TotalSales]]*Superstore_Sales[[#This Row],[Discount]]/100</f>
        <v>0</v>
      </c>
      <c r="AB551" s="2">
        <f>Superstore_Sales[[#This Row],[TotalSales]]-Superstore_Sales[[#This Row],[Dis_amt]]-Superstore_Sales[[#This Row],[Shipping Cost]]</f>
        <v>3869.34</v>
      </c>
    </row>
    <row r="552" spans="1:28" x14ac:dyDescent="0.35">
      <c r="A552">
        <v>17364</v>
      </c>
      <c r="B552" t="s">
        <v>2811</v>
      </c>
      <c r="C552" s="1">
        <v>42221</v>
      </c>
      <c r="D552" s="1">
        <v>42225</v>
      </c>
      <c r="E552">
        <f>Superstore_Sales[[#This Row],[Ship Date]]-Superstore_Sales[[#This Row],[Order Date]]</f>
        <v>4</v>
      </c>
      <c r="F552" t="s">
        <v>98</v>
      </c>
      <c r="G552" t="s">
        <v>2812</v>
      </c>
      <c r="H552" t="s">
        <v>2813</v>
      </c>
      <c r="I552" t="s">
        <v>28</v>
      </c>
      <c r="K552" t="s">
        <v>2814</v>
      </c>
      <c r="L552" t="s">
        <v>310</v>
      </c>
      <c r="M552" t="s">
        <v>210</v>
      </c>
      <c r="N552" t="s">
        <v>211</v>
      </c>
      <c r="O552" t="s">
        <v>69</v>
      </c>
      <c r="P552" t="s">
        <v>2815</v>
      </c>
      <c r="Q552" t="s">
        <v>35</v>
      </c>
      <c r="R552" t="s">
        <v>36</v>
      </c>
      <c r="S552" t="s">
        <v>2816</v>
      </c>
      <c r="T552">
        <v>1237.44</v>
      </c>
      <c r="U552">
        <v>8</v>
      </c>
      <c r="V552">
        <v>0</v>
      </c>
      <c r="W552">
        <v>74.16</v>
      </c>
      <c r="X552">
        <v>255.92</v>
      </c>
      <c r="Y552" t="s">
        <v>38</v>
      </c>
      <c r="Z552">
        <f>Superstore_Sales[[#This Row],[Sales]]*Superstore_Sales[[#This Row],[Quantity]]</f>
        <v>9899.52</v>
      </c>
      <c r="AA552" s="3">
        <f>Superstore_Sales[[#This Row],[TotalSales]]*Superstore_Sales[[#This Row],[Discount]]/100</f>
        <v>0</v>
      </c>
      <c r="AB552" s="2">
        <f>Superstore_Sales[[#This Row],[TotalSales]]-Superstore_Sales[[#This Row],[Dis_amt]]-Superstore_Sales[[#This Row],[Shipping Cost]]</f>
        <v>9643.6</v>
      </c>
    </row>
    <row r="553" spans="1:28" x14ac:dyDescent="0.35">
      <c r="A553">
        <v>41913</v>
      </c>
      <c r="B553" t="s">
        <v>2817</v>
      </c>
      <c r="C553" s="1">
        <v>42228</v>
      </c>
      <c r="D553" s="1">
        <v>42231</v>
      </c>
      <c r="E553">
        <f>Superstore_Sales[[#This Row],[Ship Date]]-Superstore_Sales[[#This Row],[Order Date]]</f>
        <v>3</v>
      </c>
      <c r="F553" t="s">
        <v>40</v>
      </c>
      <c r="G553" t="s">
        <v>2818</v>
      </c>
      <c r="H553" t="s">
        <v>1461</v>
      </c>
      <c r="I553" t="s">
        <v>28</v>
      </c>
      <c r="K553" t="s">
        <v>640</v>
      </c>
      <c r="L553" t="s">
        <v>640</v>
      </c>
      <c r="M553" t="s">
        <v>293</v>
      </c>
      <c r="N553" t="s">
        <v>294</v>
      </c>
      <c r="O553" t="s">
        <v>79</v>
      </c>
      <c r="P553" t="s">
        <v>2819</v>
      </c>
      <c r="Q553" t="s">
        <v>35</v>
      </c>
      <c r="R553" t="s">
        <v>275</v>
      </c>
      <c r="S553" t="s">
        <v>2820</v>
      </c>
      <c r="T553">
        <v>1018.32</v>
      </c>
      <c r="U553">
        <v>4</v>
      </c>
      <c r="V553">
        <v>0</v>
      </c>
      <c r="W553">
        <v>183.24</v>
      </c>
      <c r="X553">
        <v>255.69</v>
      </c>
      <c r="Y553" t="s">
        <v>53</v>
      </c>
      <c r="Z553">
        <f>Superstore_Sales[[#This Row],[Sales]]*Superstore_Sales[[#This Row],[Quantity]]</f>
        <v>4073.28</v>
      </c>
      <c r="AA553" s="3">
        <f>Superstore_Sales[[#This Row],[TotalSales]]*Superstore_Sales[[#This Row],[Discount]]/100</f>
        <v>0</v>
      </c>
      <c r="AB553" s="2">
        <f>Superstore_Sales[[#This Row],[TotalSales]]-Superstore_Sales[[#This Row],[Dis_amt]]-Superstore_Sales[[#This Row],[Shipping Cost]]</f>
        <v>3817.59</v>
      </c>
    </row>
    <row r="554" spans="1:28" x14ac:dyDescent="0.35">
      <c r="A554">
        <v>18760</v>
      </c>
      <c r="B554" t="s">
        <v>2821</v>
      </c>
      <c r="C554" s="1">
        <v>41644</v>
      </c>
      <c r="D554" s="1">
        <v>41649</v>
      </c>
      <c r="E554">
        <f>Superstore_Sales[[#This Row],[Ship Date]]-Superstore_Sales[[#This Row],[Order Date]]</f>
        <v>5</v>
      </c>
      <c r="F554" t="s">
        <v>98</v>
      </c>
      <c r="G554" t="s">
        <v>2822</v>
      </c>
      <c r="H554" t="s">
        <v>2823</v>
      </c>
      <c r="I554" t="s">
        <v>28</v>
      </c>
      <c r="K554" t="s">
        <v>2824</v>
      </c>
      <c r="L554" t="s">
        <v>154</v>
      </c>
      <c r="M554" t="s">
        <v>155</v>
      </c>
      <c r="N554" t="s">
        <v>68</v>
      </c>
      <c r="O554" t="s">
        <v>69</v>
      </c>
      <c r="P554" t="s">
        <v>425</v>
      </c>
      <c r="Q554" t="s">
        <v>50</v>
      </c>
      <c r="R554" t="s">
        <v>336</v>
      </c>
      <c r="S554" t="s">
        <v>426</v>
      </c>
      <c r="T554">
        <v>2756.94</v>
      </c>
      <c r="U554">
        <v>7</v>
      </c>
      <c r="V554">
        <v>0.1</v>
      </c>
      <c r="W554">
        <v>1163.8800000000001</v>
      </c>
      <c r="X554">
        <v>255.56</v>
      </c>
      <c r="Y554" t="s">
        <v>61</v>
      </c>
      <c r="Z554">
        <f>Superstore_Sales[[#This Row],[Sales]]*Superstore_Sales[[#This Row],[Quantity]]</f>
        <v>19298.580000000002</v>
      </c>
      <c r="AA554" s="3">
        <f>Superstore_Sales[[#This Row],[TotalSales]]*Superstore_Sales[[#This Row],[Discount]]/100</f>
        <v>19.298580000000001</v>
      </c>
      <c r="AB554" s="2">
        <f>Superstore_Sales[[#This Row],[TotalSales]]-Superstore_Sales[[#This Row],[Dis_amt]]-Superstore_Sales[[#This Row],[Shipping Cost]]</f>
        <v>19023.721420000002</v>
      </c>
    </row>
    <row r="555" spans="1:28" x14ac:dyDescent="0.35">
      <c r="A555">
        <v>20826</v>
      </c>
      <c r="B555" t="s">
        <v>2825</v>
      </c>
      <c r="C555" s="1">
        <v>42367</v>
      </c>
      <c r="D555" s="1">
        <v>42369</v>
      </c>
      <c r="E555">
        <f>Superstore_Sales[[#This Row],[Ship Date]]-Superstore_Sales[[#This Row],[Order Date]]</f>
        <v>2</v>
      </c>
      <c r="F555" t="s">
        <v>25</v>
      </c>
      <c r="G555" t="s">
        <v>2826</v>
      </c>
      <c r="H555" t="s">
        <v>1046</v>
      </c>
      <c r="I555" t="s">
        <v>43</v>
      </c>
      <c r="K555" t="s">
        <v>2827</v>
      </c>
      <c r="L555" t="s">
        <v>515</v>
      </c>
      <c r="M555" t="s">
        <v>46</v>
      </c>
      <c r="N555" t="s">
        <v>47</v>
      </c>
      <c r="O555" t="s">
        <v>48</v>
      </c>
      <c r="P555" t="s">
        <v>172</v>
      </c>
      <c r="Q555" t="s">
        <v>147</v>
      </c>
      <c r="R555" t="s">
        <v>148</v>
      </c>
      <c r="S555" t="s">
        <v>173</v>
      </c>
      <c r="T555">
        <v>1534.87</v>
      </c>
      <c r="U555">
        <v>3</v>
      </c>
      <c r="V555">
        <v>0.1</v>
      </c>
      <c r="W555">
        <v>-102.41</v>
      </c>
      <c r="X555">
        <v>255.42</v>
      </c>
      <c r="Y555" t="s">
        <v>61</v>
      </c>
      <c r="Z555">
        <f>Superstore_Sales[[#This Row],[Sales]]*Superstore_Sales[[#This Row],[Quantity]]</f>
        <v>4604.6099999999997</v>
      </c>
      <c r="AA555" s="3">
        <f>Superstore_Sales[[#This Row],[TotalSales]]*Superstore_Sales[[#This Row],[Discount]]/100</f>
        <v>4.6046100000000001</v>
      </c>
      <c r="AB555" s="2">
        <f>Superstore_Sales[[#This Row],[TotalSales]]-Superstore_Sales[[#This Row],[Dis_amt]]-Superstore_Sales[[#This Row],[Shipping Cost]]</f>
        <v>4344.5853899999993</v>
      </c>
    </row>
    <row r="556" spans="1:28" x14ac:dyDescent="0.35">
      <c r="A556">
        <v>30958</v>
      </c>
      <c r="B556" t="s">
        <v>2828</v>
      </c>
      <c r="C556" s="1">
        <v>41989</v>
      </c>
      <c r="D556" s="1">
        <v>41993</v>
      </c>
      <c r="E556">
        <f>Superstore_Sales[[#This Row],[Ship Date]]-Superstore_Sales[[#This Row],[Order Date]]</f>
        <v>4</v>
      </c>
      <c r="F556" t="s">
        <v>98</v>
      </c>
      <c r="G556" t="s">
        <v>2829</v>
      </c>
      <c r="H556" t="s">
        <v>2830</v>
      </c>
      <c r="I556" t="s">
        <v>65</v>
      </c>
      <c r="K556" t="s">
        <v>2831</v>
      </c>
      <c r="L556" t="s">
        <v>2832</v>
      </c>
      <c r="M556" t="s">
        <v>94</v>
      </c>
      <c r="N556" t="s">
        <v>47</v>
      </c>
      <c r="O556" t="s">
        <v>48</v>
      </c>
      <c r="P556" t="s">
        <v>221</v>
      </c>
      <c r="Q556" t="s">
        <v>35</v>
      </c>
      <c r="R556" t="s">
        <v>36</v>
      </c>
      <c r="S556" t="s">
        <v>222</v>
      </c>
      <c r="T556">
        <v>6439.8</v>
      </c>
      <c r="U556">
        <v>10</v>
      </c>
      <c r="V556">
        <v>0</v>
      </c>
      <c r="W556">
        <v>2447.1</v>
      </c>
      <c r="X556">
        <v>255.36</v>
      </c>
      <c r="Y556" t="s">
        <v>61</v>
      </c>
      <c r="Z556">
        <f>Superstore_Sales[[#This Row],[Sales]]*Superstore_Sales[[#This Row],[Quantity]]</f>
        <v>64398</v>
      </c>
      <c r="AA556" s="3">
        <f>Superstore_Sales[[#This Row],[TotalSales]]*Superstore_Sales[[#This Row],[Discount]]/100</f>
        <v>0</v>
      </c>
      <c r="AB556" s="2">
        <f>Superstore_Sales[[#This Row],[TotalSales]]-Superstore_Sales[[#This Row],[Dis_amt]]-Superstore_Sales[[#This Row],[Shipping Cost]]</f>
        <v>64142.64</v>
      </c>
    </row>
    <row r="557" spans="1:28" x14ac:dyDescent="0.35">
      <c r="A557">
        <v>29782</v>
      </c>
      <c r="B557" t="s">
        <v>2833</v>
      </c>
      <c r="C557" s="1">
        <v>41697</v>
      </c>
      <c r="D557" s="1">
        <v>41702</v>
      </c>
      <c r="E557">
        <f>Superstore_Sales[[#This Row],[Ship Date]]-Superstore_Sales[[#This Row],[Order Date]]</f>
        <v>5</v>
      </c>
      <c r="F557" t="s">
        <v>98</v>
      </c>
      <c r="G557" t="s">
        <v>1367</v>
      </c>
      <c r="H557" t="s">
        <v>1368</v>
      </c>
      <c r="I557" t="s">
        <v>28</v>
      </c>
      <c r="K557" t="s">
        <v>943</v>
      </c>
      <c r="L557" t="s">
        <v>943</v>
      </c>
      <c r="M557" t="s">
        <v>321</v>
      </c>
      <c r="N557" t="s">
        <v>322</v>
      </c>
      <c r="O557" t="s">
        <v>48</v>
      </c>
      <c r="P557" t="s">
        <v>1078</v>
      </c>
      <c r="Q557" t="s">
        <v>35</v>
      </c>
      <c r="R557" t="s">
        <v>81</v>
      </c>
      <c r="S557" t="s">
        <v>1079</v>
      </c>
      <c r="T557">
        <v>1781.14</v>
      </c>
      <c r="U557">
        <v>8</v>
      </c>
      <c r="V557">
        <v>7.0000000000000007E-2</v>
      </c>
      <c r="W557">
        <v>-134.06</v>
      </c>
      <c r="X557">
        <v>255.36</v>
      </c>
      <c r="Y557" t="s">
        <v>38</v>
      </c>
      <c r="Z557">
        <f>Superstore_Sales[[#This Row],[Sales]]*Superstore_Sales[[#This Row],[Quantity]]</f>
        <v>14249.12</v>
      </c>
      <c r="AA557" s="3">
        <f>Superstore_Sales[[#This Row],[TotalSales]]*Superstore_Sales[[#This Row],[Discount]]/100</f>
        <v>9.9743840000000006</v>
      </c>
      <c r="AB557" s="2">
        <f>Superstore_Sales[[#This Row],[TotalSales]]-Superstore_Sales[[#This Row],[Dis_amt]]-Superstore_Sales[[#This Row],[Shipping Cost]]</f>
        <v>13983.785616000001</v>
      </c>
    </row>
    <row r="558" spans="1:28" x14ac:dyDescent="0.35">
      <c r="A558">
        <v>10274</v>
      </c>
      <c r="B558" t="s">
        <v>2834</v>
      </c>
      <c r="C558" s="1">
        <v>41459</v>
      </c>
      <c r="D558" s="1">
        <v>41459</v>
      </c>
      <c r="E558">
        <f>Superstore_Sales[[#This Row],[Ship Date]]-Superstore_Sales[[#This Row],[Order Date]]</f>
        <v>0</v>
      </c>
      <c r="F558" t="s">
        <v>73</v>
      </c>
      <c r="G558" t="s">
        <v>2835</v>
      </c>
      <c r="H558" t="s">
        <v>2836</v>
      </c>
      <c r="I558" t="s">
        <v>28</v>
      </c>
      <c r="K558" t="s">
        <v>2837</v>
      </c>
      <c r="L558" t="s">
        <v>2838</v>
      </c>
      <c r="M558" t="s">
        <v>134</v>
      </c>
      <c r="N558" t="s">
        <v>135</v>
      </c>
      <c r="O558" t="s">
        <v>136</v>
      </c>
      <c r="P558" t="s">
        <v>438</v>
      </c>
      <c r="Q558" t="s">
        <v>35</v>
      </c>
      <c r="R558" t="s">
        <v>36</v>
      </c>
      <c r="S558" t="s">
        <v>439</v>
      </c>
      <c r="T558">
        <v>1363.2</v>
      </c>
      <c r="U558">
        <v>8</v>
      </c>
      <c r="V558">
        <v>0.6</v>
      </c>
      <c r="W558">
        <v>-1806.24</v>
      </c>
      <c r="X558">
        <v>255.173</v>
      </c>
      <c r="Y558" t="s">
        <v>53</v>
      </c>
      <c r="Z558">
        <f>Superstore_Sales[[#This Row],[Sales]]*Superstore_Sales[[#This Row],[Quantity]]</f>
        <v>10905.6</v>
      </c>
      <c r="AA558" s="3">
        <f>Superstore_Sales[[#This Row],[TotalSales]]*Superstore_Sales[[#This Row],[Discount]]/100</f>
        <v>65.433599999999998</v>
      </c>
      <c r="AB558" s="2">
        <f>Superstore_Sales[[#This Row],[TotalSales]]-Superstore_Sales[[#This Row],[Dis_amt]]-Superstore_Sales[[#This Row],[Shipping Cost]]</f>
        <v>10584.993399999999</v>
      </c>
    </row>
    <row r="559" spans="1:28" x14ac:dyDescent="0.35">
      <c r="A559">
        <v>17414</v>
      </c>
      <c r="B559" t="s">
        <v>2839</v>
      </c>
      <c r="C559" s="1">
        <v>41506</v>
      </c>
      <c r="D559" s="1">
        <v>41510</v>
      </c>
      <c r="E559">
        <f>Superstore_Sales[[#This Row],[Ship Date]]-Superstore_Sales[[#This Row],[Order Date]]</f>
        <v>4</v>
      </c>
      <c r="F559" t="s">
        <v>98</v>
      </c>
      <c r="G559" t="s">
        <v>2840</v>
      </c>
      <c r="H559" t="s">
        <v>2841</v>
      </c>
      <c r="I559" t="s">
        <v>28</v>
      </c>
      <c r="K559" t="s">
        <v>2842</v>
      </c>
      <c r="L559" t="s">
        <v>310</v>
      </c>
      <c r="M559" t="s">
        <v>210</v>
      </c>
      <c r="N559" t="s">
        <v>211</v>
      </c>
      <c r="O559" t="s">
        <v>69</v>
      </c>
      <c r="P559" t="s">
        <v>380</v>
      </c>
      <c r="Q559" t="s">
        <v>50</v>
      </c>
      <c r="R559" t="s">
        <v>51</v>
      </c>
      <c r="S559" t="s">
        <v>381</v>
      </c>
      <c r="T559">
        <v>3315.27</v>
      </c>
      <c r="U559">
        <v>7</v>
      </c>
      <c r="V559">
        <v>0</v>
      </c>
      <c r="W559">
        <v>961.38</v>
      </c>
      <c r="X559">
        <v>254.92</v>
      </c>
      <c r="Y559" t="s">
        <v>38</v>
      </c>
      <c r="Z559">
        <f>Superstore_Sales[[#This Row],[Sales]]*Superstore_Sales[[#This Row],[Quantity]]</f>
        <v>23206.89</v>
      </c>
      <c r="AA559" s="3">
        <f>Superstore_Sales[[#This Row],[TotalSales]]*Superstore_Sales[[#This Row],[Discount]]/100</f>
        <v>0</v>
      </c>
      <c r="AB559" s="2">
        <f>Superstore_Sales[[#This Row],[TotalSales]]-Superstore_Sales[[#This Row],[Dis_amt]]-Superstore_Sales[[#This Row],[Shipping Cost]]</f>
        <v>22951.97</v>
      </c>
    </row>
    <row r="560" spans="1:28" x14ac:dyDescent="0.35">
      <c r="A560">
        <v>37694</v>
      </c>
      <c r="B560" t="s">
        <v>2843</v>
      </c>
      <c r="C560" s="1">
        <v>42309</v>
      </c>
      <c r="D560" s="1">
        <v>42313</v>
      </c>
      <c r="E560">
        <f>Superstore_Sales[[#This Row],[Ship Date]]-Superstore_Sales[[#This Row],[Order Date]]</f>
        <v>4</v>
      </c>
      <c r="F560" t="s">
        <v>98</v>
      </c>
      <c r="G560" t="s">
        <v>2588</v>
      </c>
      <c r="H560" t="s">
        <v>2545</v>
      </c>
      <c r="I560" t="s">
        <v>65</v>
      </c>
      <c r="J560">
        <v>75217</v>
      </c>
      <c r="K560" t="s">
        <v>2844</v>
      </c>
      <c r="L560" t="s">
        <v>160</v>
      </c>
      <c r="M560" t="s">
        <v>31</v>
      </c>
      <c r="N560" t="s">
        <v>32</v>
      </c>
      <c r="O560" t="s">
        <v>33</v>
      </c>
      <c r="P560" t="s">
        <v>2845</v>
      </c>
      <c r="Q560" t="s">
        <v>147</v>
      </c>
      <c r="R560" t="s">
        <v>431</v>
      </c>
      <c r="S560" t="s">
        <v>2846</v>
      </c>
      <c r="T560">
        <v>5.25</v>
      </c>
      <c r="U560">
        <v>2</v>
      </c>
      <c r="V560">
        <v>0.2</v>
      </c>
      <c r="W560">
        <v>0.59</v>
      </c>
      <c r="X560">
        <v>1.26</v>
      </c>
      <c r="Y560" t="s">
        <v>61</v>
      </c>
      <c r="Z560">
        <f>Superstore_Sales[[#This Row],[Sales]]*Superstore_Sales[[#This Row],[Quantity]]</f>
        <v>10.5</v>
      </c>
      <c r="AA560" s="3">
        <f>Superstore_Sales[[#This Row],[TotalSales]]*Superstore_Sales[[#This Row],[Discount]]/100</f>
        <v>2.1000000000000001E-2</v>
      </c>
      <c r="AB560" s="2">
        <f>Superstore_Sales[[#This Row],[TotalSales]]-Superstore_Sales[[#This Row],[Dis_amt]]-Superstore_Sales[[#This Row],[Shipping Cost]]</f>
        <v>9.2189999999999994</v>
      </c>
    </row>
    <row r="561" spans="1:28" x14ac:dyDescent="0.35">
      <c r="A561">
        <v>16577</v>
      </c>
      <c r="B561" t="s">
        <v>2847</v>
      </c>
      <c r="C561" s="1">
        <v>41458</v>
      </c>
      <c r="D561" s="1">
        <v>41462</v>
      </c>
      <c r="E561">
        <f>Superstore_Sales[[#This Row],[Ship Date]]-Superstore_Sales[[#This Row],[Order Date]]</f>
        <v>4</v>
      </c>
      <c r="F561" t="s">
        <v>98</v>
      </c>
      <c r="G561" t="s">
        <v>2848</v>
      </c>
      <c r="H561" t="s">
        <v>2849</v>
      </c>
      <c r="I561" t="s">
        <v>43</v>
      </c>
      <c r="K561" t="s">
        <v>2850</v>
      </c>
      <c r="L561" t="s">
        <v>731</v>
      </c>
      <c r="M561" t="s">
        <v>155</v>
      </c>
      <c r="N561" t="s">
        <v>68</v>
      </c>
      <c r="O561" t="s">
        <v>69</v>
      </c>
      <c r="P561" t="s">
        <v>2851</v>
      </c>
      <c r="Q561" t="s">
        <v>35</v>
      </c>
      <c r="R561" t="s">
        <v>275</v>
      </c>
      <c r="S561" t="s">
        <v>2852</v>
      </c>
      <c r="T561">
        <v>2123.0300000000002</v>
      </c>
      <c r="U561">
        <v>8</v>
      </c>
      <c r="V561">
        <v>0.15</v>
      </c>
      <c r="W561">
        <v>124.79</v>
      </c>
      <c r="X561">
        <v>254.54</v>
      </c>
      <c r="Y561" t="s">
        <v>38</v>
      </c>
      <c r="Z561">
        <f>Superstore_Sales[[#This Row],[Sales]]*Superstore_Sales[[#This Row],[Quantity]]</f>
        <v>16984.240000000002</v>
      </c>
      <c r="AA561" s="3">
        <f>Superstore_Sales[[#This Row],[TotalSales]]*Superstore_Sales[[#This Row],[Discount]]/100</f>
        <v>25.47636</v>
      </c>
      <c r="AB561" s="2">
        <f>Superstore_Sales[[#This Row],[TotalSales]]-Superstore_Sales[[#This Row],[Dis_amt]]-Superstore_Sales[[#This Row],[Shipping Cost]]</f>
        <v>16704.22364</v>
      </c>
    </row>
    <row r="562" spans="1:28" x14ac:dyDescent="0.35">
      <c r="A562">
        <v>19378</v>
      </c>
      <c r="B562" t="s">
        <v>2853</v>
      </c>
      <c r="C562" s="1">
        <v>42337</v>
      </c>
      <c r="D562" s="1">
        <v>42342</v>
      </c>
      <c r="E562">
        <f>Superstore_Sales[[#This Row],[Ship Date]]-Superstore_Sales[[#This Row],[Order Date]]</f>
        <v>5</v>
      </c>
      <c r="F562" t="s">
        <v>98</v>
      </c>
      <c r="G562" t="s">
        <v>2854</v>
      </c>
      <c r="H562" t="s">
        <v>1671</v>
      </c>
      <c r="I562" t="s">
        <v>65</v>
      </c>
      <c r="K562" t="s">
        <v>2855</v>
      </c>
      <c r="L562" t="s">
        <v>2856</v>
      </c>
      <c r="M562" t="s">
        <v>67</v>
      </c>
      <c r="N562" t="s">
        <v>68</v>
      </c>
      <c r="O562" t="s">
        <v>69</v>
      </c>
      <c r="P562" t="s">
        <v>80</v>
      </c>
      <c r="Q562" t="s">
        <v>35</v>
      </c>
      <c r="R562" t="s">
        <v>81</v>
      </c>
      <c r="S562" t="s">
        <v>82</v>
      </c>
      <c r="T562">
        <v>2478.84</v>
      </c>
      <c r="U562">
        <v>7</v>
      </c>
      <c r="V562">
        <v>0</v>
      </c>
      <c r="W562">
        <v>272.58</v>
      </c>
      <c r="X562">
        <v>254.47</v>
      </c>
      <c r="Y562" t="s">
        <v>61</v>
      </c>
      <c r="Z562">
        <f>Superstore_Sales[[#This Row],[Sales]]*Superstore_Sales[[#This Row],[Quantity]]</f>
        <v>17351.88</v>
      </c>
      <c r="AA562" s="3">
        <f>Superstore_Sales[[#This Row],[TotalSales]]*Superstore_Sales[[#This Row],[Discount]]/100</f>
        <v>0</v>
      </c>
      <c r="AB562" s="2">
        <f>Superstore_Sales[[#This Row],[TotalSales]]-Superstore_Sales[[#This Row],[Dis_amt]]-Superstore_Sales[[#This Row],[Shipping Cost]]</f>
        <v>17097.41</v>
      </c>
    </row>
    <row r="563" spans="1:28" x14ac:dyDescent="0.35">
      <c r="A563">
        <v>22900</v>
      </c>
      <c r="B563" t="s">
        <v>2857</v>
      </c>
      <c r="C563" s="1">
        <v>41006</v>
      </c>
      <c r="D563" s="1">
        <v>41011</v>
      </c>
      <c r="E563">
        <f>Superstore_Sales[[#This Row],[Ship Date]]-Superstore_Sales[[#This Row],[Order Date]]</f>
        <v>5</v>
      </c>
      <c r="F563" t="s">
        <v>98</v>
      </c>
      <c r="G563" t="s">
        <v>2858</v>
      </c>
      <c r="H563" t="s">
        <v>734</v>
      </c>
      <c r="I563" t="s">
        <v>28</v>
      </c>
      <c r="K563" t="s">
        <v>644</v>
      </c>
      <c r="L563" t="s">
        <v>417</v>
      </c>
      <c r="M563" t="s">
        <v>46</v>
      </c>
      <c r="N563" t="s">
        <v>47</v>
      </c>
      <c r="O563" t="s">
        <v>48</v>
      </c>
      <c r="P563" t="s">
        <v>819</v>
      </c>
      <c r="Q563" t="s">
        <v>147</v>
      </c>
      <c r="R563" t="s">
        <v>148</v>
      </c>
      <c r="S563" t="s">
        <v>820</v>
      </c>
      <c r="T563">
        <v>1894.54</v>
      </c>
      <c r="U563">
        <v>4</v>
      </c>
      <c r="V563">
        <v>0.1</v>
      </c>
      <c r="W563">
        <v>505.18</v>
      </c>
      <c r="X563">
        <v>254.37</v>
      </c>
      <c r="Y563" t="s">
        <v>38</v>
      </c>
      <c r="Z563">
        <f>Superstore_Sales[[#This Row],[Sales]]*Superstore_Sales[[#This Row],[Quantity]]</f>
        <v>7578.16</v>
      </c>
      <c r="AA563" s="3">
        <f>Superstore_Sales[[#This Row],[TotalSales]]*Superstore_Sales[[#This Row],[Discount]]/100</f>
        <v>7.5781600000000005</v>
      </c>
      <c r="AB563" s="2">
        <f>Superstore_Sales[[#This Row],[TotalSales]]-Superstore_Sales[[#This Row],[Dis_amt]]-Superstore_Sales[[#This Row],[Shipping Cost]]</f>
        <v>7316.2118399999999</v>
      </c>
    </row>
    <row r="564" spans="1:28" x14ac:dyDescent="0.35">
      <c r="A564">
        <v>31843</v>
      </c>
      <c r="B564" t="s">
        <v>2859</v>
      </c>
      <c r="C564" s="1">
        <v>42328</v>
      </c>
      <c r="D564" s="1">
        <v>42331</v>
      </c>
      <c r="E564">
        <f>Superstore_Sales[[#This Row],[Ship Date]]-Superstore_Sales[[#This Row],[Order Date]]</f>
        <v>3</v>
      </c>
      <c r="F564" t="s">
        <v>25</v>
      </c>
      <c r="G564" t="s">
        <v>2860</v>
      </c>
      <c r="H564" t="s">
        <v>2861</v>
      </c>
      <c r="I564" t="s">
        <v>65</v>
      </c>
      <c r="J564">
        <v>10035</v>
      </c>
      <c r="K564" t="s">
        <v>302</v>
      </c>
      <c r="L564" t="s">
        <v>248</v>
      </c>
      <c r="M564" t="s">
        <v>31</v>
      </c>
      <c r="N564" t="s">
        <v>249</v>
      </c>
      <c r="O564" t="s">
        <v>33</v>
      </c>
      <c r="P564" t="s">
        <v>2862</v>
      </c>
      <c r="Q564" t="s">
        <v>147</v>
      </c>
      <c r="R564" t="s">
        <v>384</v>
      </c>
      <c r="S564" t="s">
        <v>2863</v>
      </c>
      <c r="T564">
        <v>41.28</v>
      </c>
      <c r="U564">
        <v>6</v>
      </c>
      <c r="V564">
        <v>0.2</v>
      </c>
      <c r="W564">
        <v>13.93</v>
      </c>
      <c r="X564">
        <v>7.14</v>
      </c>
      <c r="Y564" t="s">
        <v>61</v>
      </c>
      <c r="Z564">
        <f>Superstore_Sales[[#This Row],[Sales]]*Superstore_Sales[[#This Row],[Quantity]]</f>
        <v>247.68</v>
      </c>
      <c r="AA564" s="3">
        <f>Superstore_Sales[[#This Row],[TotalSales]]*Superstore_Sales[[#This Row],[Discount]]/100</f>
        <v>0.49536000000000002</v>
      </c>
      <c r="AB564" s="2">
        <f>Superstore_Sales[[#This Row],[TotalSales]]-Superstore_Sales[[#This Row],[Dis_amt]]-Superstore_Sales[[#This Row],[Shipping Cost]]</f>
        <v>240.04464000000002</v>
      </c>
    </row>
    <row r="565" spans="1:28" x14ac:dyDescent="0.35">
      <c r="A565">
        <v>49151</v>
      </c>
      <c r="B565" t="s">
        <v>2864</v>
      </c>
      <c r="C565" s="1">
        <v>41403</v>
      </c>
      <c r="D565" s="1">
        <v>41407</v>
      </c>
      <c r="E565">
        <f>Superstore_Sales[[#This Row],[Ship Date]]-Superstore_Sales[[#This Row],[Order Date]]</f>
        <v>4</v>
      </c>
      <c r="F565" t="s">
        <v>98</v>
      </c>
      <c r="G565" t="s">
        <v>2865</v>
      </c>
      <c r="H565" t="s">
        <v>2861</v>
      </c>
      <c r="I565" t="s">
        <v>65</v>
      </c>
      <c r="K565" t="s">
        <v>2866</v>
      </c>
      <c r="L565" t="s">
        <v>2867</v>
      </c>
      <c r="M565" t="s">
        <v>1134</v>
      </c>
      <c r="N565" t="s">
        <v>1134</v>
      </c>
      <c r="O565" t="s">
        <v>33</v>
      </c>
      <c r="P565" t="s">
        <v>2868</v>
      </c>
      <c r="Q565" t="s">
        <v>147</v>
      </c>
      <c r="R565" t="s">
        <v>162</v>
      </c>
      <c r="S565" t="s">
        <v>2869</v>
      </c>
      <c r="T565">
        <v>187.02</v>
      </c>
      <c r="U565">
        <v>6</v>
      </c>
      <c r="V565">
        <v>0</v>
      </c>
      <c r="W565">
        <v>26.1</v>
      </c>
      <c r="X565">
        <v>6.96</v>
      </c>
      <c r="Y565" t="s">
        <v>61</v>
      </c>
      <c r="Z565">
        <f>Superstore_Sales[[#This Row],[Sales]]*Superstore_Sales[[#This Row],[Quantity]]</f>
        <v>1122.1200000000001</v>
      </c>
      <c r="AA565" s="3">
        <f>Superstore_Sales[[#This Row],[TotalSales]]*Superstore_Sales[[#This Row],[Discount]]/100</f>
        <v>0</v>
      </c>
      <c r="AB565" s="2">
        <f>Superstore_Sales[[#This Row],[TotalSales]]-Superstore_Sales[[#This Row],[Dis_amt]]-Superstore_Sales[[#This Row],[Shipping Cost]]</f>
        <v>1115.1600000000001</v>
      </c>
    </row>
    <row r="566" spans="1:28" x14ac:dyDescent="0.35">
      <c r="A566">
        <v>21605</v>
      </c>
      <c r="B566" t="s">
        <v>2870</v>
      </c>
      <c r="C566" s="1">
        <v>41597</v>
      </c>
      <c r="D566" s="1">
        <v>41601</v>
      </c>
      <c r="E566">
        <f>Superstore_Sales[[#This Row],[Ship Date]]-Superstore_Sales[[#This Row],[Order Date]]</f>
        <v>4</v>
      </c>
      <c r="F566" t="s">
        <v>98</v>
      </c>
      <c r="G566" t="s">
        <v>2871</v>
      </c>
      <c r="H566" t="s">
        <v>1236</v>
      </c>
      <c r="I566" t="s">
        <v>28</v>
      </c>
      <c r="K566" t="s">
        <v>2872</v>
      </c>
      <c r="L566" t="s">
        <v>824</v>
      </c>
      <c r="M566" t="s">
        <v>144</v>
      </c>
      <c r="N566" t="s">
        <v>145</v>
      </c>
      <c r="O566" t="s">
        <v>48</v>
      </c>
      <c r="P566" t="s">
        <v>392</v>
      </c>
      <c r="Q566" t="s">
        <v>35</v>
      </c>
      <c r="R566" t="s">
        <v>81</v>
      </c>
      <c r="S566" t="s">
        <v>393</v>
      </c>
      <c r="T566">
        <v>1317.9</v>
      </c>
      <c r="U566">
        <v>5</v>
      </c>
      <c r="V566">
        <v>0</v>
      </c>
      <c r="W566">
        <v>0</v>
      </c>
      <c r="X566">
        <v>253.95</v>
      </c>
      <c r="Y566" t="s">
        <v>38</v>
      </c>
      <c r="Z566">
        <f>Superstore_Sales[[#This Row],[Sales]]*Superstore_Sales[[#This Row],[Quantity]]</f>
        <v>6589.5</v>
      </c>
      <c r="AA566" s="3">
        <f>Superstore_Sales[[#This Row],[TotalSales]]*Superstore_Sales[[#This Row],[Discount]]/100</f>
        <v>0</v>
      </c>
      <c r="AB566" s="2">
        <f>Superstore_Sales[[#This Row],[TotalSales]]-Superstore_Sales[[#This Row],[Dis_amt]]-Superstore_Sales[[#This Row],[Shipping Cost]]</f>
        <v>6335.55</v>
      </c>
    </row>
    <row r="567" spans="1:28" x14ac:dyDescent="0.35">
      <c r="A567">
        <v>25523</v>
      </c>
      <c r="B567" t="s">
        <v>2873</v>
      </c>
      <c r="C567" s="1">
        <v>41947</v>
      </c>
      <c r="D567" s="1">
        <v>41951</v>
      </c>
      <c r="E567">
        <f>Superstore_Sales[[#This Row],[Ship Date]]-Superstore_Sales[[#This Row],[Order Date]]</f>
        <v>4</v>
      </c>
      <c r="F567" t="s">
        <v>40</v>
      </c>
      <c r="G567" t="s">
        <v>2874</v>
      </c>
      <c r="H567" t="s">
        <v>2875</v>
      </c>
      <c r="I567" t="s">
        <v>43</v>
      </c>
      <c r="K567" t="s">
        <v>2876</v>
      </c>
      <c r="L567" t="s">
        <v>914</v>
      </c>
      <c r="M567" t="s">
        <v>144</v>
      </c>
      <c r="N567" t="s">
        <v>145</v>
      </c>
      <c r="O567" t="s">
        <v>48</v>
      </c>
      <c r="P567" t="s">
        <v>996</v>
      </c>
      <c r="Q567" t="s">
        <v>35</v>
      </c>
      <c r="R567" t="s">
        <v>275</v>
      </c>
      <c r="S567" t="s">
        <v>997</v>
      </c>
      <c r="T567">
        <v>1839.18</v>
      </c>
      <c r="U567">
        <v>7</v>
      </c>
      <c r="V567">
        <v>0</v>
      </c>
      <c r="W567">
        <v>238.98</v>
      </c>
      <c r="X567">
        <v>253.5</v>
      </c>
      <c r="Y567" t="s">
        <v>38</v>
      </c>
      <c r="Z567">
        <f>Superstore_Sales[[#This Row],[Sales]]*Superstore_Sales[[#This Row],[Quantity]]</f>
        <v>12874.26</v>
      </c>
      <c r="AA567" s="3">
        <f>Superstore_Sales[[#This Row],[TotalSales]]*Superstore_Sales[[#This Row],[Discount]]/100</f>
        <v>0</v>
      </c>
      <c r="AB567" s="2">
        <f>Superstore_Sales[[#This Row],[TotalSales]]-Superstore_Sales[[#This Row],[Dis_amt]]-Superstore_Sales[[#This Row],[Shipping Cost]]</f>
        <v>12620.76</v>
      </c>
    </row>
    <row r="568" spans="1:28" x14ac:dyDescent="0.35">
      <c r="A568">
        <v>18018</v>
      </c>
      <c r="B568" t="s">
        <v>2877</v>
      </c>
      <c r="C568" s="1">
        <v>41962</v>
      </c>
      <c r="D568" s="1">
        <v>41967</v>
      </c>
      <c r="E568">
        <f>Superstore_Sales[[#This Row],[Ship Date]]-Superstore_Sales[[#This Row],[Order Date]]</f>
        <v>5</v>
      </c>
      <c r="F568" t="s">
        <v>98</v>
      </c>
      <c r="G568" t="s">
        <v>2878</v>
      </c>
      <c r="H568" t="s">
        <v>2708</v>
      </c>
      <c r="I568" t="s">
        <v>28</v>
      </c>
      <c r="K568" t="s">
        <v>2879</v>
      </c>
      <c r="L568" t="s">
        <v>310</v>
      </c>
      <c r="M568" t="s">
        <v>210</v>
      </c>
      <c r="N568" t="s">
        <v>211</v>
      </c>
      <c r="O568" t="s">
        <v>69</v>
      </c>
      <c r="P568" t="s">
        <v>510</v>
      </c>
      <c r="Q568" t="s">
        <v>35</v>
      </c>
      <c r="R568" t="s">
        <v>36</v>
      </c>
      <c r="S568" t="s">
        <v>511</v>
      </c>
      <c r="T568">
        <v>1908.18</v>
      </c>
      <c r="U568">
        <v>3</v>
      </c>
      <c r="V568">
        <v>0</v>
      </c>
      <c r="W568">
        <v>820.44</v>
      </c>
      <c r="X568">
        <v>253.26</v>
      </c>
      <c r="Y568" t="s">
        <v>38</v>
      </c>
      <c r="Z568">
        <f>Superstore_Sales[[#This Row],[Sales]]*Superstore_Sales[[#This Row],[Quantity]]</f>
        <v>5724.54</v>
      </c>
      <c r="AA568" s="3">
        <f>Superstore_Sales[[#This Row],[TotalSales]]*Superstore_Sales[[#This Row],[Discount]]/100</f>
        <v>0</v>
      </c>
      <c r="AB568" s="2">
        <f>Superstore_Sales[[#This Row],[TotalSales]]-Superstore_Sales[[#This Row],[Dis_amt]]-Superstore_Sales[[#This Row],[Shipping Cost]]</f>
        <v>5471.28</v>
      </c>
    </row>
    <row r="569" spans="1:28" x14ac:dyDescent="0.35">
      <c r="A569">
        <v>1783</v>
      </c>
      <c r="B569" t="s">
        <v>2880</v>
      </c>
      <c r="C569" s="1">
        <v>42369</v>
      </c>
      <c r="D569" s="1">
        <v>42372</v>
      </c>
      <c r="E569">
        <f>Superstore_Sales[[#This Row],[Ship Date]]-Superstore_Sales[[#This Row],[Order Date]]</f>
        <v>3</v>
      </c>
      <c r="F569" t="s">
        <v>40</v>
      </c>
      <c r="G569" t="s">
        <v>2881</v>
      </c>
      <c r="H569" t="s">
        <v>2882</v>
      </c>
      <c r="I569" t="s">
        <v>43</v>
      </c>
      <c r="K569" t="s">
        <v>831</v>
      </c>
      <c r="L569" t="s">
        <v>831</v>
      </c>
      <c r="M569" t="s">
        <v>134</v>
      </c>
      <c r="N569" t="s">
        <v>135</v>
      </c>
      <c r="O569" t="s">
        <v>136</v>
      </c>
      <c r="P569" t="s">
        <v>2330</v>
      </c>
      <c r="Q569" t="s">
        <v>35</v>
      </c>
      <c r="R569" t="s">
        <v>81</v>
      </c>
      <c r="S569" t="s">
        <v>2331</v>
      </c>
      <c r="T569">
        <v>1264.47</v>
      </c>
      <c r="U569">
        <v>5</v>
      </c>
      <c r="V569">
        <v>2E-3</v>
      </c>
      <c r="W569">
        <v>301.47000000000003</v>
      </c>
      <c r="X569">
        <v>253.25399999999999</v>
      </c>
      <c r="Y569" t="s">
        <v>38</v>
      </c>
      <c r="Z569">
        <f>Superstore_Sales[[#This Row],[Sales]]*Superstore_Sales[[#This Row],[Quantity]]</f>
        <v>6322.35</v>
      </c>
      <c r="AA569" s="3">
        <f>Superstore_Sales[[#This Row],[TotalSales]]*Superstore_Sales[[#This Row],[Discount]]/100</f>
        <v>0.126447</v>
      </c>
      <c r="AB569" s="2">
        <f>Superstore_Sales[[#This Row],[TotalSales]]-Superstore_Sales[[#This Row],[Dis_amt]]-Superstore_Sales[[#This Row],[Shipping Cost]]</f>
        <v>6068.9695530000008</v>
      </c>
    </row>
    <row r="570" spans="1:28" x14ac:dyDescent="0.35">
      <c r="A570">
        <v>33098</v>
      </c>
      <c r="B570" t="s">
        <v>2883</v>
      </c>
      <c r="C570" s="1">
        <v>41957</v>
      </c>
      <c r="D570" s="1">
        <v>41963</v>
      </c>
      <c r="E570">
        <f>Superstore_Sales[[#This Row],[Ship Date]]-Superstore_Sales[[#This Row],[Order Date]]</f>
        <v>6</v>
      </c>
      <c r="F570" t="s">
        <v>98</v>
      </c>
      <c r="G570" t="s">
        <v>2884</v>
      </c>
      <c r="H570" t="s">
        <v>2861</v>
      </c>
      <c r="I570" t="s">
        <v>65</v>
      </c>
      <c r="J570">
        <v>98002</v>
      </c>
      <c r="K570" t="s">
        <v>2885</v>
      </c>
      <c r="L570" t="s">
        <v>109</v>
      </c>
      <c r="M570" t="s">
        <v>31</v>
      </c>
      <c r="N570" t="s">
        <v>110</v>
      </c>
      <c r="O570" t="s">
        <v>33</v>
      </c>
      <c r="P570" t="s">
        <v>2886</v>
      </c>
      <c r="Q570" t="s">
        <v>50</v>
      </c>
      <c r="R570" t="s">
        <v>353</v>
      </c>
      <c r="S570" t="s">
        <v>2887</v>
      </c>
      <c r="T570">
        <v>4.18</v>
      </c>
      <c r="U570">
        <v>1</v>
      </c>
      <c r="V570">
        <v>0</v>
      </c>
      <c r="W570">
        <v>1.5</v>
      </c>
      <c r="X570">
        <v>1.18</v>
      </c>
      <c r="Y570" t="s">
        <v>61</v>
      </c>
      <c r="Z570">
        <f>Superstore_Sales[[#This Row],[Sales]]*Superstore_Sales[[#This Row],[Quantity]]</f>
        <v>4.18</v>
      </c>
      <c r="AA570" s="3">
        <f>Superstore_Sales[[#This Row],[TotalSales]]*Superstore_Sales[[#This Row],[Discount]]/100</f>
        <v>0</v>
      </c>
      <c r="AB570" s="2">
        <f>Superstore_Sales[[#This Row],[TotalSales]]-Superstore_Sales[[#This Row],[Dis_amt]]-Superstore_Sales[[#This Row],[Shipping Cost]]</f>
        <v>3</v>
      </c>
    </row>
    <row r="571" spans="1:28" x14ac:dyDescent="0.35">
      <c r="A571">
        <v>13787</v>
      </c>
      <c r="B571" t="s">
        <v>2888</v>
      </c>
      <c r="C571" s="1">
        <v>41717</v>
      </c>
      <c r="D571" s="1">
        <v>41717</v>
      </c>
      <c r="E571">
        <f>Superstore_Sales[[#This Row],[Ship Date]]-Superstore_Sales[[#This Row],[Order Date]]</f>
        <v>0</v>
      </c>
      <c r="F571" t="s">
        <v>73</v>
      </c>
      <c r="G571" t="s">
        <v>2889</v>
      </c>
      <c r="H571" t="s">
        <v>2890</v>
      </c>
      <c r="I571" t="s">
        <v>28</v>
      </c>
      <c r="K571" t="s">
        <v>2891</v>
      </c>
      <c r="L571" t="s">
        <v>1772</v>
      </c>
      <c r="M571" t="s">
        <v>155</v>
      </c>
      <c r="N571" t="s">
        <v>68</v>
      </c>
      <c r="O571" t="s">
        <v>69</v>
      </c>
      <c r="P571" t="s">
        <v>2892</v>
      </c>
      <c r="Q571" t="s">
        <v>147</v>
      </c>
      <c r="R571" t="s">
        <v>162</v>
      </c>
      <c r="S571" t="s">
        <v>2893</v>
      </c>
      <c r="T571">
        <v>748.12</v>
      </c>
      <c r="U571">
        <v>4</v>
      </c>
      <c r="V571">
        <v>0.1</v>
      </c>
      <c r="W571">
        <v>282.52</v>
      </c>
      <c r="X571">
        <v>253.03</v>
      </c>
      <c r="Y571" t="s">
        <v>53</v>
      </c>
      <c r="Z571">
        <f>Superstore_Sales[[#This Row],[Sales]]*Superstore_Sales[[#This Row],[Quantity]]</f>
        <v>2992.48</v>
      </c>
      <c r="AA571" s="3">
        <f>Superstore_Sales[[#This Row],[TotalSales]]*Superstore_Sales[[#This Row],[Discount]]/100</f>
        <v>2.99248</v>
      </c>
      <c r="AB571" s="2">
        <f>Superstore_Sales[[#This Row],[TotalSales]]-Superstore_Sales[[#This Row],[Dis_amt]]-Superstore_Sales[[#This Row],[Shipping Cost]]</f>
        <v>2736.4575199999999</v>
      </c>
    </row>
    <row r="572" spans="1:28" x14ac:dyDescent="0.35">
      <c r="A572">
        <v>13739</v>
      </c>
      <c r="B572" t="s">
        <v>2894</v>
      </c>
      <c r="C572" s="1">
        <v>41354</v>
      </c>
      <c r="D572" s="1">
        <v>41356</v>
      </c>
      <c r="E572">
        <f>Superstore_Sales[[#This Row],[Ship Date]]-Superstore_Sales[[#This Row],[Order Date]]</f>
        <v>2</v>
      </c>
      <c r="F572" t="s">
        <v>40</v>
      </c>
      <c r="G572" t="s">
        <v>2895</v>
      </c>
      <c r="H572" t="s">
        <v>2896</v>
      </c>
      <c r="I572" t="s">
        <v>28</v>
      </c>
      <c r="K572" t="s">
        <v>2897</v>
      </c>
      <c r="L572" t="s">
        <v>154</v>
      </c>
      <c r="M572" t="s">
        <v>155</v>
      </c>
      <c r="N572" t="s">
        <v>68</v>
      </c>
      <c r="O572" t="s">
        <v>69</v>
      </c>
      <c r="P572" t="s">
        <v>2898</v>
      </c>
      <c r="Q572" t="s">
        <v>50</v>
      </c>
      <c r="R572" t="s">
        <v>336</v>
      </c>
      <c r="S572" t="s">
        <v>2899</v>
      </c>
      <c r="T572">
        <v>943.87</v>
      </c>
      <c r="U572">
        <v>7</v>
      </c>
      <c r="V572">
        <v>0.1</v>
      </c>
      <c r="W572">
        <v>209.71</v>
      </c>
      <c r="X572">
        <v>252.9</v>
      </c>
      <c r="Y572" t="s">
        <v>53</v>
      </c>
      <c r="Z572">
        <f>Superstore_Sales[[#This Row],[Sales]]*Superstore_Sales[[#This Row],[Quantity]]</f>
        <v>6607.09</v>
      </c>
      <c r="AA572" s="3">
        <f>Superstore_Sales[[#This Row],[TotalSales]]*Superstore_Sales[[#This Row],[Discount]]/100</f>
        <v>6.6070900000000004</v>
      </c>
      <c r="AB572" s="2">
        <f>Superstore_Sales[[#This Row],[TotalSales]]-Superstore_Sales[[#This Row],[Dis_amt]]-Superstore_Sales[[#This Row],[Shipping Cost]]</f>
        <v>6347.5829100000001</v>
      </c>
    </row>
    <row r="573" spans="1:28" x14ac:dyDescent="0.35">
      <c r="A573">
        <v>22100</v>
      </c>
      <c r="B573" t="s">
        <v>2900</v>
      </c>
      <c r="C573" s="1">
        <v>42148</v>
      </c>
      <c r="D573" s="1">
        <v>42153</v>
      </c>
      <c r="E573">
        <f>Superstore_Sales[[#This Row],[Ship Date]]-Superstore_Sales[[#This Row],[Order Date]]</f>
        <v>5</v>
      </c>
      <c r="F573" t="s">
        <v>40</v>
      </c>
      <c r="G573" t="s">
        <v>2901</v>
      </c>
      <c r="H573" t="s">
        <v>501</v>
      </c>
      <c r="I573" t="s">
        <v>43</v>
      </c>
      <c r="K573" t="s">
        <v>2902</v>
      </c>
      <c r="L573" t="s">
        <v>1349</v>
      </c>
      <c r="M573" t="s">
        <v>144</v>
      </c>
      <c r="N573" t="s">
        <v>145</v>
      </c>
      <c r="O573" t="s">
        <v>48</v>
      </c>
      <c r="P573" t="s">
        <v>2903</v>
      </c>
      <c r="Q573" t="s">
        <v>50</v>
      </c>
      <c r="R573" t="s">
        <v>336</v>
      </c>
      <c r="S573" t="s">
        <v>2904</v>
      </c>
      <c r="T573">
        <v>1447.44</v>
      </c>
      <c r="U573">
        <v>4</v>
      </c>
      <c r="V573">
        <v>0</v>
      </c>
      <c r="W573">
        <v>43.32</v>
      </c>
      <c r="X573">
        <v>252.36</v>
      </c>
      <c r="Y573" t="s">
        <v>61</v>
      </c>
      <c r="Z573">
        <f>Superstore_Sales[[#This Row],[Sales]]*Superstore_Sales[[#This Row],[Quantity]]</f>
        <v>5789.76</v>
      </c>
      <c r="AA573" s="3">
        <f>Superstore_Sales[[#This Row],[TotalSales]]*Superstore_Sales[[#This Row],[Discount]]/100</f>
        <v>0</v>
      </c>
      <c r="AB573" s="2">
        <f>Superstore_Sales[[#This Row],[TotalSales]]-Superstore_Sales[[#This Row],[Dis_amt]]-Superstore_Sales[[#This Row],[Shipping Cost]]</f>
        <v>5537.4000000000005</v>
      </c>
    </row>
    <row r="574" spans="1:28" x14ac:dyDescent="0.35">
      <c r="A574">
        <v>15899</v>
      </c>
      <c r="B574" t="s">
        <v>2905</v>
      </c>
      <c r="C574" s="1">
        <v>41804</v>
      </c>
      <c r="D574" s="1">
        <v>41806</v>
      </c>
      <c r="E574">
        <f>Superstore_Sales[[#This Row],[Ship Date]]-Superstore_Sales[[#This Row],[Order Date]]</f>
        <v>2</v>
      </c>
      <c r="F574" t="s">
        <v>25</v>
      </c>
      <c r="G574" t="s">
        <v>2906</v>
      </c>
      <c r="H574" t="s">
        <v>1582</v>
      </c>
      <c r="I574" t="s">
        <v>43</v>
      </c>
      <c r="K574" t="s">
        <v>168</v>
      </c>
      <c r="L574" t="s">
        <v>169</v>
      </c>
      <c r="M574" t="s">
        <v>170</v>
      </c>
      <c r="N574" t="s">
        <v>171</v>
      </c>
      <c r="O574" t="s">
        <v>69</v>
      </c>
      <c r="P574" t="s">
        <v>1716</v>
      </c>
      <c r="Q574" t="s">
        <v>35</v>
      </c>
      <c r="R574" t="s">
        <v>304</v>
      </c>
      <c r="S574" t="s">
        <v>1717</v>
      </c>
      <c r="T574">
        <v>1552.5</v>
      </c>
      <c r="U574">
        <v>6</v>
      </c>
      <c r="V574">
        <v>0</v>
      </c>
      <c r="W574">
        <v>62.1</v>
      </c>
      <c r="X574">
        <v>252.17</v>
      </c>
      <c r="Y574" t="s">
        <v>61</v>
      </c>
      <c r="Z574">
        <f>Superstore_Sales[[#This Row],[Sales]]*Superstore_Sales[[#This Row],[Quantity]]</f>
        <v>9315</v>
      </c>
      <c r="AA574" s="3">
        <f>Superstore_Sales[[#This Row],[TotalSales]]*Superstore_Sales[[#This Row],[Discount]]/100</f>
        <v>0</v>
      </c>
      <c r="AB574" s="2">
        <f>Superstore_Sales[[#This Row],[TotalSales]]-Superstore_Sales[[#This Row],[Dis_amt]]-Superstore_Sales[[#This Row],[Shipping Cost]]</f>
        <v>9062.83</v>
      </c>
    </row>
    <row r="575" spans="1:28" x14ac:dyDescent="0.35">
      <c r="A575">
        <v>39794</v>
      </c>
      <c r="B575" t="s">
        <v>2907</v>
      </c>
      <c r="C575" s="1">
        <v>40972</v>
      </c>
      <c r="D575" s="1">
        <v>40975</v>
      </c>
      <c r="E575">
        <f>Superstore_Sales[[#This Row],[Ship Date]]-Superstore_Sales[[#This Row],[Order Date]]</f>
        <v>3</v>
      </c>
      <c r="F575" t="s">
        <v>40</v>
      </c>
      <c r="G575" t="s">
        <v>2908</v>
      </c>
      <c r="H575" t="s">
        <v>508</v>
      </c>
      <c r="I575" t="s">
        <v>28</v>
      </c>
      <c r="J575">
        <v>10701</v>
      </c>
      <c r="K575" t="s">
        <v>2909</v>
      </c>
      <c r="L575" t="s">
        <v>248</v>
      </c>
      <c r="M575" t="s">
        <v>31</v>
      </c>
      <c r="N575" t="s">
        <v>249</v>
      </c>
      <c r="O575" t="s">
        <v>33</v>
      </c>
      <c r="P575" t="s">
        <v>2910</v>
      </c>
      <c r="Q575" t="s">
        <v>35</v>
      </c>
      <c r="R575" t="s">
        <v>304</v>
      </c>
      <c r="S575" t="s">
        <v>2911</v>
      </c>
      <c r="T575">
        <v>479.97</v>
      </c>
      <c r="U575">
        <v>3</v>
      </c>
      <c r="V575">
        <v>0</v>
      </c>
      <c r="W575">
        <v>177.59</v>
      </c>
      <c r="X575">
        <v>55.01</v>
      </c>
      <c r="Y575" t="s">
        <v>61</v>
      </c>
      <c r="Z575">
        <f>Superstore_Sales[[#This Row],[Sales]]*Superstore_Sales[[#This Row],[Quantity]]</f>
        <v>1439.91</v>
      </c>
      <c r="AA575" s="3">
        <f>Superstore_Sales[[#This Row],[TotalSales]]*Superstore_Sales[[#This Row],[Discount]]/100</f>
        <v>0</v>
      </c>
      <c r="AB575" s="2">
        <f>Superstore_Sales[[#This Row],[TotalSales]]-Superstore_Sales[[#This Row],[Dis_amt]]-Superstore_Sales[[#This Row],[Shipping Cost]]</f>
        <v>1384.9</v>
      </c>
    </row>
    <row r="576" spans="1:28" x14ac:dyDescent="0.35">
      <c r="A576">
        <v>4569</v>
      </c>
      <c r="B576" t="s">
        <v>2912</v>
      </c>
      <c r="C576" s="1">
        <v>41982</v>
      </c>
      <c r="D576" s="1">
        <v>41984</v>
      </c>
      <c r="E576">
        <f>Superstore_Sales[[#This Row],[Ship Date]]-Superstore_Sales[[#This Row],[Order Date]]</f>
        <v>2</v>
      </c>
      <c r="F576" t="s">
        <v>40</v>
      </c>
      <c r="G576" t="s">
        <v>2913</v>
      </c>
      <c r="H576" t="s">
        <v>2914</v>
      </c>
      <c r="I576" t="s">
        <v>28</v>
      </c>
      <c r="K576" t="s">
        <v>2915</v>
      </c>
      <c r="L576" t="s">
        <v>2916</v>
      </c>
      <c r="M576" t="s">
        <v>134</v>
      </c>
      <c r="N576" t="s">
        <v>135</v>
      </c>
      <c r="O576" t="s">
        <v>136</v>
      </c>
      <c r="P576" t="s">
        <v>547</v>
      </c>
      <c r="Q576" t="s">
        <v>50</v>
      </c>
      <c r="R576" t="s">
        <v>51</v>
      </c>
      <c r="S576" t="s">
        <v>548</v>
      </c>
      <c r="T576">
        <v>919.26</v>
      </c>
      <c r="U576">
        <v>3</v>
      </c>
      <c r="V576">
        <v>0</v>
      </c>
      <c r="W576">
        <v>266.58</v>
      </c>
      <c r="X576">
        <v>251.57</v>
      </c>
      <c r="Y576" t="s">
        <v>53</v>
      </c>
      <c r="Z576">
        <f>Superstore_Sales[[#This Row],[Sales]]*Superstore_Sales[[#This Row],[Quantity]]</f>
        <v>2757.7799999999997</v>
      </c>
      <c r="AA576" s="3">
        <f>Superstore_Sales[[#This Row],[TotalSales]]*Superstore_Sales[[#This Row],[Discount]]/100</f>
        <v>0</v>
      </c>
      <c r="AB576" s="2">
        <f>Superstore_Sales[[#This Row],[TotalSales]]-Superstore_Sales[[#This Row],[Dis_amt]]-Superstore_Sales[[#This Row],[Shipping Cost]]</f>
        <v>2506.2099999999996</v>
      </c>
    </row>
    <row r="577" spans="1:28" x14ac:dyDescent="0.35">
      <c r="A577">
        <v>8252</v>
      </c>
      <c r="B577" t="s">
        <v>2917</v>
      </c>
      <c r="C577" s="1">
        <v>41921</v>
      </c>
      <c r="D577" s="1">
        <v>41926</v>
      </c>
      <c r="E577">
        <f>Superstore_Sales[[#This Row],[Ship Date]]-Superstore_Sales[[#This Row],[Order Date]]</f>
        <v>5</v>
      </c>
      <c r="F577" t="s">
        <v>98</v>
      </c>
      <c r="G577" t="s">
        <v>2918</v>
      </c>
      <c r="H577" t="s">
        <v>2763</v>
      </c>
      <c r="I577" t="s">
        <v>43</v>
      </c>
      <c r="K577" t="s">
        <v>1388</v>
      </c>
      <c r="L577" t="s">
        <v>1389</v>
      </c>
      <c r="M577" t="s">
        <v>219</v>
      </c>
      <c r="N577" t="s">
        <v>220</v>
      </c>
      <c r="O577" t="s">
        <v>136</v>
      </c>
      <c r="P577" t="s">
        <v>645</v>
      </c>
      <c r="Q577" t="s">
        <v>35</v>
      </c>
      <c r="R577" t="s">
        <v>36</v>
      </c>
      <c r="S577" t="s">
        <v>646</v>
      </c>
      <c r="T577">
        <v>3045.84</v>
      </c>
      <c r="U577">
        <v>7</v>
      </c>
      <c r="V577">
        <v>0</v>
      </c>
      <c r="W577">
        <v>1035.58</v>
      </c>
      <c r="X577">
        <v>251.05199999999999</v>
      </c>
      <c r="Y577" t="s">
        <v>38</v>
      </c>
      <c r="Z577">
        <f>Superstore_Sales[[#This Row],[Sales]]*Superstore_Sales[[#This Row],[Quantity]]</f>
        <v>21320.880000000001</v>
      </c>
      <c r="AA577" s="3">
        <f>Superstore_Sales[[#This Row],[TotalSales]]*Superstore_Sales[[#This Row],[Discount]]/100</f>
        <v>0</v>
      </c>
      <c r="AB577" s="2">
        <f>Superstore_Sales[[#This Row],[TotalSales]]-Superstore_Sales[[#This Row],[Dis_amt]]-Superstore_Sales[[#This Row],[Shipping Cost]]</f>
        <v>21069.828000000001</v>
      </c>
    </row>
    <row r="578" spans="1:28" x14ac:dyDescent="0.35">
      <c r="A578">
        <v>21940</v>
      </c>
      <c r="B578" t="s">
        <v>2919</v>
      </c>
      <c r="C578" s="1">
        <v>41928</v>
      </c>
      <c r="D578" s="1">
        <v>41930</v>
      </c>
      <c r="E578">
        <f>Superstore_Sales[[#This Row],[Ship Date]]-Superstore_Sales[[#This Row],[Order Date]]</f>
        <v>2</v>
      </c>
      <c r="F578" t="s">
        <v>25</v>
      </c>
      <c r="G578" t="s">
        <v>861</v>
      </c>
      <c r="H578" t="s">
        <v>862</v>
      </c>
      <c r="I578" t="s">
        <v>65</v>
      </c>
      <c r="K578" t="s">
        <v>1560</v>
      </c>
      <c r="L578" t="s">
        <v>1561</v>
      </c>
      <c r="M578" t="s">
        <v>46</v>
      </c>
      <c r="N578" t="s">
        <v>47</v>
      </c>
      <c r="O578" t="s">
        <v>48</v>
      </c>
      <c r="P578" t="s">
        <v>701</v>
      </c>
      <c r="Q578" t="s">
        <v>35</v>
      </c>
      <c r="R578" t="s">
        <v>36</v>
      </c>
      <c r="S578" t="s">
        <v>702</v>
      </c>
      <c r="T578">
        <v>766.87</v>
      </c>
      <c r="U578">
        <v>2</v>
      </c>
      <c r="V578">
        <v>0.4</v>
      </c>
      <c r="W578">
        <v>114.97</v>
      </c>
      <c r="X578">
        <v>250.36</v>
      </c>
      <c r="Y578" t="s">
        <v>38</v>
      </c>
      <c r="Z578">
        <f>Superstore_Sales[[#This Row],[Sales]]*Superstore_Sales[[#This Row],[Quantity]]</f>
        <v>1533.74</v>
      </c>
      <c r="AA578" s="3">
        <f>Superstore_Sales[[#This Row],[TotalSales]]*Superstore_Sales[[#This Row],[Discount]]/100</f>
        <v>6.1349599999999995</v>
      </c>
      <c r="AB578" s="2">
        <f>Superstore_Sales[[#This Row],[TotalSales]]-Superstore_Sales[[#This Row],[Dis_amt]]-Superstore_Sales[[#This Row],[Shipping Cost]]</f>
        <v>1277.2450399999998</v>
      </c>
    </row>
    <row r="579" spans="1:28" x14ac:dyDescent="0.35">
      <c r="A579">
        <v>46524</v>
      </c>
      <c r="B579" t="s">
        <v>2920</v>
      </c>
      <c r="C579" s="1">
        <v>41266</v>
      </c>
      <c r="D579" s="1">
        <v>41270</v>
      </c>
      <c r="E579">
        <f>Superstore_Sales[[#This Row],[Ship Date]]-Superstore_Sales[[#This Row],[Order Date]]</f>
        <v>4</v>
      </c>
      <c r="F579" t="s">
        <v>40</v>
      </c>
      <c r="G579" t="s">
        <v>2921</v>
      </c>
      <c r="H579" t="s">
        <v>2922</v>
      </c>
      <c r="I579" t="s">
        <v>28</v>
      </c>
      <c r="K579" t="s">
        <v>579</v>
      </c>
      <c r="L579" t="s">
        <v>580</v>
      </c>
      <c r="M579" t="s">
        <v>553</v>
      </c>
      <c r="N579" t="s">
        <v>554</v>
      </c>
      <c r="O579" t="s">
        <v>79</v>
      </c>
      <c r="P579" t="s">
        <v>2923</v>
      </c>
      <c r="Q579" t="s">
        <v>50</v>
      </c>
      <c r="R579" t="s">
        <v>104</v>
      </c>
      <c r="S579" t="s">
        <v>2924</v>
      </c>
      <c r="T579">
        <v>2880.18</v>
      </c>
      <c r="U579">
        <v>6</v>
      </c>
      <c r="V579">
        <v>0</v>
      </c>
      <c r="W579">
        <v>115.2</v>
      </c>
      <c r="X579">
        <v>250.06</v>
      </c>
      <c r="Y579" t="s">
        <v>61</v>
      </c>
      <c r="Z579">
        <f>Superstore_Sales[[#This Row],[Sales]]*Superstore_Sales[[#This Row],[Quantity]]</f>
        <v>17281.079999999998</v>
      </c>
      <c r="AA579" s="3">
        <f>Superstore_Sales[[#This Row],[TotalSales]]*Superstore_Sales[[#This Row],[Discount]]/100</f>
        <v>0</v>
      </c>
      <c r="AB579" s="2">
        <f>Superstore_Sales[[#This Row],[TotalSales]]-Superstore_Sales[[#This Row],[Dis_amt]]-Superstore_Sales[[#This Row],[Shipping Cost]]</f>
        <v>17031.019999999997</v>
      </c>
    </row>
    <row r="580" spans="1:28" x14ac:dyDescent="0.35">
      <c r="A580">
        <v>4369</v>
      </c>
      <c r="B580" t="s">
        <v>2925</v>
      </c>
      <c r="C580" s="1">
        <v>41745</v>
      </c>
      <c r="D580" s="1">
        <v>41748</v>
      </c>
      <c r="E580">
        <f>Superstore_Sales[[#This Row],[Ship Date]]-Superstore_Sales[[#This Row],[Order Date]]</f>
        <v>3</v>
      </c>
      <c r="F580" t="s">
        <v>25</v>
      </c>
      <c r="G580" t="s">
        <v>2926</v>
      </c>
      <c r="H580" t="s">
        <v>2927</v>
      </c>
      <c r="I580" t="s">
        <v>28</v>
      </c>
      <c r="K580" t="s">
        <v>2928</v>
      </c>
      <c r="L580" t="s">
        <v>133</v>
      </c>
      <c r="M580" t="s">
        <v>134</v>
      </c>
      <c r="N580" t="s">
        <v>135</v>
      </c>
      <c r="O580" t="s">
        <v>136</v>
      </c>
      <c r="P580" t="s">
        <v>819</v>
      </c>
      <c r="Q580" t="s">
        <v>147</v>
      </c>
      <c r="R580" t="s">
        <v>148</v>
      </c>
      <c r="S580" t="s">
        <v>820</v>
      </c>
      <c r="T580">
        <v>1403.36</v>
      </c>
      <c r="U580">
        <v>4</v>
      </c>
      <c r="V580">
        <v>0</v>
      </c>
      <c r="W580">
        <v>449.04</v>
      </c>
      <c r="X580">
        <v>250.029</v>
      </c>
      <c r="Y580" t="s">
        <v>38</v>
      </c>
      <c r="Z580">
        <f>Superstore_Sales[[#This Row],[Sales]]*Superstore_Sales[[#This Row],[Quantity]]</f>
        <v>5613.44</v>
      </c>
      <c r="AA580" s="3">
        <f>Superstore_Sales[[#This Row],[TotalSales]]*Superstore_Sales[[#This Row],[Discount]]/100</f>
        <v>0</v>
      </c>
      <c r="AB580" s="2">
        <f>Superstore_Sales[[#This Row],[TotalSales]]-Superstore_Sales[[#This Row],[Dis_amt]]-Superstore_Sales[[#This Row],[Shipping Cost]]</f>
        <v>5363.4110000000001</v>
      </c>
    </row>
    <row r="581" spans="1:28" x14ac:dyDescent="0.35">
      <c r="A581">
        <v>26337</v>
      </c>
      <c r="B581" t="s">
        <v>2929</v>
      </c>
      <c r="C581" s="1">
        <v>41200</v>
      </c>
      <c r="D581" s="1">
        <v>41205</v>
      </c>
      <c r="E581">
        <f>Superstore_Sales[[#This Row],[Ship Date]]-Superstore_Sales[[#This Row],[Order Date]]</f>
        <v>5</v>
      </c>
      <c r="F581" t="s">
        <v>98</v>
      </c>
      <c r="G581" t="s">
        <v>2930</v>
      </c>
      <c r="H581" t="s">
        <v>1423</v>
      </c>
      <c r="I581" t="s">
        <v>65</v>
      </c>
      <c r="K581" t="s">
        <v>2931</v>
      </c>
      <c r="L581" t="s">
        <v>365</v>
      </c>
      <c r="M581" t="s">
        <v>144</v>
      </c>
      <c r="N581" t="s">
        <v>145</v>
      </c>
      <c r="O581" t="s">
        <v>48</v>
      </c>
      <c r="P581" t="s">
        <v>2932</v>
      </c>
      <c r="Q581" t="s">
        <v>50</v>
      </c>
      <c r="R581" t="s">
        <v>104</v>
      </c>
      <c r="S581" t="s">
        <v>2933</v>
      </c>
      <c r="T581">
        <v>2018.33</v>
      </c>
      <c r="U581">
        <v>9</v>
      </c>
      <c r="V581">
        <v>0.3</v>
      </c>
      <c r="W581">
        <v>-576.91</v>
      </c>
      <c r="X581">
        <v>248.91</v>
      </c>
      <c r="Y581" t="s">
        <v>38</v>
      </c>
      <c r="Z581">
        <f>Superstore_Sales[[#This Row],[Sales]]*Superstore_Sales[[#This Row],[Quantity]]</f>
        <v>18164.97</v>
      </c>
      <c r="AA581" s="3">
        <f>Superstore_Sales[[#This Row],[TotalSales]]*Superstore_Sales[[#This Row],[Discount]]/100</f>
        <v>54.494909999999997</v>
      </c>
      <c r="AB581" s="2">
        <f>Superstore_Sales[[#This Row],[TotalSales]]-Superstore_Sales[[#This Row],[Dis_amt]]-Superstore_Sales[[#This Row],[Shipping Cost]]</f>
        <v>17861.56509</v>
      </c>
    </row>
    <row r="582" spans="1:28" x14ac:dyDescent="0.35">
      <c r="A582">
        <v>21030</v>
      </c>
      <c r="B582" t="s">
        <v>2934</v>
      </c>
      <c r="C582" s="1">
        <v>40977</v>
      </c>
      <c r="D582" s="1">
        <v>40979</v>
      </c>
      <c r="E582">
        <f>Superstore_Sales[[#This Row],[Ship Date]]-Superstore_Sales[[#This Row],[Order Date]]</f>
        <v>2</v>
      </c>
      <c r="F582" t="s">
        <v>25</v>
      </c>
      <c r="G582" t="s">
        <v>2935</v>
      </c>
      <c r="H582" t="s">
        <v>1456</v>
      </c>
      <c r="I582" t="s">
        <v>28</v>
      </c>
      <c r="K582" t="s">
        <v>2936</v>
      </c>
      <c r="L582" t="s">
        <v>450</v>
      </c>
      <c r="M582" t="s">
        <v>144</v>
      </c>
      <c r="N582" t="s">
        <v>145</v>
      </c>
      <c r="O582" t="s">
        <v>48</v>
      </c>
      <c r="P582" t="s">
        <v>311</v>
      </c>
      <c r="Q582" t="s">
        <v>35</v>
      </c>
      <c r="R582" t="s">
        <v>81</v>
      </c>
      <c r="S582" t="s">
        <v>312</v>
      </c>
      <c r="T582">
        <v>1274.1600000000001</v>
      </c>
      <c r="U582">
        <v>4</v>
      </c>
      <c r="V582">
        <v>0</v>
      </c>
      <c r="W582">
        <v>382.2</v>
      </c>
      <c r="X582">
        <v>248.59</v>
      </c>
      <c r="Y582" t="s">
        <v>53</v>
      </c>
      <c r="Z582">
        <f>Superstore_Sales[[#This Row],[Sales]]*Superstore_Sales[[#This Row],[Quantity]]</f>
        <v>5096.6400000000003</v>
      </c>
      <c r="AA582" s="3">
        <f>Superstore_Sales[[#This Row],[TotalSales]]*Superstore_Sales[[#This Row],[Discount]]/100</f>
        <v>0</v>
      </c>
      <c r="AB582" s="2">
        <f>Superstore_Sales[[#This Row],[TotalSales]]-Superstore_Sales[[#This Row],[Dis_amt]]-Superstore_Sales[[#This Row],[Shipping Cost]]</f>
        <v>4848.05</v>
      </c>
    </row>
    <row r="583" spans="1:28" x14ac:dyDescent="0.35">
      <c r="A583">
        <v>23842</v>
      </c>
      <c r="B583" t="s">
        <v>2937</v>
      </c>
      <c r="C583" s="1">
        <v>42029</v>
      </c>
      <c r="D583" s="1">
        <v>42033</v>
      </c>
      <c r="E583">
        <f>Superstore_Sales[[#This Row],[Ship Date]]-Superstore_Sales[[#This Row],[Order Date]]</f>
        <v>4</v>
      </c>
      <c r="F583" t="s">
        <v>98</v>
      </c>
      <c r="G583" t="s">
        <v>2938</v>
      </c>
      <c r="H583" t="s">
        <v>2939</v>
      </c>
      <c r="I583" t="s">
        <v>28</v>
      </c>
      <c r="K583" t="s">
        <v>256</v>
      </c>
      <c r="L583" t="s">
        <v>257</v>
      </c>
      <c r="M583" t="s">
        <v>258</v>
      </c>
      <c r="N583" t="s">
        <v>118</v>
      </c>
      <c r="O583" t="s">
        <v>48</v>
      </c>
      <c r="P583" t="s">
        <v>592</v>
      </c>
      <c r="Q583" t="s">
        <v>50</v>
      </c>
      <c r="R583" t="s">
        <v>336</v>
      </c>
      <c r="S583" t="s">
        <v>593</v>
      </c>
      <c r="T583">
        <v>2485.62</v>
      </c>
      <c r="U583">
        <v>6</v>
      </c>
      <c r="V583">
        <v>0</v>
      </c>
      <c r="W583">
        <v>795.24</v>
      </c>
      <c r="X583">
        <v>248.41</v>
      </c>
      <c r="Y583" t="s">
        <v>61</v>
      </c>
      <c r="Z583">
        <f>Superstore_Sales[[#This Row],[Sales]]*Superstore_Sales[[#This Row],[Quantity]]</f>
        <v>14913.72</v>
      </c>
      <c r="AA583" s="3">
        <f>Superstore_Sales[[#This Row],[TotalSales]]*Superstore_Sales[[#This Row],[Discount]]/100</f>
        <v>0</v>
      </c>
      <c r="AB583" s="2">
        <f>Superstore_Sales[[#This Row],[TotalSales]]-Superstore_Sales[[#This Row],[Dis_amt]]-Superstore_Sales[[#This Row],[Shipping Cost]]</f>
        <v>14665.31</v>
      </c>
    </row>
    <row r="584" spans="1:28" x14ac:dyDescent="0.35">
      <c r="A584">
        <v>14759</v>
      </c>
      <c r="B584" t="s">
        <v>2940</v>
      </c>
      <c r="C584" s="1">
        <v>42173</v>
      </c>
      <c r="D584" s="1">
        <v>42173</v>
      </c>
      <c r="E584">
        <f>Superstore_Sales[[#This Row],[Ship Date]]-Superstore_Sales[[#This Row],[Order Date]]</f>
        <v>0</v>
      </c>
      <c r="F584" t="s">
        <v>73</v>
      </c>
      <c r="G584" t="s">
        <v>2941</v>
      </c>
      <c r="H584" t="s">
        <v>2942</v>
      </c>
      <c r="I584" t="s">
        <v>28</v>
      </c>
      <c r="K584" t="s">
        <v>2943</v>
      </c>
      <c r="L584" t="s">
        <v>310</v>
      </c>
      <c r="M584" t="s">
        <v>210</v>
      </c>
      <c r="N584" t="s">
        <v>211</v>
      </c>
      <c r="O584" t="s">
        <v>69</v>
      </c>
      <c r="P584" t="s">
        <v>2252</v>
      </c>
      <c r="Q584" t="s">
        <v>147</v>
      </c>
      <c r="R584" t="s">
        <v>148</v>
      </c>
      <c r="S584" t="s">
        <v>2253</v>
      </c>
      <c r="T584">
        <v>1560.24</v>
      </c>
      <c r="U584">
        <v>3</v>
      </c>
      <c r="V584">
        <v>0</v>
      </c>
      <c r="W584">
        <v>421.2</v>
      </c>
      <c r="X584">
        <v>247.99</v>
      </c>
      <c r="Y584" t="s">
        <v>38</v>
      </c>
      <c r="Z584">
        <f>Superstore_Sales[[#This Row],[Sales]]*Superstore_Sales[[#This Row],[Quantity]]</f>
        <v>4680.72</v>
      </c>
      <c r="AA584" s="3">
        <f>Superstore_Sales[[#This Row],[TotalSales]]*Superstore_Sales[[#This Row],[Discount]]/100</f>
        <v>0</v>
      </c>
      <c r="AB584" s="2">
        <f>Superstore_Sales[[#This Row],[TotalSales]]-Superstore_Sales[[#This Row],[Dis_amt]]-Superstore_Sales[[#This Row],[Shipping Cost]]</f>
        <v>4432.7300000000005</v>
      </c>
    </row>
    <row r="585" spans="1:28" x14ac:dyDescent="0.35">
      <c r="A585">
        <v>21464</v>
      </c>
      <c r="B585" t="s">
        <v>2944</v>
      </c>
      <c r="C585" s="1">
        <v>41266</v>
      </c>
      <c r="D585" s="1">
        <v>41272</v>
      </c>
      <c r="E585">
        <f>Superstore_Sales[[#This Row],[Ship Date]]-Superstore_Sales[[#This Row],[Order Date]]</f>
        <v>6</v>
      </c>
      <c r="F585" t="s">
        <v>98</v>
      </c>
      <c r="G585" t="s">
        <v>2945</v>
      </c>
      <c r="H585" t="s">
        <v>2802</v>
      </c>
      <c r="I585" t="s">
        <v>28</v>
      </c>
      <c r="K585" t="s">
        <v>2931</v>
      </c>
      <c r="L585" t="s">
        <v>1349</v>
      </c>
      <c r="M585" t="s">
        <v>144</v>
      </c>
      <c r="N585" t="s">
        <v>145</v>
      </c>
      <c r="O585" t="s">
        <v>48</v>
      </c>
      <c r="P585" t="s">
        <v>127</v>
      </c>
      <c r="Q585" t="s">
        <v>35</v>
      </c>
      <c r="R585" t="s">
        <v>36</v>
      </c>
      <c r="S585" t="s">
        <v>128</v>
      </c>
      <c r="T585">
        <v>3271.2</v>
      </c>
      <c r="U585">
        <v>5</v>
      </c>
      <c r="V585">
        <v>0</v>
      </c>
      <c r="W585">
        <v>1341.15</v>
      </c>
      <c r="X585">
        <v>247.7</v>
      </c>
      <c r="Y585" t="s">
        <v>61</v>
      </c>
      <c r="Z585">
        <f>Superstore_Sales[[#This Row],[Sales]]*Superstore_Sales[[#This Row],[Quantity]]</f>
        <v>16356</v>
      </c>
      <c r="AA585" s="3">
        <f>Superstore_Sales[[#This Row],[TotalSales]]*Superstore_Sales[[#This Row],[Discount]]/100</f>
        <v>0</v>
      </c>
      <c r="AB585" s="2">
        <f>Superstore_Sales[[#This Row],[TotalSales]]-Superstore_Sales[[#This Row],[Dis_amt]]-Superstore_Sales[[#This Row],[Shipping Cost]]</f>
        <v>16108.3</v>
      </c>
    </row>
    <row r="586" spans="1:28" x14ac:dyDescent="0.35">
      <c r="A586">
        <v>5138</v>
      </c>
      <c r="B586" t="s">
        <v>2946</v>
      </c>
      <c r="C586" s="1">
        <v>41647</v>
      </c>
      <c r="D586" s="1">
        <v>41650</v>
      </c>
      <c r="E586">
        <f>Superstore_Sales[[#This Row],[Ship Date]]-Superstore_Sales[[#This Row],[Order Date]]</f>
        <v>3</v>
      </c>
      <c r="F586" t="s">
        <v>40</v>
      </c>
      <c r="G586" t="s">
        <v>2947</v>
      </c>
      <c r="H586" t="s">
        <v>2948</v>
      </c>
      <c r="I586" t="s">
        <v>28</v>
      </c>
      <c r="K586" t="s">
        <v>2949</v>
      </c>
      <c r="L586" t="s">
        <v>2950</v>
      </c>
      <c r="M586" t="s">
        <v>219</v>
      </c>
      <c r="N586" t="s">
        <v>220</v>
      </c>
      <c r="O586" t="s">
        <v>136</v>
      </c>
      <c r="P586" t="s">
        <v>259</v>
      </c>
      <c r="Q586" t="s">
        <v>50</v>
      </c>
      <c r="R586" t="s">
        <v>51</v>
      </c>
      <c r="S586" t="s">
        <v>260</v>
      </c>
      <c r="T586">
        <v>751.49</v>
      </c>
      <c r="U586">
        <v>3</v>
      </c>
      <c r="V586">
        <v>0.2</v>
      </c>
      <c r="W586">
        <v>-112.75</v>
      </c>
      <c r="X586">
        <v>246.726</v>
      </c>
      <c r="Y586" t="s">
        <v>53</v>
      </c>
      <c r="Z586">
        <f>Superstore_Sales[[#This Row],[Sales]]*Superstore_Sales[[#This Row],[Quantity]]</f>
        <v>2254.4700000000003</v>
      </c>
      <c r="AA586" s="3">
        <f>Superstore_Sales[[#This Row],[TotalSales]]*Superstore_Sales[[#This Row],[Discount]]/100</f>
        <v>4.5089400000000008</v>
      </c>
      <c r="AB586" s="2">
        <f>Superstore_Sales[[#This Row],[TotalSales]]-Superstore_Sales[[#This Row],[Dis_amt]]-Superstore_Sales[[#This Row],[Shipping Cost]]</f>
        <v>2003.23506</v>
      </c>
    </row>
    <row r="587" spans="1:28" x14ac:dyDescent="0.35">
      <c r="A587">
        <v>8682</v>
      </c>
      <c r="B587" t="s">
        <v>2951</v>
      </c>
      <c r="C587" s="1">
        <v>41643</v>
      </c>
      <c r="D587" s="1">
        <v>41649</v>
      </c>
      <c r="E587">
        <f>Superstore_Sales[[#This Row],[Ship Date]]-Superstore_Sales[[#This Row],[Order Date]]</f>
        <v>6</v>
      </c>
      <c r="F587" t="s">
        <v>98</v>
      </c>
      <c r="G587" t="s">
        <v>2952</v>
      </c>
      <c r="H587" t="s">
        <v>925</v>
      </c>
      <c r="I587" t="s">
        <v>28</v>
      </c>
      <c r="K587" t="s">
        <v>2953</v>
      </c>
      <c r="L587" t="s">
        <v>896</v>
      </c>
      <c r="M587" t="s">
        <v>896</v>
      </c>
      <c r="N587" t="s">
        <v>220</v>
      </c>
      <c r="O587" t="s">
        <v>136</v>
      </c>
      <c r="P587" t="s">
        <v>267</v>
      </c>
      <c r="Q587" t="s">
        <v>35</v>
      </c>
      <c r="R587" t="s">
        <v>36</v>
      </c>
      <c r="S587" t="s">
        <v>268</v>
      </c>
      <c r="T587">
        <v>2120.8000000000002</v>
      </c>
      <c r="U587">
        <v>5</v>
      </c>
      <c r="V587">
        <v>0</v>
      </c>
      <c r="W587">
        <v>275.7</v>
      </c>
      <c r="X587">
        <v>246.387</v>
      </c>
      <c r="Y587" t="s">
        <v>61</v>
      </c>
      <c r="Z587">
        <f>Superstore_Sales[[#This Row],[Sales]]*Superstore_Sales[[#This Row],[Quantity]]</f>
        <v>10604</v>
      </c>
      <c r="AA587" s="3">
        <f>Superstore_Sales[[#This Row],[TotalSales]]*Superstore_Sales[[#This Row],[Discount]]/100</f>
        <v>0</v>
      </c>
      <c r="AB587" s="2">
        <f>Superstore_Sales[[#This Row],[TotalSales]]-Superstore_Sales[[#This Row],[Dis_amt]]-Superstore_Sales[[#This Row],[Shipping Cost]]</f>
        <v>10357.612999999999</v>
      </c>
    </row>
    <row r="588" spans="1:28" x14ac:dyDescent="0.35">
      <c r="A588">
        <v>18667</v>
      </c>
      <c r="B588" t="s">
        <v>2954</v>
      </c>
      <c r="C588" s="1">
        <v>42035</v>
      </c>
      <c r="D588" s="1">
        <v>42039</v>
      </c>
      <c r="E588">
        <f>Superstore_Sales[[#This Row],[Ship Date]]-Superstore_Sales[[#This Row],[Order Date]]</f>
        <v>4</v>
      </c>
      <c r="F588" t="s">
        <v>98</v>
      </c>
      <c r="G588" t="s">
        <v>2955</v>
      </c>
      <c r="H588" t="s">
        <v>2041</v>
      </c>
      <c r="I588" t="s">
        <v>43</v>
      </c>
      <c r="K588" t="s">
        <v>2956</v>
      </c>
      <c r="L588" t="s">
        <v>1772</v>
      </c>
      <c r="M588" t="s">
        <v>155</v>
      </c>
      <c r="N588" t="s">
        <v>68</v>
      </c>
      <c r="O588" t="s">
        <v>69</v>
      </c>
      <c r="P588" t="s">
        <v>2957</v>
      </c>
      <c r="Q588" t="s">
        <v>35</v>
      </c>
      <c r="R588" t="s">
        <v>275</v>
      </c>
      <c r="S588" t="s">
        <v>2958</v>
      </c>
      <c r="T588">
        <v>2102.83</v>
      </c>
      <c r="U588">
        <v>8</v>
      </c>
      <c r="V588">
        <v>0.15</v>
      </c>
      <c r="W588">
        <v>321.55</v>
      </c>
      <c r="X588">
        <v>246.17</v>
      </c>
      <c r="Y588" t="s">
        <v>38</v>
      </c>
      <c r="Z588">
        <f>Superstore_Sales[[#This Row],[Sales]]*Superstore_Sales[[#This Row],[Quantity]]</f>
        <v>16822.64</v>
      </c>
      <c r="AA588" s="3">
        <f>Superstore_Sales[[#This Row],[TotalSales]]*Superstore_Sales[[#This Row],[Discount]]/100</f>
        <v>25.233959999999996</v>
      </c>
      <c r="AB588" s="2">
        <f>Superstore_Sales[[#This Row],[TotalSales]]-Superstore_Sales[[#This Row],[Dis_amt]]-Superstore_Sales[[#This Row],[Shipping Cost]]</f>
        <v>16551.23604</v>
      </c>
    </row>
    <row r="589" spans="1:28" x14ac:dyDescent="0.35">
      <c r="A589">
        <v>11633</v>
      </c>
      <c r="B589" t="s">
        <v>2959</v>
      </c>
      <c r="C589" s="1">
        <v>41216</v>
      </c>
      <c r="D589" s="1">
        <v>41218</v>
      </c>
      <c r="E589">
        <f>Superstore_Sales[[#This Row],[Ship Date]]-Superstore_Sales[[#This Row],[Order Date]]</f>
        <v>2</v>
      </c>
      <c r="F589" t="s">
        <v>40</v>
      </c>
      <c r="G589" t="s">
        <v>2960</v>
      </c>
      <c r="H589" t="s">
        <v>2961</v>
      </c>
      <c r="I589" t="s">
        <v>43</v>
      </c>
      <c r="K589" t="s">
        <v>2962</v>
      </c>
      <c r="L589" t="s">
        <v>154</v>
      </c>
      <c r="M589" t="s">
        <v>155</v>
      </c>
      <c r="N589" t="s">
        <v>68</v>
      </c>
      <c r="O589" t="s">
        <v>69</v>
      </c>
      <c r="P589" t="s">
        <v>2963</v>
      </c>
      <c r="Q589" t="s">
        <v>35</v>
      </c>
      <c r="R589" t="s">
        <v>275</v>
      </c>
      <c r="S589" t="s">
        <v>2964</v>
      </c>
      <c r="T589">
        <v>820.49</v>
      </c>
      <c r="U589">
        <v>8</v>
      </c>
      <c r="V589">
        <v>0.15</v>
      </c>
      <c r="W589">
        <v>183.29</v>
      </c>
      <c r="X589">
        <v>246.09</v>
      </c>
      <c r="Y589" t="s">
        <v>53</v>
      </c>
      <c r="Z589">
        <f>Superstore_Sales[[#This Row],[Sales]]*Superstore_Sales[[#This Row],[Quantity]]</f>
        <v>6563.92</v>
      </c>
      <c r="AA589" s="3">
        <f>Superstore_Sales[[#This Row],[TotalSales]]*Superstore_Sales[[#This Row],[Discount]]/100</f>
        <v>9.8458799999999993</v>
      </c>
      <c r="AB589" s="2">
        <f>Superstore_Sales[[#This Row],[TotalSales]]-Superstore_Sales[[#This Row],[Dis_amt]]-Superstore_Sales[[#This Row],[Shipping Cost]]</f>
        <v>6307.9841200000001</v>
      </c>
    </row>
    <row r="590" spans="1:28" x14ac:dyDescent="0.35">
      <c r="A590">
        <v>32852</v>
      </c>
      <c r="B590" t="s">
        <v>2965</v>
      </c>
      <c r="C590" s="1">
        <v>42252</v>
      </c>
      <c r="D590" s="1">
        <v>42256</v>
      </c>
      <c r="E590">
        <f>Superstore_Sales[[#This Row],[Ship Date]]-Superstore_Sales[[#This Row],[Order Date]]</f>
        <v>4</v>
      </c>
      <c r="F590" t="s">
        <v>98</v>
      </c>
      <c r="G590" t="s">
        <v>2908</v>
      </c>
      <c r="H590" t="s">
        <v>508</v>
      </c>
      <c r="I590" t="s">
        <v>28</v>
      </c>
      <c r="J590">
        <v>11561</v>
      </c>
      <c r="K590" t="s">
        <v>2966</v>
      </c>
      <c r="L590" t="s">
        <v>248</v>
      </c>
      <c r="M590" t="s">
        <v>31</v>
      </c>
      <c r="N590" t="s">
        <v>249</v>
      </c>
      <c r="O590" t="s">
        <v>33</v>
      </c>
      <c r="P590" t="s">
        <v>2967</v>
      </c>
      <c r="Q590" t="s">
        <v>35</v>
      </c>
      <c r="R590" t="s">
        <v>304</v>
      </c>
      <c r="S590" t="s">
        <v>2968</v>
      </c>
      <c r="T590">
        <v>91.96</v>
      </c>
      <c r="U590">
        <v>4</v>
      </c>
      <c r="V590">
        <v>0</v>
      </c>
      <c r="W590">
        <v>39.54</v>
      </c>
      <c r="X590">
        <v>6.44</v>
      </c>
      <c r="Y590" t="s">
        <v>61</v>
      </c>
      <c r="Z590">
        <f>Superstore_Sales[[#This Row],[Sales]]*Superstore_Sales[[#This Row],[Quantity]]</f>
        <v>367.84</v>
      </c>
      <c r="AA590" s="3">
        <f>Superstore_Sales[[#This Row],[TotalSales]]*Superstore_Sales[[#This Row],[Discount]]/100</f>
        <v>0</v>
      </c>
      <c r="AB590" s="2">
        <f>Superstore_Sales[[#This Row],[TotalSales]]-Superstore_Sales[[#This Row],[Dis_amt]]-Superstore_Sales[[#This Row],[Shipping Cost]]</f>
        <v>361.4</v>
      </c>
    </row>
    <row r="591" spans="1:28" x14ac:dyDescent="0.35">
      <c r="A591">
        <v>50937</v>
      </c>
      <c r="B591" t="s">
        <v>2969</v>
      </c>
      <c r="C591" s="1">
        <v>41906</v>
      </c>
      <c r="D591" s="1">
        <v>41906</v>
      </c>
      <c r="E591">
        <f>Superstore_Sales[[#This Row],[Ship Date]]-Superstore_Sales[[#This Row],[Order Date]]</f>
        <v>0</v>
      </c>
      <c r="F591" t="s">
        <v>73</v>
      </c>
      <c r="G591" t="s">
        <v>2970</v>
      </c>
      <c r="H591" t="s">
        <v>2971</v>
      </c>
      <c r="I591" t="s">
        <v>43</v>
      </c>
      <c r="K591" t="s">
        <v>2972</v>
      </c>
      <c r="L591" t="s">
        <v>2973</v>
      </c>
      <c r="M591" t="s">
        <v>185</v>
      </c>
      <c r="N591" t="s">
        <v>186</v>
      </c>
      <c r="O591" t="s">
        <v>79</v>
      </c>
      <c r="P591" t="s">
        <v>2974</v>
      </c>
      <c r="Q591" t="s">
        <v>147</v>
      </c>
      <c r="R591" t="s">
        <v>148</v>
      </c>
      <c r="S591" t="s">
        <v>2975</v>
      </c>
      <c r="T591">
        <v>553.44000000000005</v>
      </c>
      <c r="U591">
        <v>8</v>
      </c>
      <c r="V591">
        <v>0</v>
      </c>
      <c r="W591">
        <v>16.559999999999999</v>
      </c>
      <c r="X591">
        <v>246.05</v>
      </c>
      <c r="Y591" t="s">
        <v>53</v>
      </c>
      <c r="Z591">
        <f>Superstore_Sales[[#This Row],[Sales]]*Superstore_Sales[[#This Row],[Quantity]]</f>
        <v>4427.5200000000004</v>
      </c>
      <c r="AA591" s="3">
        <f>Superstore_Sales[[#This Row],[TotalSales]]*Superstore_Sales[[#This Row],[Discount]]/100</f>
        <v>0</v>
      </c>
      <c r="AB591" s="2">
        <f>Superstore_Sales[[#This Row],[TotalSales]]-Superstore_Sales[[#This Row],[Dis_amt]]-Superstore_Sales[[#This Row],[Shipping Cost]]</f>
        <v>4181.47</v>
      </c>
    </row>
    <row r="592" spans="1:28" x14ac:dyDescent="0.35">
      <c r="A592">
        <v>23360</v>
      </c>
      <c r="B592" t="s">
        <v>2976</v>
      </c>
      <c r="C592" s="1">
        <v>41081</v>
      </c>
      <c r="D592" s="1">
        <v>41086</v>
      </c>
      <c r="E592">
        <f>Superstore_Sales[[#This Row],[Ship Date]]-Superstore_Sales[[#This Row],[Order Date]]</f>
        <v>5</v>
      </c>
      <c r="F592" t="s">
        <v>98</v>
      </c>
      <c r="G592" t="s">
        <v>2977</v>
      </c>
      <c r="H592" t="s">
        <v>2978</v>
      </c>
      <c r="I592" t="s">
        <v>28</v>
      </c>
      <c r="K592" t="s">
        <v>286</v>
      </c>
      <c r="L592" t="s">
        <v>58</v>
      </c>
      <c r="M592" t="s">
        <v>46</v>
      </c>
      <c r="N592" t="s">
        <v>47</v>
      </c>
      <c r="O592" t="s">
        <v>48</v>
      </c>
      <c r="P592" t="s">
        <v>1394</v>
      </c>
      <c r="Q592" t="s">
        <v>35</v>
      </c>
      <c r="R592" t="s">
        <v>81</v>
      </c>
      <c r="S592" t="s">
        <v>1395</v>
      </c>
      <c r="T592">
        <v>1718.17</v>
      </c>
      <c r="U592">
        <v>6</v>
      </c>
      <c r="V592">
        <v>0.1</v>
      </c>
      <c r="W592">
        <v>610.80999999999995</v>
      </c>
      <c r="X592">
        <v>246.05</v>
      </c>
      <c r="Y592" t="s">
        <v>38</v>
      </c>
      <c r="Z592">
        <f>Superstore_Sales[[#This Row],[Sales]]*Superstore_Sales[[#This Row],[Quantity]]</f>
        <v>10309.02</v>
      </c>
      <c r="AA592" s="3">
        <f>Superstore_Sales[[#This Row],[TotalSales]]*Superstore_Sales[[#This Row],[Discount]]/100</f>
        <v>10.30902</v>
      </c>
      <c r="AB592" s="2">
        <f>Superstore_Sales[[#This Row],[TotalSales]]-Superstore_Sales[[#This Row],[Dis_amt]]-Superstore_Sales[[#This Row],[Shipping Cost]]</f>
        <v>10052.660980000001</v>
      </c>
    </row>
    <row r="593" spans="1:28" x14ac:dyDescent="0.35">
      <c r="A593">
        <v>10377</v>
      </c>
      <c r="B593" t="s">
        <v>2979</v>
      </c>
      <c r="C593" s="1">
        <v>41516</v>
      </c>
      <c r="D593" s="1">
        <v>41519</v>
      </c>
      <c r="E593">
        <f>Superstore_Sales[[#This Row],[Ship Date]]-Superstore_Sales[[#This Row],[Order Date]]</f>
        <v>3</v>
      </c>
      <c r="F593" t="s">
        <v>40</v>
      </c>
      <c r="G593" t="s">
        <v>2980</v>
      </c>
      <c r="H593" t="s">
        <v>2981</v>
      </c>
      <c r="I593" t="s">
        <v>43</v>
      </c>
      <c r="K593" t="s">
        <v>2982</v>
      </c>
      <c r="L593" t="s">
        <v>662</v>
      </c>
      <c r="M593" t="s">
        <v>67</v>
      </c>
      <c r="N593" t="s">
        <v>68</v>
      </c>
      <c r="O593" t="s">
        <v>69</v>
      </c>
      <c r="P593" t="s">
        <v>2245</v>
      </c>
      <c r="Q593" t="s">
        <v>50</v>
      </c>
      <c r="R593" t="s">
        <v>104</v>
      </c>
      <c r="S593" t="s">
        <v>2246</v>
      </c>
      <c r="T593">
        <v>2794.25</v>
      </c>
      <c r="U593">
        <v>5</v>
      </c>
      <c r="V593">
        <v>0.35</v>
      </c>
      <c r="W593">
        <v>515.75</v>
      </c>
      <c r="X593">
        <v>245.86</v>
      </c>
      <c r="Y593" t="s">
        <v>61</v>
      </c>
      <c r="Z593">
        <f>Superstore_Sales[[#This Row],[Sales]]*Superstore_Sales[[#This Row],[Quantity]]</f>
        <v>13971.25</v>
      </c>
      <c r="AA593" s="3">
        <f>Superstore_Sales[[#This Row],[TotalSales]]*Superstore_Sales[[#This Row],[Discount]]/100</f>
        <v>48.899374999999999</v>
      </c>
      <c r="AB593" s="2">
        <f>Superstore_Sales[[#This Row],[TotalSales]]-Superstore_Sales[[#This Row],[Dis_amt]]-Superstore_Sales[[#This Row],[Shipping Cost]]</f>
        <v>13676.490624999999</v>
      </c>
    </row>
    <row r="594" spans="1:28" x14ac:dyDescent="0.35">
      <c r="A594">
        <v>32896</v>
      </c>
      <c r="B594" t="s">
        <v>2983</v>
      </c>
      <c r="C594" s="1">
        <v>42328</v>
      </c>
      <c r="D594" s="1">
        <v>42330</v>
      </c>
      <c r="E594">
        <f>Superstore_Sales[[#This Row],[Ship Date]]-Superstore_Sales[[#This Row],[Order Date]]</f>
        <v>2</v>
      </c>
      <c r="F594" t="s">
        <v>40</v>
      </c>
      <c r="G594" t="s">
        <v>2984</v>
      </c>
      <c r="H594" t="s">
        <v>508</v>
      </c>
      <c r="I594" t="s">
        <v>28</v>
      </c>
      <c r="J594">
        <v>75007</v>
      </c>
      <c r="K594" t="s">
        <v>2985</v>
      </c>
      <c r="L594" t="s">
        <v>160</v>
      </c>
      <c r="M594" t="s">
        <v>31</v>
      </c>
      <c r="N594" t="s">
        <v>32</v>
      </c>
      <c r="O594" t="s">
        <v>33</v>
      </c>
      <c r="P594" t="s">
        <v>2986</v>
      </c>
      <c r="Q594" t="s">
        <v>147</v>
      </c>
      <c r="R594" t="s">
        <v>431</v>
      </c>
      <c r="S594" t="s">
        <v>2987</v>
      </c>
      <c r="T594">
        <v>99.14</v>
      </c>
      <c r="U594">
        <v>4</v>
      </c>
      <c r="V594">
        <v>0.2</v>
      </c>
      <c r="W594">
        <v>8.67</v>
      </c>
      <c r="X594">
        <v>4.3099999999999996</v>
      </c>
      <c r="Y594" t="s">
        <v>61</v>
      </c>
      <c r="Z594">
        <f>Superstore_Sales[[#This Row],[Sales]]*Superstore_Sales[[#This Row],[Quantity]]</f>
        <v>396.56</v>
      </c>
      <c r="AA594" s="3">
        <f>Superstore_Sales[[#This Row],[TotalSales]]*Superstore_Sales[[#This Row],[Discount]]/100</f>
        <v>0.79312000000000016</v>
      </c>
      <c r="AB594" s="2">
        <f>Superstore_Sales[[#This Row],[TotalSales]]-Superstore_Sales[[#This Row],[Dis_amt]]-Superstore_Sales[[#This Row],[Shipping Cost]]</f>
        <v>391.45688000000001</v>
      </c>
    </row>
    <row r="595" spans="1:28" x14ac:dyDescent="0.35">
      <c r="A595">
        <v>25965</v>
      </c>
      <c r="B595" t="s">
        <v>2988</v>
      </c>
      <c r="C595" s="1">
        <v>41626</v>
      </c>
      <c r="D595" s="1">
        <v>41630</v>
      </c>
      <c r="E595">
        <f>Superstore_Sales[[#This Row],[Ship Date]]-Superstore_Sales[[#This Row],[Order Date]]</f>
        <v>4</v>
      </c>
      <c r="F595" t="s">
        <v>40</v>
      </c>
      <c r="G595" t="s">
        <v>2989</v>
      </c>
      <c r="H595" t="s">
        <v>1664</v>
      </c>
      <c r="I595" t="s">
        <v>28</v>
      </c>
      <c r="K595" t="s">
        <v>2990</v>
      </c>
      <c r="L595" t="s">
        <v>824</v>
      </c>
      <c r="M595" t="s">
        <v>144</v>
      </c>
      <c r="N595" t="s">
        <v>145</v>
      </c>
      <c r="O595" t="s">
        <v>48</v>
      </c>
      <c r="P595" t="s">
        <v>510</v>
      </c>
      <c r="Q595" t="s">
        <v>35</v>
      </c>
      <c r="R595" t="s">
        <v>36</v>
      </c>
      <c r="S595" t="s">
        <v>511</v>
      </c>
      <c r="T595">
        <v>1274.7</v>
      </c>
      <c r="U595">
        <v>2</v>
      </c>
      <c r="V595">
        <v>0</v>
      </c>
      <c r="W595">
        <v>165.66</v>
      </c>
      <c r="X595">
        <v>245.57</v>
      </c>
      <c r="Y595" t="s">
        <v>38</v>
      </c>
      <c r="Z595">
        <f>Superstore_Sales[[#This Row],[Sales]]*Superstore_Sales[[#This Row],[Quantity]]</f>
        <v>2549.4</v>
      </c>
      <c r="AA595" s="3">
        <f>Superstore_Sales[[#This Row],[TotalSales]]*Superstore_Sales[[#This Row],[Discount]]/100</f>
        <v>0</v>
      </c>
      <c r="AB595" s="2">
        <f>Superstore_Sales[[#This Row],[TotalSales]]-Superstore_Sales[[#This Row],[Dis_amt]]-Superstore_Sales[[#This Row],[Shipping Cost]]</f>
        <v>2303.83</v>
      </c>
    </row>
    <row r="596" spans="1:28" x14ac:dyDescent="0.35">
      <c r="A596">
        <v>44891</v>
      </c>
      <c r="B596" t="s">
        <v>2991</v>
      </c>
      <c r="C596" s="1">
        <v>41907</v>
      </c>
      <c r="D596" s="1">
        <v>41913</v>
      </c>
      <c r="E596">
        <f>Superstore_Sales[[#This Row],[Ship Date]]-Superstore_Sales[[#This Row],[Order Date]]</f>
        <v>6</v>
      </c>
      <c r="F596" t="s">
        <v>98</v>
      </c>
      <c r="G596" t="s">
        <v>2992</v>
      </c>
      <c r="H596" t="s">
        <v>2993</v>
      </c>
      <c r="I596" t="s">
        <v>43</v>
      </c>
      <c r="K596" t="s">
        <v>2994</v>
      </c>
      <c r="L596" t="s">
        <v>2995</v>
      </c>
      <c r="M596" t="s">
        <v>553</v>
      </c>
      <c r="N596" t="s">
        <v>554</v>
      </c>
      <c r="O596" t="s">
        <v>79</v>
      </c>
      <c r="P596" t="s">
        <v>792</v>
      </c>
      <c r="Q596" t="s">
        <v>35</v>
      </c>
      <c r="R596" t="s">
        <v>304</v>
      </c>
      <c r="S596" t="s">
        <v>793</v>
      </c>
      <c r="T596">
        <v>1553.76</v>
      </c>
      <c r="U596">
        <v>6</v>
      </c>
      <c r="V596">
        <v>0</v>
      </c>
      <c r="W596">
        <v>730.26</v>
      </c>
      <c r="X596">
        <v>245.57</v>
      </c>
      <c r="Y596" t="s">
        <v>164</v>
      </c>
      <c r="Z596">
        <f>Superstore_Sales[[#This Row],[Sales]]*Superstore_Sales[[#This Row],[Quantity]]</f>
        <v>9322.56</v>
      </c>
      <c r="AA596" s="3">
        <f>Superstore_Sales[[#This Row],[TotalSales]]*Superstore_Sales[[#This Row],[Discount]]/100</f>
        <v>0</v>
      </c>
      <c r="AB596" s="2">
        <f>Superstore_Sales[[#This Row],[TotalSales]]-Superstore_Sales[[#This Row],[Dis_amt]]-Superstore_Sales[[#This Row],[Shipping Cost]]</f>
        <v>9076.99</v>
      </c>
    </row>
    <row r="597" spans="1:28" x14ac:dyDescent="0.35">
      <c r="A597">
        <v>7046</v>
      </c>
      <c r="B597" t="s">
        <v>2996</v>
      </c>
      <c r="C597" s="1">
        <v>42087</v>
      </c>
      <c r="D597" s="1">
        <v>42091</v>
      </c>
      <c r="E597">
        <f>Superstore_Sales[[#This Row],[Ship Date]]-Superstore_Sales[[#This Row],[Order Date]]</f>
        <v>4</v>
      </c>
      <c r="F597" t="s">
        <v>98</v>
      </c>
      <c r="G597" t="s">
        <v>2997</v>
      </c>
      <c r="H597" t="s">
        <v>618</v>
      </c>
      <c r="I597" t="s">
        <v>28</v>
      </c>
      <c r="K597" t="s">
        <v>217</v>
      </c>
      <c r="L597" t="s">
        <v>218</v>
      </c>
      <c r="M597" t="s">
        <v>219</v>
      </c>
      <c r="N597" t="s">
        <v>220</v>
      </c>
      <c r="O597" t="s">
        <v>136</v>
      </c>
      <c r="P597" t="s">
        <v>1710</v>
      </c>
      <c r="Q597" t="s">
        <v>50</v>
      </c>
      <c r="R597" t="s">
        <v>104</v>
      </c>
      <c r="S597" t="s">
        <v>1711</v>
      </c>
      <c r="T597">
        <v>2205.5700000000002</v>
      </c>
      <c r="U597">
        <v>8</v>
      </c>
      <c r="V597">
        <v>0.2</v>
      </c>
      <c r="W597">
        <v>689.09</v>
      </c>
      <c r="X597">
        <v>245.06700000000001</v>
      </c>
      <c r="Y597" t="s">
        <v>38</v>
      </c>
      <c r="Z597">
        <f>Superstore_Sales[[#This Row],[Sales]]*Superstore_Sales[[#This Row],[Quantity]]</f>
        <v>17644.560000000001</v>
      </c>
      <c r="AA597" s="3">
        <f>Superstore_Sales[[#This Row],[TotalSales]]*Superstore_Sales[[#This Row],[Discount]]/100</f>
        <v>35.289120000000004</v>
      </c>
      <c r="AB597" s="2">
        <f>Superstore_Sales[[#This Row],[TotalSales]]-Superstore_Sales[[#This Row],[Dis_amt]]-Superstore_Sales[[#This Row],[Shipping Cost]]</f>
        <v>17364.203880000001</v>
      </c>
    </row>
    <row r="598" spans="1:28" x14ac:dyDescent="0.35">
      <c r="A598">
        <v>36410</v>
      </c>
      <c r="B598" t="s">
        <v>2998</v>
      </c>
      <c r="C598" s="1">
        <v>41670</v>
      </c>
      <c r="D598" s="1">
        <v>41672</v>
      </c>
      <c r="E598">
        <f>Superstore_Sales[[#This Row],[Ship Date]]-Superstore_Sales[[#This Row],[Order Date]]</f>
        <v>2</v>
      </c>
      <c r="F598" t="s">
        <v>40</v>
      </c>
      <c r="G598" t="s">
        <v>2984</v>
      </c>
      <c r="H598" t="s">
        <v>508</v>
      </c>
      <c r="I598" t="s">
        <v>28</v>
      </c>
      <c r="J598">
        <v>75220</v>
      </c>
      <c r="K598" t="s">
        <v>2844</v>
      </c>
      <c r="L598" t="s">
        <v>160</v>
      </c>
      <c r="M598" t="s">
        <v>31</v>
      </c>
      <c r="N598" t="s">
        <v>32</v>
      </c>
      <c r="O598" t="s">
        <v>33</v>
      </c>
      <c r="P598" t="s">
        <v>2999</v>
      </c>
      <c r="Q598" t="s">
        <v>147</v>
      </c>
      <c r="R598" t="s">
        <v>672</v>
      </c>
      <c r="S598" t="s">
        <v>3000</v>
      </c>
      <c r="T598">
        <v>15.55</v>
      </c>
      <c r="U598">
        <v>3</v>
      </c>
      <c r="V598">
        <v>0.2</v>
      </c>
      <c r="W598">
        <v>5.44</v>
      </c>
      <c r="X598">
        <v>3.66</v>
      </c>
      <c r="Y598" t="s">
        <v>53</v>
      </c>
      <c r="Z598">
        <f>Superstore_Sales[[#This Row],[Sales]]*Superstore_Sales[[#This Row],[Quantity]]</f>
        <v>46.650000000000006</v>
      </c>
      <c r="AA598" s="3">
        <f>Superstore_Sales[[#This Row],[TotalSales]]*Superstore_Sales[[#This Row],[Discount]]/100</f>
        <v>9.3300000000000022E-2</v>
      </c>
      <c r="AB598" s="2">
        <f>Superstore_Sales[[#This Row],[TotalSales]]-Superstore_Sales[[#This Row],[Dis_amt]]-Superstore_Sales[[#This Row],[Shipping Cost]]</f>
        <v>42.89670000000001</v>
      </c>
    </row>
    <row r="599" spans="1:28" x14ac:dyDescent="0.35">
      <c r="A599">
        <v>10408</v>
      </c>
      <c r="B599" t="s">
        <v>3001</v>
      </c>
      <c r="C599" s="1">
        <v>41245</v>
      </c>
      <c r="D599" s="1">
        <v>41245</v>
      </c>
      <c r="E599">
        <f>Superstore_Sales[[#This Row],[Ship Date]]-Superstore_Sales[[#This Row],[Order Date]]</f>
        <v>0</v>
      </c>
      <c r="F599" t="s">
        <v>73</v>
      </c>
      <c r="G599" t="s">
        <v>3002</v>
      </c>
      <c r="H599" t="s">
        <v>3003</v>
      </c>
      <c r="I599" t="s">
        <v>43</v>
      </c>
      <c r="K599" t="s">
        <v>891</v>
      </c>
      <c r="L599" t="s">
        <v>891</v>
      </c>
      <c r="M599" t="s">
        <v>67</v>
      </c>
      <c r="N599" t="s">
        <v>68</v>
      </c>
      <c r="O599" t="s">
        <v>69</v>
      </c>
      <c r="P599" t="s">
        <v>328</v>
      </c>
      <c r="Q599" t="s">
        <v>35</v>
      </c>
      <c r="R599" t="s">
        <v>36</v>
      </c>
      <c r="S599" t="s">
        <v>329</v>
      </c>
      <c r="T599">
        <v>3227.7</v>
      </c>
      <c r="U599">
        <v>5</v>
      </c>
      <c r="V599">
        <v>0</v>
      </c>
      <c r="W599">
        <v>742.35</v>
      </c>
      <c r="X599">
        <v>244.67</v>
      </c>
      <c r="Y599" t="s">
        <v>61</v>
      </c>
      <c r="Z599">
        <f>Superstore_Sales[[#This Row],[Sales]]*Superstore_Sales[[#This Row],[Quantity]]</f>
        <v>16138.5</v>
      </c>
      <c r="AA599" s="3">
        <f>Superstore_Sales[[#This Row],[TotalSales]]*Superstore_Sales[[#This Row],[Discount]]/100</f>
        <v>0</v>
      </c>
      <c r="AB599" s="2">
        <f>Superstore_Sales[[#This Row],[TotalSales]]-Superstore_Sales[[#This Row],[Dis_amt]]-Superstore_Sales[[#This Row],[Shipping Cost]]</f>
        <v>15893.83</v>
      </c>
    </row>
    <row r="600" spans="1:28" x14ac:dyDescent="0.35">
      <c r="A600">
        <v>21019</v>
      </c>
      <c r="B600" t="s">
        <v>3004</v>
      </c>
      <c r="C600" s="1">
        <v>42152</v>
      </c>
      <c r="D600" s="1">
        <v>42156</v>
      </c>
      <c r="E600">
        <f>Superstore_Sales[[#This Row],[Ship Date]]-Superstore_Sales[[#This Row],[Order Date]]</f>
        <v>4</v>
      </c>
      <c r="F600" t="s">
        <v>98</v>
      </c>
      <c r="G600" t="s">
        <v>3005</v>
      </c>
      <c r="H600" t="s">
        <v>1065</v>
      </c>
      <c r="I600" t="s">
        <v>65</v>
      </c>
      <c r="K600" t="s">
        <v>3006</v>
      </c>
      <c r="L600" t="s">
        <v>1852</v>
      </c>
      <c r="M600" t="s">
        <v>258</v>
      </c>
      <c r="N600" t="s">
        <v>118</v>
      </c>
      <c r="O600" t="s">
        <v>48</v>
      </c>
      <c r="P600" t="s">
        <v>359</v>
      </c>
      <c r="Q600" t="s">
        <v>50</v>
      </c>
      <c r="R600" t="s">
        <v>51</v>
      </c>
      <c r="S600" t="s">
        <v>360</v>
      </c>
      <c r="T600">
        <v>1395</v>
      </c>
      <c r="U600">
        <v>3</v>
      </c>
      <c r="V600">
        <v>0</v>
      </c>
      <c r="W600">
        <v>237.15</v>
      </c>
      <c r="X600">
        <v>244.5</v>
      </c>
      <c r="Y600" t="s">
        <v>38</v>
      </c>
      <c r="Z600">
        <f>Superstore_Sales[[#This Row],[Sales]]*Superstore_Sales[[#This Row],[Quantity]]</f>
        <v>4185</v>
      </c>
      <c r="AA600" s="3">
        <f>Superstore_Sales[[#This Row],[TotalSales]]*Superstore_Sales[[#This Row],[Discount]]/100</f>
        <v>0</v>
      </c>
      <c r="AB600" s="2">
        <f>Superstore_Sales[[#This Row],[TotalSales]]-Superstore_Sales[[#This Row],[Dis_amt]]-Superstore_Sales[[#This Row],[Shipping Cost]]</f>
        <v>3940.5</v>
      </c>
    </row>
    <row r="601" spans="1:28" x14ac:dyDescent="0.35">
      <c r="A601">
        <v>12827</v>
      </c>
      <c r="B601" t="s">
        <v>3007</v>
      </c>
      <c r="C601" s="1">
        <v>42169</v>
      </c>
      <c r="D601" s="1">
        <v>42172</v>
      </c>
      <c r="E601">
        <f>Superstore_Sales[[#This Row],[Ship Date]]-Superstore_Sales[[#This Row],[Order Date]]</f>
        <v>3</v>
      </c>
      <c r="F601" t="s">
        <v>40</v>
      </c>
      <c r="G601" t="s">
        <v>3008</v>
      </c>
      <c r="H601" t="s">
        <v>2449</v>
      </c>
      <c r="I601" t="s">
        <v>28</v>
      </c>
      <c r="K601" t="s">
        <v>3009</v>
      </c>
      <c r="L601" t="s">
        <v>527</v>
      </c>
      <c r="M601" t="s">
        <v>67</v>
      </c>
      <c r="N601" t="s">
        <v>68</v>
      </c>
      <c r="O601" t="s">
        <v>69</v>
      </c>
      <c r="P601" t="s">
        <v>3010</v>
      </c>
      <c r="Q601" t="s">
        <v>50</v>
      </c>
      <c r="R601" t="s">
        <v>104</v>
      </c>
      <c r="S601" t="s">
        <v>3011</v>
      </c>
      <c r="T601">
        <v>2291.84</v>
      </c>
      <c r="U601">
        <v>7</v>
      </c>
      <c r="V601">
        <v>0.35</v>
      </c>
      <c r="W601">
        <v>-1128.44</v>
      </c>
      <c r="X601">
        <v>244.3</v>
      </c>
      <c r="Y601" t="s">
        <v>38</v>
      </c>
      <c r="Z601">
        <f>Superstore_Sales[[#This Row],[Sales]]*Superstore_Sales[[#This Row],[Quantity]]</f>
        <v>16042.880000000001</v>
      </c>
      <c r="AA601" s="3">
        <f>Superstore_Sales[[#This Row],[TotalSales]]*Superstore_Sales[[#This Row],[Discount]]/100</f>
        <v>56.150079999999996</v>
      </c>
      <c r="AB601" s="2">
        <f>Superstore_Sales[[#This Row],[TotalSales]]-Superstore_Sales[[#This Row],[Dis_amt]]-Superstore_Sales[[#This Row],[Shipping Cost]]</f>
        <v>15742.429920000002</v>
      </c>
    </row>
    <row r="602" spans="1:28" x14ac:dyDescent="0.35">
      <c r="A602">
        <v>41965</v>
      </c>
      <c r="B602" t="s">
        <v>3012</v>
      </c>
      <c r="C602" s="1">
        <v>41224</v>
      </c>
      <c r="D602" s="1">
        <v>41228</v>
      </c>
      <c r="E602">
        <f>Superstore_Sales[[#This Row],[Ship Date]]-Superstore_Sales[[#This Row],[Order Date]]</f>
        <v>4</v>
      </c>
      <c r="F602" t="s">
        <v>98</v>
      </c>
      <c r="G602" t="s">
        <v>3013</v>
      </c>
      <c r="H602" t="s">
        <v>3014</v>
      </c>
      <c r="I602" t="s">
        <v>28</v>
      </c>
      <c r="K602" t="s">
        <v>3015</v>
      </c>
      <c r="L602" t="s">
        <v>3016</v>
      </c>
      <c r="M602" t="s">
        <v>3017</v>
      </c>
      <c r="N602" t="s">
        <v>294</v>
      </c>
      <c r="O602" t="s">
        <v>79</v>
      </c>
      <c r="P602" t="s">
        <v>3018</v>
      </c>
      <c r="Q602" t="s">
        <v>50</v>
      </c>
      <c r="R602" t="s">
        <v>336</v>
      </c>
      <c r="S602" t="s">
        <v>3019</v>
      </c>
      <c r="T602">
        <v>1660.8</v>
      </c>
      <c r="U602">
        <v>4</v>
      </c>
      <c r="V602">
        <v>0</v>
      </c>
      <c r="W602">
        <v>83.04</v>
      </c>
      <c r="X602">
        <v>244.07</v>
      </c>
      <c r="Y602" t="s">
        <v>38</v>
      </c>
      <c r="Z602">
        <f>Superstore_Sales[[#This Row],[Sales]]*Superstore_Sales[[#This Row],[Quantity]]</f>
        <v>6643.2</v>
      </c>
      <c r="AA602" s="3">
        <f>Superstore_Sales[[#This Row],[TotalSales]]*Superstore_Sales[[#This Row],[Discount]]/100</f>
        <v>0</v>
      </c>
      <c r="AB602" s="2">
        <f>Superstore_Sales[[#This Row],[TotalSales]]-Superstore_Sales[[#This Row],[Dis_amt]]-Superstore_Sales[[#This Row],[Shipping Cost]]</f>
        <v>6399.13</v>
      </c>
    </row>
    <row r="603" spans="1:28" x14ac:dyDescent="0.35">
      <c r="A603">
        <v>22056</v>
      </c>
      <c r="B603" t="s">
        <v>3020</v>
      </c>
      <c r="C603" s="1">
        <v>41790</v>
      </c>
      <c r="D603" s="1">
        <v>41795</v>
      </c>
      <c r="E603">
        <f>Superstore_Sales[[#This Row],[Ship Date]]-Superstore_Sales[[#This Row],[Order Date]]</f>
        <v>5</v>
      </c>
      <c r="F603" t="s">
        <v>98</v>
      </c>
      <c r="G603" t="s">
        <v>1823</v>
      </c>
      <c r="H603" t="s">
        <v>332</v>
      </c>
      <c r="I603" t="s">
        <v>43</v>
      </c>
      <c r="K603" t="s">
        <v>3021</v>
      </c>
      <c r="L603" t="s">
        <v>1077</v>
      </c>
      <c r="M603" t="s">
        <v>144</v>
      </c>
      <c r="N603" t="s">
        <v>145</v>
      </c>
      <c r="O603" t="s">
        <v>48</v>
      </c>
      <c r="P603" t="s">
        <v>3022</v>
      </c>
      <c r="Q603" t="s">
        <v>50</v>
      </c>
      <c r="R603" t="s">
        <v>104</v>
      </c>
      <c r="S603" t="s">
        <v>3023</v>
      </c>
      <c r="T603">
        <v>2436.67</v>
      </c>
      <c r="U603">
        <v>4</v>
      </c>
      <c r="V603">
        <v>0.3</v>
      </c>
      <c r="W603">
        <v>-487.37</v>
      </c>
      <c r="X603">
        <v>244.03</v>
      </c>
      <c r="Y603" t="s">
        <v>38</v>
      </c>
      <c r="Z603">
        <f>Superstore_Sales[[#This Row],[Sales]]*Superstore_Sales[[#This Row],[Quantity]]</f>
        <v>9746.68</v>
      </c>
      <c r="AA603" s="3">
        <f>Superstore_Sales[[#This Row],[TotalSales]]*Superstore_Sales[[#This Row],[Discount]]/100</f>
        <v>29.24004</v>
      </c>
      <c r="AB603" s="2">
        <f>Superstore_Sales[[#This Row],[TotalSales]]-Superstore_Sales[[#This Row],[Dis_amt]]-Superstore_Sales[[#This Row],[Shipping Cost]]</f>
        <v>9473.409959999999</v>
      </c>
    </row>
    <row r="604" spans="1:28" x14ac:dyDescent="0.35">
      <c r="A604">
        <v>41450</v>
      </c>
      <c r="B604" t="s">
        <v>3024</v>
      </c>
      <c r="C604" s="1">
        <v>41137</v>
      </c>
      <c r="D604" s="1">
        <v>41139</v>
      </c>
      <c r="E604">
        <f>Superstore_Sales[[#This Row],[Ship Date]]-Superstore_Sales[[#This Row],[Order Date]]</f>
        <v>2</v>
      </c>
      <c r="F604" t="s">
        <v>25</v>
      </c>
      <c r="G604" t="s">
        <v>3025</v>
      </c>
      <c r="H604" t="s">
        <v>1804</v>
      </c>
      <c r="I604" t="s">
        <v>43</v>
      </c>
      <c r="K604" t="s">
        <v>3026</v>
      </c>
      <c r="L604" t="s">
        <v>3026</v>
      </c>
      <c r="M604" t="s">
        <v>1180</v>
      </c>
      <c r="N604" t="s">
        <v>195</v>
      </c>
      <c r="O604" t="s">
        <v>69</v>
      </c>
      <c r="P604" t="s">
        <v>3027</v>
      </c>
      <c r="Q604" t="s">
        <v>50</v>
      </c>
      <c r="R604" t="s">
        <v>51</v>
      </c>
      <c r="S604" t="s">
        <v>3028</v>
      </c>
      <c r="T604">
        <v>954.6</v>
      </c>
      <c r="U604">
        <v>10</v>
      </c>
      <c r="V604">
        <v>0</v>
      </c>
      <c r="W604">
        <v>152.69999999999999</v>
      </c>
      <c r="X604">
        <v>243.85</v>
      </c>
      <c r="Y604" t="s">
        <v>53</v>
      </c>
      <c r="Z604">
        <f>Superstore_Sales[[#This Row],[Sales]]*Superstore_Sales[[#This Row],[Quantity]]</f>
        <v>9546</v>
      </c>
      <c r="AA604" s="3">
        <f>Superstore_Sales[[#This Row],[TotalSales]]*Superstore_Sales[[#This Row],[Discount]]/100</f>
        <v>0</v>
      </c>
      <c r="AB604" s="2">
        <f>Superstore_Sales[[#This Row],[TotalSales]]-Superstore_Sales[[#This Row],[Dis_amt]]-Superstore_Sales[[#This Row],[Shipping Cost]]</f>
        <v>9302.15</v>
      </c>
    </row>
    <row r="605" spans="1:28" x14ac:dyDescent="0.35">
      <c r="A605">
        <v>6459</v>
      </c>
      <c r="B605" t="s">
        <v>3029</v>
      </c>
      <c r="C605" s="1">
        <v>41339</v>
      </c>
      <c r="D605" s="1">
        <v>41344</v>
      </c>
      <c r="E605">
        <f>Superstore_Sales[[#This Row],[Ship Date]]-Superstore_Sales[[#This Row],[Order Date]]</f>
        <v>5</v>
      </c>
      <c r="F605" t="s">
        <v>98</v>
      </c>
      <c r="G605" t="s">
        <v>3030</v>
      </c>
      <c r="H605" t="s">
        <v>3031</v>
      </c>
      <c r="I605" t="s">
        <v>28</v>
      </c>
      <c r="K605" t="s">
        <v>1665</v>
      </c>
      <c r="L605" t="s">
        <v>227</v>
      </c>
      <c r="M605" t="s">
        <v>228</v>
      </c>
      <c r="N605" t="s">
        <v>220</v>
      </c>
      <c r="O605" t="s">
        <v>136</v>
      </c>
      <c r="P605" t="s">
        <v>1066</v>
      </c>
      <c r="Q605" t="s">
        <v>147</v>
      </c>
      <c r="R605" t="s">
        <v>148</v>
      </c>
      <c r="S605" t="s">
        <v>1067</v>
      </c>
      <c r="T605">
        <v>1903</v>
      </c>
      <c r="U605">
        <v>5</v>
      </c>
      <c r="V605">
        <v>0</v>
      </c>
      <c r="W605">
        <v>57</v>
      </c>
      <c r="X605">
        <v>243.79300000000001</v>
      </c>
      <c r="Y605" t="s">
        <v>38</v>
      </c>
      <c r="Z605">
        <f>Superstore_Sales[[#This Row],[Sales]]*Superstore_Sales[[#This Row],[Quantity]]</f>
        <v>9515</v>
      </c>
      <c r="AA605" s="3">
        <f>Superstore_Sales[[#This Row],[TotalSales]]*Superstore_Sales[[#This Row],[Discount]]/100</f>
        <v>0</v>
      </c>
      <c r="AB605" s="2">
        <f>Superstore_Sales[[#This Row],[TotalSales]]-Superstore_Sales[[#This Row],[Dis_amt]]-Superstore_Sales[[#This Row],[Shipping Cost]]</f>
        <v>9271.2070000000003</v>
      </c>
    </row>
    <row r="606" spans="1:28" x14ac:dyDescent="0.35">
      <c r="A606">
        <v>13340</v>
      </c>
      <c r="B606" t="s">
        <v>3032</v>
      </c>
      <c r="C606" s="1">
        <v>42222</v>
      </c>
      <c r="D606" s="1">
        <v>42222</v>
      </c>
      <c r="E606">
        <f>Superstore_Sales[[#This Row],[Ship Date]]-Superstore_Sales[[#This Row],[Order Date]]</f>
        <v>0</v>
      </c>
      <c r="F606" t="s">
        <v>73</v>
      </c>
      <c r="G606" t="s">
        <v>3033</v>
      </c>
      <c r="H606" t="s">
        <v>643</v>
      </c>
      <c r="I606" t="s">
        <v>43</v>
      </c>
      <c r="K606" t="s">
        <v>3034</v>
      </c>
      <c r="L606" t="s">
        <v>3035</v>
      </c>
      <c r="M606" t="s">
        <v>3036</v>
      </c>
      <c r="N606" t="s">
        <v>211</v>
      </c>
      <c r="O606" t="s">
        <v>69</v>
      </c>
      <c r="P606" t="s">
        <v>1394</v>
      </c>
      <c r="Q606" t="s">
        <v>35</v>
      </c>
      <c r="R606" t="s">
        <v>81</v>
      </c>
      <c r="S606" t="s">
        <v>1395</v>
      </c>
      <c r="T606">
        <v>1590.9</v>
      </c>
      <c r="U606">
        <v>5</v>
      </c>
      <c r="V606">
        <v>0</v>
      </c>
      <c r="W606">
        <v>508.95</v>
      </c>
      <c r="X606">
        <v>243.57</v>
      </c>
      <c r="Y606" t="s">
        <v>61</v>
      </c>
      <c r="Z606">
        <f>Superstore_Sales[[#This Row],[Sales]]*Superstore_Sales[[#This Row],[Quantity]]</f>
        <v>7954.5</v>
      </c>
      <c r="AA606" s="3">
        <f>Superstore_Sales[[#This Row],[TotalSales]]*Superstore_Sales[[#This Row],[Discount]]/100</f>
        <v>0</v>
      </c>
      <c r="AB606" s="2">
        <f>Superstore_Sales[[#This Row],[TotalSales]]-Superstore_Sales[[#This Row],[Dis_amt]]-Superstore_Sales[[#This Row],[Shipping Cost]]</f>
        <v>7710.93</v>
      </c>
    </row>
    <row r="607" spans="1:28" x14ac:dyDescent="0.35">
      <c r="A607">
        <v>46906</v>
      </c>
      <c r="B607" t="s">
        <v>3037</v>
      </c>
      <c r="C607" s="1">
        <v>42173</v>
      </c>
      <c r="D607" s="1">
        <v>42176</v>
      </c>
      <c r="E607">
        <f>Superstore_Sales[[#This Row],[Ship Date]]-Superstore_Sales[[#This Row],[Order Date]]</f>
        <v>3</v>
      </c>
      <c r="F607" t="s">
        <v>25</v>
      </c>
      <c r="G607" t="s">
        <v>3038</v>
      </c>
      <c r="H607" t="s">
        <v>3039</v>
      </c>
      <c r="I607" t="s">
        <v>28</v>
      </c>
      <c r="K607" t="s">
        <v>3040</v>
      </c>
      <c r="L607" t="s">
        <v>3041</v>
      </c>
      <c r="M607" t="s">
        <v>2090</v>
      </c>
      <c r="N607" t="s">
        <v>126</v>
      </c>
      <c r="O607" t="s">
        <v>48</v>
      </c>
      <c r="P607" t="s">
        <v>1171</v>
      </c>
      <c r="Q607" t="s">
        <v>50</v>
      </c>
      <c r="R607" t="s">
        <v>336</v>
      </c>
      <c r="S607" t="s">
        <v>1172</v>
      </c>
      <c r="T607">
        <v>1467.36</v>
      </c>
      <c r="U607">
        <v>4</v>
      </c>
      <c r="V607">
        <v>0</v>
      </c>
      <c r="W607">
        <v>469.44</v>
      </c>
      <c r="X607">
        <v>243.14</v>
      </c>
      <c r="Y607" t="s">
        <v>38</v>
      </c>
      <c r="Z607">
        <f>Superstore_Sales[[#This Row],[Sales]]*Superstore_Sales[[#This Row],[Quantity]]</f>
        <v>5869.44</v>
      </c>
      <c r="AA607" s="3">
        <f>Superstore_Sales[[#This Row],[TotalSales]]*Superstore_Sales[[#This Row],[Discount]]/100</f>
        <v>0</v>
      </c>
      <c r="AB607" s="2">
        <f>Superstore_Sales[[#This Row],[TotalSales]]-Superstore_Sales[[#This Row],[Dis_amt]]-Superstore_Sales[[#This Row],[Shipping Cost]]</f>
        <v>5626.2999999999993</v>
      </c>
    </row>
    <row r="608" spans="1:28" x14ac:dyDescent="0.35">
      <c r="A608">
        <v>26535</v>
      </c>
      <c r="B608" t="s">
        <v>3042</v>
      </c>
      <c r="C608" s="1">
        <v>42369</v>
      </c>
      <c r="D608" s="1">
        <v>42370</v>
      </c>
      <c r="E608">
        <f>Superstore_Sales[[#This Row],[Ship Date]]-Superstore_Sales[[#This Row],[Order Date]]</f>
        <v>1</v>
      </c>
      <c r="F608" t="s">
        <v>25</v>
      </c>
      <c r="G608" t="s">
        <v>3043</v>
      </c>
      <c r="H608" t="s">
        <v>3044</v>
      </c>
      <c r="I608" t="s">
        <v>43</v>
      </c>
      <c r="K608" t="s">
        <v>943</v>
      </c>
      <c r="L608" t="s">
        <v>943</v>
      </c>
      <c r="M608" t="s">
        <v>321</v>
      </c>
      <c r="N608" t="s">
        <v>322</v>
      </c>
      <c r="O608" t="s">
        <v>48</v>
      </c>
      <c r="P608" t="s">
        <v>812</v>
      </c>
      <c r="Q608" t="s">
        <v>50</v>
      </c>
      <c r="R608" t="s">
        <v>336</v>
      </c>
      <c r="S608" t="s">
        <v>813</v>
      </c>
      <c r="T608">
        <v>1091.28</v>
      </c>
      <c r="U608">
        <v>3</v>
      </c>
      <c r="V608">
        <v>7.0000000000000007E-2</v>
      </c>
      <c r="W608">
        <v>46.92</v>
      </c>
      <c r="X608">
        <v>243.11</v>
      </c>
      <c r="Y608" t="s">
        <v>38</v>
      </c>
      <c r="Z608">
        <f>Superstore_Sales[[#This Row],[Sales]]*Superstore_Sales[[#This Row],[Quantity]]</f>
        <v>3273.84</v>
      </c>
      <c r="AA608" s="3">
        <f>Superstore_Sales[[#This Row],[TotalSales]]*Superstore_Sales[[#This Row],[Discount]]/100</f>
        <v>2.2916880000000002</v>
      </c>
      <c r="AB608" s="2">
        <f>Superstore_Sales[[#This Row],[TotalSales]]-Superstore_Sales[[#This Row],[Dis_amt]]-Superstore_Sales[[#This Row],[Shipping Cost]]</f>
        <v>3028.4383120000002</v>
      </c>
    </row>
    <row r="609" spans="1:28" x14ac:dyDescent="0.35">
      <c r="A609">
        <v>509</v>
      </c>
      <c r="B609" t="s">
        <v>3045</v>
      </c>
      <c r="C609" s="1">
        <v>41541</v>
      </c>
      <c r="D609" s="1">
        <v>41545</v>
      </c>
      <c r="E609">
        <f>Superstore_Sales[[#This Row],[Ship Date]]-Superstore_Sales[[#This Row],[Order Date]]</f>
        <v>4</v>
      </c>
      <c r="F609" t="s">
        <v>40</v>
      </c>
      <c r="G609" t="s">
        <v>3046</v>
      </c>
      <c r="H609" t="s">
        <v>3047</v>
      </c>
      <c r="I609" t="s">
        <v>65</v>
      </c>
      <c r="K609" t="s">
        <v>1342</v>
      </c>
      <c r="L609" t="s">
        <v>1342</v>
      </c>
      <c r="M609" t="s">
        <v>491</v>
      </c>
      <c r="N609" t="s">
        <v>220</v>
      </c>
      <c r="O609" t="s">
        <v>136</v>
      </c>
      <c r="P609" t="s">
        <v>1791</v>
      </c>
      <c r="Q609" t="s">
        <v>35</v>
      </c>
      <c r="R609" t="s">
        <v>81</v>
      </c>
      <c r="S609" t="s">
        <v>1792</v>
      </c>
      <c r="T609">
        <v>2014.36</v>
      </c>
      <c r="U609">
        <v>8</v>
      </c>
      <c r="V609">
        <v>2E-3</v>
      </c>
      <c r="W609">
        <v>419.8</v>
      </c>
      <c r="X609">
        <v>243.059</v>
      </c>
      <c r="Y609" t="s">
        <v>61</v>
      </c>
      <c r="Z609">
        <f>Superstore_Sales[[#This Row],[Sales]]*Superstore_Sales[[#This Row],[Quantity]]</f>
        <v>16114.88</v>
      </c>
      <c r="AA609" s="3">
        <f>Superstore_Sales[[#This Row],[TotalSales]]*Superstore_Sales[[#This Row],[Discount]]/100</f>
        <v>0.32229759999999996</v>
      </c>
      <c r="AB609" s="2">
        <f>Superstore_Sales[[#This Row],[TotalSales]]-Superstore_Sales[[#This Row],[Dis_amt]]-Superstore_Sales[[#This Row],[Shipping Cost]]</f>
        <v>15871.4987024</v>
      </c>
    </row>
    <row r="610" spans="1:28" x14ac:dyDescent="0.35">
      <c r="A610">
        <v>49790</v>
      </c>
      <c r="B610" t="s">
        <v>3048</v>
      </c>
      <c r="C610" s="1">
        <v>41688</v>
      </c>
      <c r="D610" s="1">
        <v>41693</v>
      </c>
      <c r="E610">
        <f>Superstore_Sales[[#This Row],[Ship Date]]-Superstore_Sales[[#This Row],[Order Date]]</f>
        <v>5</v>
      </c>
      <c r="F610" t="s">
        <v>40</v>
      </c>
      <c r="G610" t="s">
        <v>3049</v>
      </c>
      <c r="H610" t="s">
        <v>1668</v>
      </c>
      <c r="I610" t="s">
        <v>28</v>
      </c>
      <c r="K610" t="s">
        <v>640</v>
      </c>
      <c r="L610" t="s">
        <v>640</v>
      </c>
      <c r="M610" t="s">
        <v>293</v>
      </c>
      <c r="N610" t="s">
        <v>294</v>
      </c>
      <c r="O610" t="s">
        <v>79</v>
      </c>
      <c r="P610" t="s">
        <v>3050</v>
      </c>
      <c r="Q610" t="s">
        <v>50</v>
      </c>
      <c r="R610" t="s">
        <v>104</v>
      </c>
      <c r="S610" t="s">
        <v>3051</v>
      </c>
      <c r="T610">
        <v>3877.68</v>
      </c>
      <c r="U610">
        <v>8</v>
      </c>
      <c r="V610">
        <v>0</v>
      </c>
      <c r="W610">
        <v>930.48</v>
      </c>
      <c r="X610">
        <v>242.9</v>
      </c>
      <c r="Y610" t="s">
        <v>61</v>
      </c>
      <c r="Z610">
        <f>Superstore_Sales[[#This Row],[Sales]]*Superstore_Sales[[#This Row],[Quantity]]</f>
        <v>31021.439999999999</v>
      </c>
      <c r="AA610" s="3">
        <f>Superstore_Sales[[#This Row],[TotalSales]]*Superstore_Sales[[#This Row],[Discount]]/100</f>
        <v>0</v>
      </c>
      <c r="AB610" s="2">
        <f>Superstore_Sales[[#This Row],[TotalSales]]-Superstore_Sales[[#This Row],[Dis_amt]]-Superstore_Sales[[#This Row],[Shipping Cost]]</f>
        <v>30778.539999999997</v>
      </c>
    </row>
    <row r="611" spans="1:28" x14ac:dyDescent="0.35">
      <c r="A611">
        <v>29737</v>
      </c>
      <c r="B611" t="s">
        <v>3052</v>
      </c>
      <c r="C611" s="1">
        <v>42332</v>
      </c>
      <c r="D611" s="1">
        <v>42334</v>
      </c>
      <c r="E611">
        <f>Superstore_Sales[[#This Row],[Ship Date]]-Superstore_Sales[[#This Row],[Order Date]]</f>
        <v>2</v>
      </c>
      <c r="F611" t="s">
        <v>25</v>
      </c>
      <c r="G611" t="s">
        <v>3053</v>
      </c>
      <c r="H611" t="s">
        <v>3054</v>
      </c>
      <c r="I611" t="s">
        <v>43</v>
      </c>
      <c r="K611" t="s">
        <v>644</v>
      </c>
      <c r="L611" t="s">
        <v>417</v>
      </c>
      <c r="M611" t="s">
        <v>46</v>
      </c>
      <c r="N611" t="s">
        <v>47</v>
      </c>
      <c r="O611" t="s">
        <v>48</v>
      </c>
      <c r="P611" t="s">
        <v>516</v>
      </c>
      <c r="Q611" t="s">
        <v>35</v>
      </c>
      <c r="R611" t="s">
        <v>36</v>
      </c>
      <c r="S611" t="s">
        <v>517</v>
      </c>
      <c r="T611">
        <v>2863.35</v>
      </c>
      <c r="U611">
        <v>5</v>
      </c>
      <c r="V611">
        <v>0.1</v>
      </c>
      <c r="W611">
        <v>858.9</v>
      </c>
      <c r="X611">
        <v>242.57</v>
      </c>
      <c r="Y611" t="s">
        <v>61</v>
      </c>
      <c r="Z611">
        <f>Superstore_Sales[[#This Row],[Sales]]*Superstore_Sales[[#This Row],[Quantity]]</f>
        <v>14316.75</v>
      </c>
      <c r="AA611" s="3">
        <f>Superstore_Sales[[#This Row],[TotalSales]]*Superstore_Sales[[#This Row],[Discount]]/100</f>
        <v>14.316750000000003</v>
      </c>
      <c r="AB611" s="2">
        <f>Superstore_Sales[[#This Row],[TotalSales]]-Superstore_Sales[[#This Row],[Dis_amt]]-Superstore_Sales[[#This Row],[Shipping Cost]]</f>
        <v>14059.86325</v>
      </c>
    </row>
    <row r="612" spans="1:28" x14ac:dyDescent="0.35">
      <c r="A612">
        <v>25271</v>
      </c>
      <c r="B612" t="s">
        <v>3055</v>
      </c>
      <c r="C612" s="1">
        <v>42270</v>
      </c>
      <c r="D612" s="1">
        <v>42276</v>
      </c>
      <c r="E612">
        <f>Superstore_Sales[[#This Row],[Ship Date]]-Superstore_Sales[[#This Row],[Order Date]]</f>
        <v>6</v>
      </c>
      <c r="F612" t="s">
        <v>98</v>
      </c>
      <c r="G612" t="s">
        <v>3056</v>
      </c>
      <c r="H612" t="s">
        <v>3057</v>
      </c>
      <c r="I612" t="s">
        <v>65</v>
      </c>
      <c r="K612" t="s">
        <v>1091</v>
      </c>
      <c r="L612" t="s">
        <v>610</v>
      </c>
      <c r="M612" t="s">
        <v>611</v>
      </c>
      <c r="N612" t="s">
        <v>322</v>
      </c>
      <c r="O612" t="s">
        <v>48</v>
      </c>
      <c r="P612" t="s">
        <v>380</v>
      </c>
      <c r="Q612" t="s">
        <v>50</v>
      </c>
      <c r="R612" t="s">
        <v>51</v>
      </c>
      <c r="S612" t="s">
        <v>381</v>
      </c>
      <c r="T612">
        <v>2841.66</v>
      </c>
      <c r="U612">
        <v>8</v>
      </c>
      <c r="V612">
        <v>0.25</v>
      </c>
      <c r="W612">
        <v>189.42</v>
      </c>
      <c r="X612">
        <v>242.38</v>
      </c>
      <c r="Y612" t="s">
        <v>61</v>
      </c>
      <c r="Z612">
        <f>Superstore_Sales[[#This Row],[Sales]]*Superstore_Sales[[#This Row],[Quantity]]</f>
        <v>22733.279999999999</v>
      </c>
      <c r="AA612" s="3">
        <f>Superstore_Sales[[#This Row],[TotalSales]]*Superstore_Sales[[#This Row],[Discount]]/100</f>
        <v>56.833199999999998</v>
      </c>
      <c r="AB612" s="2">
        <f>Superstore_Sales[[#This Row],[TotalSales]]-Superstore_Sales[[#This Row],[Dis_amt]]-Superstore_Sales[[#This Row],[Shipping Cost]]</f>
        <v>22434.066799999997</v>
      </c>
    </row>
    <row r="613" spans="1:28" x14ac:dyDescent="0.35">
      <c r="A613">
        <v>15079</v>
      </c>
      <c r="B613" t="s">
        <v>3058</v>
      </c>
      <c r="C613" s="1">
        <v>42312</v>
      </c>
      <c r="D613" s="1">
        <v>42315</v>
      </c>
      <c r="E613">
        <f>Superstore_Sales[[#This Row],[Ship Date]]-Superstore_Sales[[#This Row],[Order Date]]</f>
        <v>3</v>
      </c>
      <c r="F613" t="s">
        <v>25</v>
      </c>
      <c r="G613" t="s">
        <v>3059</v>
      </c>
      <c r="H613" t="s">
        <v>3060</v>
      </c>
      <c r="I613" t="s">
        <v>43</v>
      </c>
      <c r="K613" t="s">
        <v>3061</v>
      </c>
      <c r="L613" t="s">
        <v>651</v>
      </c>
      <c r="M613" t="s">
        <v>155</v>
      </c>
      <c r="N613" t="s">
        <v>68</v>
      </c>
      <c r="O613" t="s">
        <v>69</v>
      </c>
      <c r="P613" t="s">
        <v>3062</v>
      </c>
      <c r="Q613" t="s">
        <v>35</v>
      </c>
      <c r="R613" t="s">
        <v>275</v>
      </c>
      <c r="S613" t="s">
        <v>3063</v>
      </c>
      <c r="T613">
        <v>765.46</v>
      </c>
      <c r="U613">
        <v>3</v>
      </c>
      <c r="V613">
        <v>0.15</v>
      </c>
      <c r="W613">
        <v>-36.08</v>
      </c>
      <c r="X613">
        <v>242.18</v>
      </c>
      <c r="Y613" t="s">
        <v>53</v>
      </c>
      <c r="Z613">
        <f>Superstore_Sales[[#This Row],[Sales]]*Superstore_Sales[[#This Row],[Quantity]]</f>
        <v>2296.38</v>
      </c>
      <c r="AA613" s="3">
        <f>Superstore_Sales[[#This Row],[TotalSales]]*Superstore_Sales[[#This Row],[Discount]]/100</f>
        <v>3.4445700000000001</v>
      </c>
      <c r="AB613" s="2">
        <f>Superstore_Sales[[#This Row],[TotalSales]]-Superstore_Sales[[#This Row],[Dis_amt]]-Superstore_Sales[[#This Row],[Shipping Cost]]</f>
        <v>2050.7554300000002</v>
      </c>
    </row>
    <row r="614" spans="1:28" x14ac:dyDescent="0.35">
      <c r="A614">
        <v>28572</v>
      </c>
      <c r="B614" t="s">
        <v>3064</v>
      </c>
      <c r="C614" s="1">
        <v>42248</v>
      </c>
      <c r="D614" s="1">
        <v>42251</v>
      </c>
      <c r="E614">
        <f>Superstore_Sales[[#This Row],[Ship Date]]-Superstore_Sales[[#This Row],[Order Date]]</f>
        <v>3</v>
      </c>
      <c r="F614" t="s">
        <v>25</v>
      </c>
      <c r="G614" t="s">
        <v>3065</v>
      </c>
      <c r="H614" t="s">
        <v>233</v>
      </c>
      <c r="I614" t="s">
        <v>43</v>
      </c>
      <c r="K614" t="s">
        <v>44</v>
      </c>
      <c r="L614" t="s">
        <v>45</v>
      </c>
      <c r="M614" t="s">
        <v>46</v>
      </c>
      <c r="N614" t="s">
        <v>47</v>
      </c>
      <c r="O614" t="s">
        <v>48</v>
      </c>
      <c r="P614" t="s">
        <v>719</v>
      </c>
      <c r="Q614" t="s">
        <v>147</v>
      </c>
      <c r="R614" t="s">
        <v>148</v>
      </c>
      <c r="S614" t="s">
        <v>720</v>
      </c>
      <c r="T614">
        <v>1887.84</v>
      </c>
      <c r="U614">
        <v>4</v>
      </c>
      <c r="V614">
        <v>0.1</v>
      </c>
      <c r="W614">
        <v>0</v>
      </c>
      <c r="X614">
        <v>241.89</v>
      </c>
      <c r="Y614" t="s">
        <v>61</v>
      </c>
      <c r="Z614">
        <f>Superstore_Sales[[#This Row],[Sales]]*Superstore_Sales[[#This Row],[Quantity]]</f>
        <v>7551.36</v>
      </c>
      <c r="AA614" s="3">
        <f>Superstore_Sales[[#This Row],[TotalSales]]*Superstore_Sales[[#This Row],[Discount]]/100</f>
        <v>7.5513599999999999</v>
      </c>
      <c r="AB614" s="2">
        <f>Superstore_Sales[[#This Row],[TotalSales]]-Superstore_Sales[[#This Row],[Dis_amt]]-Superstore_Sales[[#This Row],[Shipping Cost]]</f>
        <v>7301.918639999999</v>
      </c>
    </row>
    <row r="615" spans="1:28" x14ac:dyDescent="0.35">
      <c r="A615">
        <v>33927</v>
      </c>
      <c r="B615" t="s">
        <v>3066</v>
      </c>
      <c r="C615" s="1">
        <v>41527</v>
      </c>
      <c r="D615" s="1">
        <v>41532</v>
      </c>
      <c r="E615">
        <f>Superstore_Sales[[#This Row],[Ship Date]]-Superstore_Sales[[#This Row],[Order Date]]</f>
        <v>5</v>
      </c>
      <c r="F615" t="s">
        <v>98</v>
      </c>
      <c r="G615" t="s">
        <v>2984</v>
      </c>
      <c r="H615" t="s">
        <v>508</v>
      </c>
      <c r="I615" t="s">
        <v>28</v>
      </c>
      <c r="J615">
        <v>74133</v>
      </c>
      <c r="K615" t="s">
        <v>3067</v>
      </c>
      <c r="L615" t="s">
        <v>30</v>
      </c>
      <c r="M615" t="s">
        <v>31</v>
      </c>
      <c r="N615" t="s">
        <v>32</v>
      </c>
      <c r="O615" t="s">
        <v>33</v>
      </c>
      <c r="P615" t="s">
        <v>3068</v>
      </c>
      <c r="Q615" t="s">
        <v>147</v>
      </c>
      <c r="R615" t="s">
        <v>672</v>
      </c>
      <c r="S615" t="s">
        <v>3069</v>
      </c>
      <c r="T615">
        <v>14.94</v>
      </c>
      <c r="U615">
        <v>3</v>
      </c>
      <c r="V615">
        <v>0</v>
      </c>
      <c r="W615">
        <v>7.02</v>
      </c>
      <c r="X615">
        <v>1.52</v>
      </c>
      <c r="Y615" t="s">
        <v>38</v>
      </c>
      <c r="Z615">
        <f>Superstore_Sales[[#This Row],[Sales]]*Superstore_Sales[[#This Row],[Quantity]]</f>
        <v>44.82</v>
      </c>
      <c r="AA615" s="3">
        <f>Superstore_Sales[[#This Row],[TotalSales]]*Superstore_Sales[[#This Row],[Discount]]/100</f>
        <v>0</v>
      </c>
      <c r="AB615" s="2">
        <f>Superstore_Sales[[#This Row],[TotalSales]]-Superstore_Sales[[#This Row],[Dis_amt]]-Superstore_Sales[[#This Row],[Shipping Cost]]</f>
        <v>43.3</v>
      </c>
    </row>
    <row r="616" spans="1:28" x14ac:dyDescent="0.35">
      <c r="A616">
        <v>47228</v>
      </c>
      <c r="B616" t="s">
        <v>3070</v>
      </c>
      <c r="C616" s="1">
        <v>41660</v>
      </c>
      <c r="D616" s="1">
        <v>41660</v>
      </c>
      <c r="E616">
        <f>Superstore_Sales[[#This Row],[Ship Date]]-Superstore_Sales[[#This Row],[Order Date]]</f>
        <v>0</v>
      </c>
      <c r="F616" t="s">
        <v>73</v>
      </c>
      <c r="G616" t="s">
        <v>3071</v>
      </c>
      <c r="H616" t="s">
        <v>3072</v>
      </c>
      <c r="I616" t="s">
        <v>28</v>
      </c>
      <c r="K616" t="s">
        <v>101</v>
      </c>
      <c r="L616" t="s">
        <v>1133</v>
      </c>
      <c r="M616" t="s">
        <v>1134</v>
      </c>
      <c r="N616" t="s">
        <v>1134</v>
      </c>
      <c r="O616" t="s">
        <v>33</v>
      </c>
      <c r="P616" t="s">
        <v>3073</v>
      </c>
      <c r="Q616" t="s">
        <v>147</v>
      </c>
      <c r="R616" t="s">
        <v>431</v>
      </c>
      <c r="S616" t="s">
        <v>3074</v>
      </c>
      <c r="T616">
        <v>410.88</v>
      </c>
      <c r="U616">
        <v>8</v>
      </c>
      <c r="V616">
        <v>0</v>
      </c>
      <c r="W616">
        <v>78</v>
      </c>
      <c r="X616">
        <v>59.79</v>
      </c>
      <c r="Y616" t="s">
        <v>38</v>
      </c>
      <c r="Z616">
        <f>Superstore_Sales[[#This Row],[Sales]]*Superstore_Sales[[#This Row],[Quantity]]</f>
        <v>3287.04</v>
      </c>
      <c r="AA616" s="3">
        <f>Superstore_Sales[[#This Row],[TotalSales]]*Superstore_Sales[[#This Row],[Discount]]/100</f>
        <v>0</v>
      </c>
      <c r="AB616" s="2">
        <f>Superstore_Sales[[#This Row],[TotalSales]]-Superstore_Sales[[#This Row],[Dis_amt]]-Superstore_Sales[[#This Row],[Shipping Cost]]</f>
        <v>3227.25</v>
      </c>
    </row>
    <row r="617" spans="1:28" x14ac:dyDescent="0.35">
      <c r="A617">
        <v>5467</v>
      </c>
      <c r="B617" t="s">
        <v>3075</v>
      </c>
      <c r="C617" s="1">
        <v>42111</v>
      </c>
      <c r="D617" s="1">
        <v>42114</v>
      </c>
      <c r="E617">
        <f>Superstore_Sales[[#This Row],[Ship Date]]-Superstore_Sales[[#This Row],[Order Date]]</f>
        <v>3</v>
      </c>
      <c r="F617" t="s">
        <v>40</v>
      </c>
      <c r="G617" t="s">
        <v>3076</v>
      </c>
      <c r="H617" t="s">
        <v>953</v>
      </c>
      <c r="I617" t="s">
        <v>28</v>
      </c>
      <c r="K617" t="s">
        <v>3077</v>
      </c>
      <c r="L617" t="s">
        <v>3078</v>
      </c>
      <c r="M617" t="s">
        <v>1440</v>
      </c>
      <c r="N617" t="s">
        <v>266</v>
      </c>
      <c r="O617" t="s">
        <v>136</v>
      </c>
      <c r="P617" t="s">
        <v>604</v>
      </c>
      <c r="Q617" t="s">
        <v>147</v>
      </c>
      <c r="R617" t="s">
        <v>148</v>
      </c>
      <c r="S617" t="s">
        <v>605</v>
      </c>
      <c r="T617">
        <v>1801.6</v>
      </c>
      <c r="U617">
        <v>5</v>
      </c>
      <c r="V617">
        <v>0</v>
      </c>
      <c r="W617">
        <v>180.1</v>
      </c>
      <c r="X617">
        <v>241.53700000000001</v>
      </c>
      <c r="Y617" t="s">
        <v>61</v>
      </c>
      <c r="Z617">
        <f>Superstore_Sales[[#This Row],[Sales]]*Superstore_Sales[[#This Row],[Quantity]]</f>
        <v>9008</v>
      </c>
      <c r="AA617" s="3">
        <f>Superstore_Sales[[#This Row],[TotalSales]]*Superstore_Sales[[#This Row],[Discount]]/100</f>
        <v>0</v>
      </c>
      <c r="AB617" s="2">
        <f>Superstore_Sales[[#This Row],[TotalSales]]-Superstore_Sales[[#This Row],[Dis_amt]]-Superstore_Sales[[#This Row],[Shipping Cost]]</f>
        <v>8766.4629999999997</v>
      </c>
    </row>
    <row r="618" spans="1:28" x14ac:dyDescent="0.35">
      <c r="A618">
        <v>50118</v>
      </c>
      <c r="B618" t="s">
        <v>3079</v>
      </c>
      <c r="C618" s="1">
        <v>40964</v>
      </c>
      <c r="D618" s="1">
        <v>40964</v>
      </c>
      <c r="E618">
        <f>Superstore_Sales[[#This Row],[Ship Date]]-Superstore_Sales[[#This Row],[Order Date]]</f>
        <v>0</v>
      </c>
      <c r="F618" t="s">
        <v>73</v>
      </c>
      <c r="G618" t="s">
        <v>3080</v>
      </c>
      <c r="H618" t="s">
        <v>717</v>
      </c>
      <c r="I618" t="s">
        <v>28</v>
      </c>
      <c r="K618" t="s">
        <v>3081</v>
      </c>
      <c r="L618" t="s">
        <v>3082</v>
      </c>
      <c r="M618" t="s">
        <v>3083</v>
      </c>
      <c r="N618" t="s">
        <v>554</v>
      </c>
      <c r="O618" t="s">
        <v>79</v>
      </c>
      <c r="P618" t="s">
        <v>3084</v>
      </c>
      <c r="Q618" t="s">
        <v>35</v>
      </c>
      <c r="R618" t="s">
        <v>275</v>
      </c>
      <c r="S618" t="s">
        <v>3085</v>
      </c>
      <c r="T618">
        <v>613.26</v>
      </c>
      <c r="U618">
        <v>2</v>
      </c>
      <c r="V618">
        <v>0</v>
      </c>
      <c r="W618">
        <v>202.32</v>
      </c>
      <c r="X618">
        <v>241.33</v>
      </c>
      <c r="Y618" t="s">
        <v>53</v>
      </c>
      <c r="Z618">
        <f>Superstore_Sales[[#This Row],[Sales]]*Superstore_Sales[[#This Row],[Quantity]]</f>
        <v>1226.52</v>
      </c>
      <c r="AA618" s="3">
        <f>Superstore_Sales[[#This Row],[TotalSales]]*Superstore_Sales[[#This Row],[Discount]]/100</f>
        <v>0</v>
      </c>
      <c r="AB618" s="2">
        <f>Superstore_Sales[[#This Row],[TotalSales]]-Superstore_Sales[[#This Row],[Dis_amt]]-Superstore_Sales[[#This Row],[Shipping Cost]]</f>
        <v>985.18999999999994</v>
      </c>
    </row>
    <row r="619" spans="1:28" x14ac:dyDescent="0.35">
      <c r="A619">
        <v>31989</v>
      </c>
      <c r="B619" t="s">
        <v>3086</v>
      </c>
      <c r="C619" s="1">
        <v>41361</v>
      </c>
      <c r="D619" s="1">
        <v>41366</v>
      </c>
      <c r="E619">
        <f>Superstore_Sales[[#This Row],[Ship Date]]-Superstore_Sales[[#This Row],[Order Date]]</f>
        <v>5</v>
      </c>
      <c r="F619" t="s">
        <v>98</v>
      </c>
      <c r="G619" t="s">
        <v>3087</v>
      </c>
      <c r="H619" t="s">
        <v>3072</v>
      </c>
      <c r="I619" t="s">
        <v>28</v>
      </c>
      <c r="J619">
        <v>90036</v>
      </c>
      <c r="K619" t="s">
        <v>298</v>
      </c>
      <c r="L619" t="s">
        <v>280</v>
      </c>
      <c r="M619" t="s">
        <v>31</v>
      </c>
      <c r="N619" t="s">
        <v>110</v>
      </c>
      <c r="O619" t="s">
        <v>33</v>
      </c>
      <c r="P619" t="s">
        <v>3088</v>
      </c>
      <c r="Q619" t="s">
        <v>35</v>
      </c>
      <c r="R619" t="s">
        <v>304</v>
      </c>
      <c r="S619" t="s">
        <v>3089</v>
      </c>
      <c r="T619">
        <v>166.24</v>
      </c>
      <c r="U619">
        <v>1</v>
      </c>
      <c r="V619">
        <v>0</v>
      </c>
      <c r="W619">
        <v>24.94</v>
      </c>
      <c r="X619">
        <v>17.399999999999999</v>
      </c>
      <c r="Y619" t="s">
        <v>61</v>
      </c>
      <c r="Z619">
        <f>Superstore_Sales[[#This Row],[Sales]]*Superstore_Sales[[#This Row],[Quantity]]</f>
        <v>166.24</v>
      </c>
      <c r="AA619" s="3">
        <f>Superstore_Sales[[#This Row],[TotalSales]]*Superstore_Sales[[#This Row],[Discount]]/100</f>
        <v>0</v>
      </c>
      <c r="AB619" s="2">
        <f>Superstore_Sales[[#This Row],[TotalSales]]-Superstore_Sales[[#This Row],[Dis_amt]]-Superstore_Sales[[#This Row],[Shipping Cost]]</f>
        <v>148.84</v>
      </c>
    </row>
    <row r="620" spans="1:28" x14ac:dyDescent="0.35">
      <c r="A620">
        <v>30834</v>
      </c>
      <c r="B620" t="s">
        <v>3090</v>
      </c>
      <c r="C620" s="1">
        <v>42263</v>
      </c>
      <c r="D620" s="1">
        <v>42267</v>
      </c>
      <c r="E620">
        <f>Superstore_Sales[[#This Row],[Ship Date]]-Superstore_Sales[[#This Row],[Order Date]]</f>
        <v>4</v>
      </c>
      <c r="F620" t="s">
        <v>40</v>
      </c>
      <c r="G620" t="s">
        <v>3091</v>
      </c>
      <c r="H620" t="s">
        <v>2007</v>
      </c>
      <c r="I620" t="s">
        <v>65</v>
      </c>
      <c r="K620" t="s">
        <v>44</v>
      </c>
      <c r="L620" t="s">
        <v>45</v>
      </c>
      <c r="M620" t="s">
        <v>46</v>
      </c>
      <c r="N620" t="s">
        <v>47</v>
      </c>
      <c r="O620" t="s">
        <v>48</v>
      </c>
      <c r="P620" t="s">
        <v>1419</v>
      </c>
      <c r="Q620" t="s">
        <v>50</v>
      </c>
      <c r="R620" t="s">
        <v>51</v>
      </c>
      <c r="S620" t="s">
        <v>1420</v>
      </c>
      <c r="T620">
        <v>1837.56</v>
      </c>
      <c r="U620">
        <v>4</v>
      </c>
      <c r="V620">
        <v>0</v>
      </c>
      <c r="W620">
        <v>275.52</v>
      </c>
      <c r="X620">
        <v>240.32</v>
      </c>
      <c r="Y620" t="s">
        <v>61</v>
      </c>
      <c r="Z620">
        <f>Superstore_Sales[[#This Row],[Sales]]*Superstore_Sales[[#This Row],[Quantity]]</f>
        <v>7350.24</v>
      </c>
      <c r="AA620" s="3">
        <f>Superstore_Sales[[#This Row],[TotalSales]]*Superstore_Sales[[#This Row],[Discount]]/100</f>
        <v>0</v>
      </c>
      <c r="AB620" s="2">
        <f>Superstore_Sales[[#This Row],[TotalSales]]-Superstore_Sales[[#This Row],[Dis_amt]]-Superstore_Sales[[#This Row],[Shipping Cost]]</f>
        <v>7109.92</v>
      </c>
    </row>
    <row r="621" spans="1:28" x14ac:dyDescent="0.35">
      <c r="A621">
        <v>12121</v>
      </c>
      <c r="B621" t="s">
        <v>3092</v>
      </c>
      <c r="C621" s="1">
        <v>41828</v>
      </c>
      <c r="D621" s="1">
        <v>41831</v>
      </c>
      <c r="E621">
        <f>Superstore_Sales[[#This Row],[Ship Date]]-Superstore_Sales[[#This Row],[Order Date]]</f>
        <v>3</v>
      </c>
      <c r="F621" t="s">
        <v>25</v>
      </c>
      <c r="G621" t="s">
        <v>3093</v>
      </c>
      <c r="H621" t="s">
        <v>2174</v>
      </c>
      <c r="I621" t="s">
        <v>28</v>
      </c>
      <c r="K621" t="s">
        <v>3094</v>
      </c>
      <c r="L621" t="s">
        <v>2186</v>
      </c>
      <c r="M621" t="s">
        <v>170</v>
      </c>
      <c r="N621" t="s">
        <v>171</v>
      </c>
      <c r="O621" t="s">
        <v>69</v>
      </c>
      <c r="P621" t="s">
        <v>172</v>
      </c>
      <c r="Q621" t="s">
        <v>147</v>
      </c>
      <c r="R621" t="s">
        <v>148</v>
      </c>
      <c r="S621" t="s">
        <v>173</v>
      </c>
      <c r="T621">
        <v>3979.29</v>
      </c>
      <c r="U621">
        <v>7</v>
      </c>
      <c r="V621">
        <v>0</v>
      </c>
      <c r="W621">
        <v>1989.54</v>
      </c>
      <c r="X621">
        <v>240.17</v>
      </c>
      <c r="Y621" t="s">
        <v>61</v>
      </c>
      <c r="Z621">
        <f>Superstore_Sales[[#This Row],[Sales]]*Superstore_Sales[[#This Row],[Quantity]]</f>
        <v>27855.03</v>
      </c>
      <c r="AA621" s="3">
        <f>Superstore_Sales[[#This Row],[TotalSales]]*Superstore_Sales[[#This Row],[Discount]]/100</f>
        <v>0</v>
      </c>
      <c r="AB621" s="2">
        <f>Superstore_Sales[[#This Row],[TotalSales]]-Superstore_Sales[[#This Row],[Dis_amt]]-Superstore_Sales[[#This Row],[Shipping Cost]]</f>
        <v>27614.86</v>
      </c>
    </row>
    <row r="622" spans="1:28" x14ac:dyDescent="0.35">
      <c r="A622">
        <v>35613</v>
      </c>
      <c r="B622" t="s">
        <v>3095</v>
      </c>
      <c r="C622" s="1">
        <v>41450</v>
      </c>
      <c r="D622" s="1">
        <v>41456</v>
      </c>
      <c r="E622">
        <f>Superstore_Sales[[#This Row],[Ship Date]]-Superstore_Sales[[#This Row],[Order Date]]</f>
        <v>6</v>
      </c>
      <c r="F622" t="s">
        <v>98</v>
      </c>
      <c r="G622" t="s">
        <v>3087</v>
      </c>
      <c r="H622" t="s">
        <v>3072</v>
      </c>
      <c r="I622" t="s">
        <v>28</v>
      </c>
      <c r="J622">
        <v>90045</v>
      </c>
      <c r="K622" t="s">
        <v>298</v>
      </c>
      <c r="L622" t="s">
        <v>280</v>
      </c>
      <c r="M622" t="s">
        <v>31</v>
      </c>
      <c r="N622" t="s">
        <v>110</v>
      </c>
      <c r="O622" t="s">
        <v>33</v>
      </c>
      <c r="P622" t="s">
        <v>3096</v>
      </c>
      <c r="Q622" t="s">
        <v>147</v>
      </c>
      <c r="R622" t="s">
        <v>162</v>
      </c>
      <c r="S622" t="s">
        <v>3097</v>
      </c>
      <c r="T622">
        <v>304.23</v>
      </c>
      <c r="U622">
        <v>3</v>
      </c>
      <c r="V622">
        <v>0</v>
      </c>
      <c r="W622">
        <v>9.1300000000000008</v>
      </c>
      <c r="X622">
        <v>11.27</v>
      </c>
      <c r="Y622" t="s">
        <v>61</v>
      </c>
      <c r="Z622">
        <f>Superstore_Sales[[#This Row],[Sales]]*Superstore_Sales[[#This Row],[Quantity]]</f>
        <v>912.69</v>
      </c>
      <c r="AA622" s="3">
        <f>Superstore_Sales[[#This Row],[TotalSales]]*Superstore_Sales[[#This Row],[Discount]]/100</f>
        <v>0</v>
      </c>
      <c r="AB622" s="2">
        <f>Superstore_Sales[[#This Row],[TotalSales]]-Superstore_Sales[[#This Row],[Dis_amt]]-Superstore_Sales[[#This Row],[Shipping Cost]]</f>
        <v>901.42000000000007</v>
      </c>
    </row>
    <row r="623" spans="1:28" x14ac:dyDescent="0.35">
      <c r="A623">
        <v>5256</v>
      </c>
      <c r="B623" t="s">
        <v>3098</v>
      </c>
      <c r="C623" s="1">
        <v>42004</v>
      </c>
      <c r="D623" s="1">
        <v>42005</v>
      </c>
      <c r="E623">
        <f>Superstore_Sales[[#This Row],[Ship Date]]-Superstore_Sales[[#This Row],[Order Date]]</f>
        <v>1</v>
      </c>
      <c r="F623" t="s">
        <v>25</v>
      </c>
      <c r="G623" t="s">
        <v>3099</v>
      </c>
      <c r="H623" t="s">
        <v>3100</v>
      </c>
      <c r="I623" t="s">
        <v>28</v>
      </c>
      <c r="K623" t="s">
        <v>1462</v>
      </c>
      <c r="L623" t="s">
        <v>1462</v>
      </c>
      <c r="M623" t="s">
        <v>491</v>
      </c>
      <c r="N623" t="s">
        <v>220</v>
      </c>
      <c r="O623" t="s">
        <v>136</v>
      </c>
      <c r="P623" t="s">
        <v>1444</v>
      </c>
      <c r="Q623" t="s">
        <v>35</v>
      </c>
      <c r="R623" t="s">
        <v>81</v>
      </c>
      <c r="S623" t="s">
        <v>1445</v>
      </c>
      <c r="T623">
        <v>1198.3</v>
      </c>
      <c r="U623">
        <v>5</v>
      </c>
      <c r="V623">
        <v>2E-3</v>
      </c>
      <c r="W623">
        <v>165.6</v>
      </c>
      <c r="X623">
        <v>240.09200000000001</v>
      </c>
      <c r="Y623" t="s">
        <v>38</v>
      </c>
      <c r="Z623">
        <f>Superstore_Sales[[#This Row],[Sales]]*Superstore_Sales[[#This Row],[Quantity]]</f>
        <v>5991.5</v>
      </c>
      <c r="AA623" s="3">
        <f>Superstore_Sales[[#This Row],[TotalSales]]*Superstore_Sales[[#This Row],[Discount]]/100</f>
        <v>0.11983000000000001</v>
      </c>
      <c r="AB623" s="2">
        <f>Superstore_Sales[[#This Row],[TotalSales]]-Superstore_Sales[[#This Row],[Dis_amt]]-Superstore_Sales[[#This Row],[Shipping Cost]]</f>
        <v>5751.2881700000007</v>
      </c>
    </row>
    <row r="624" spans="1:28" x14ac:dyDescent="0.35">
      <c r="A624">
        <v>37429</v>
      </c>
      <c r="B624" t="s">
        <v>3101</v>
      </c>
      <c r="C624" s="1">
        <v>42263</v>
      </c>
      <c r="D624" s="1">
        <v>42268</v>
      </c>
      <c r="E624">
        <f>Superstore_Sales[[#This Row],[Ship Date]]-Superstore_Sales[[#This Row],[Order Date]]</f>
        <v>5</v>
      </c>
      <c r="F624" t="s">
        <v>98</v>
      </c>
      <c r="G624" t="s">
        <v>3102</v>
      </c>
      <c r="H624" t="s">
        <v>3072</v>
      </c>
      <c r="I624" t="s">
        <v>28</v>
      </c>
      <c r="J624">
        <v>37087</v>
      </c>
      <c r="K624" t="s">
        <v>3103</v>
      </c>
      <c r="L624" t="s">
        <v>1225</v>
      </c>
      <c r="M624" t="s">
        <v>31</v>
      </c>
      <c r="N624" t="s">
        <v>351</v>
      </c>
      <c r="O624" t="s">
        <v>33</v>
      </c>
      <c r="P624" t="s">
        <v>3104</v>
      </c>
      <c r="Q624" t="s">
        <v>147</v>
      </c>
      <c r="R624" t="s">
        <v>672</v>
      </c>
      <c r="S624" t="s">
        <v>3105</v>
      </c>
      <c r="T624">
        <v>163.96</v>
      </c>
      <c r="U624">
        <v>5</v>
      </c>
      <c r="V624">
        <v>0.2</v>
      </c>
      <c r="W624">
        <v>59.44</v>
      </c>
      <c r="X624">
        <v>7.84</v>
      </c>
      <c r="Y624" t="s">
        <v>61</v>
      </c>
      <c r="Z624">
        <f>Superstore_Sales[[#This Row],[Sales]]*Superstore_Sales[[#This Row],[Quantity]]</f>
        <v>819.80000000000007</v>
      </c>
      <c r="AA624" s="3">
        <f>Superstore_Sales[[#This Row],[TotalSales]]*Superstore_Sales[[#This Row],[Discount]]/100</f>
        <v>1.6396000000000004</v>
      </c>
      <c r="AB624" s="2">
        <f>Superstore_Sales[[#This Row],[TotalSales]]-Superstore_Sales[[#This Row],[Dis_amt]]-Superstore_Sales[[#This Row],[Shipping Cost]]</f>
        <v>810.32040000000006</v>
      </c>
    </row>
    <row r="625" spans="1:28" x14ac:dyDescent="0.35">
      <c r="A625">
        <v>24646</v>
      </c>
      <c r="B625" t="s">
        <v>3106</v>
      </c>
      <c r="C625" s="1">
        <v>42033</v>
      </c>
      <c r="D625" s="1">
        <v>42037</v>
      </c>
      <c r="E625">
        <f>Superstore_Sales[[#This Row],[Ship Date]]-Superstore_Sales[[#This Row],[Order Date]]</f>
        <v>4</v>
      </c>
      <c r="F625" t="s">
        <v>98</v>
      </c>
      <c r="G625" t="s">
        <v>3107</v>
      </c>
      <c r="H625" t="s">
        <v>3108</v>
      </c>
      <c r="I625" t="s">
        <v>28</v>
      </c>
      <c r="K625" t="s">
        <v>177</v>
      </c>
      <c r="L625" t="s">
        <v>58</v>
      </c>
      <c r="M625" t="s">
        <v>46</v>
      </c>
      <c r="N625" t="s">
        <v>47</v>
      </c>
      <c r="O625" t="s">
        <v>48</v>
      </c>
      <c r="P625" t="s">
        <v>592</v>
      </c>
      <c r="Q625" t="s">
        <v>50</v>
      </c>
      <c r="R625" t="s">
        <v>336</v>
      </c>
      <c r="S625" t="s">
        <v>593</v>
      </c>
      <c r="T625">
        <v>1864.22</v>
      </c>
      <c r="U625">
        <v>5</v>
      </c>
      <c r="V625">
        <v>0.1</v>
      </c>
      <c r="W625">
        <v>455.57</v>
      </c>
      <c r="X625">
        <v>239.83</v>
      </c>
      <c r="Y625" t="s">
        <v>38</v>
      </c>
      <c r="Z625">
        <f>Superstore_Sales[[#This Row],[Sales]]*Superstore_Sales[[#This Row],[Quantity]]</f>
        <v>9321.1</v>
      </c>
      <c r="AA625" s="3">
        <f>Superstore_Sales[[#This Row],[TotalSales]]*Superstore_Sales[[#This Row],[Discount]]/100</f>
        <v>9.3211000000000013</v>
      </c>
      <c r="AB625" s="2">
        <f>Superstore_Sales[[#This Row],[TotalSales]]-Superstore_Sales[[#This Row],[Dis_amt]]-Superstore_Sales[[#This Row],[Shipping Cost]]</f>
        <v>9071.9489000000012</v>
      </c>
    </row>
    <row r="626" spans="1:28" x14ac:dyDescent="0.35">
      <c r="A626">
        <v>43619</v>
      </c>
      <c r="B626" t="s">
        <v>3109</v>
      </c>
      <c r="C626" s="1">
        <v>41159</v>
      </c>
      <c r="D626" s="1">
        <v>41161</v>
      </c>
      <c r="E626">
        <f>Superstore_Sales[[#This Row],[Ship Date]]-Superstore_Sales[[#This Row],[Order Date]]</f>
        <v>2</v>
      </c>
      <c r="F626" t="s">
        <v>40</v>
      </c>
      <c r="G626" t="s">
        <v>3110</v>
      </c>
      <c r="H626" t="s">
        <v>1301</v>
      </c>
      <c r="I626" t="s">
        <v>43</v>
      </c>
      <c r="K626" t="s">
        <v>3111</v>
      </c>
      <c r="L626" t="s">
        <v>3111</v>
      </c>
      <c r="M626" t="s">
        <v>1482</v>
      </c>
      <c r="N626" t="s">
        <v>126</v>
      </c>
      <c r="O626" t="s">
        <v>48</v>
      </c>
      <c r="P626" t="s">
        <v>137</v>
      </c>
      <c r="Q626" t="s">
        <v>50</v>
      </c>
      <c r="R626" t="s">
        <v>51</v>
      </c>
      <c r="S626" t="s">
        <v>138</v>
      </c>
      <c r="T626">
        <v>1142.6400000000001</v>
      </c>
      <c r="U626">
        <v>6</v>
      </c>
      <c r="V626">
        <v>0.6</v>
      </c>
      <c r="W626">
        <v>-571.32000000000005</v>
      </c>
      <c r="X626">
        <v>239.71</v>
      </c>
      <c r="Y626" t="s">
        <v>53</v>
      </c>
      <c r="Z626">
        <f>Superstore_Sales[[#This Row],[Sales]]*Superstore_Sales[[#This Row],[Quantity]]</f>
        <v>6855.84</v>
      </c>
      <c r="AA626" s="3">
        <f>Superstore_Sales[[#This Row],[TotalSales]]*Superstore_Sales[[#This Row],[Discount]]/100</f>
        <v>41.135039999999996</v>
      </c>
      <c r="AB626" s="2">
        <f>Superstore_Sales[[#This Row],[TotalSales]]-Superstore_Sales[[#This Row],[Dis_amt]]-Superstore_Sales[[#This Row],[Shipping Cost]]</f>
        <v>6574.99496</v>
      </c>
    </row>
    <row r="627" spans="1:28" x14ac:dyDescent="0.35">
      <c r="A627">
        <v>18895</v>
      </c>
      <c r="B627" t="s">
        <v>3112</v>
      </c>
      <c r="C627" s="1">
        <v>42052</v>
      </c>
      <c r="D627" s="1">
        <v>42056</v>
      </c>
      <c r="E627">
        <f>Superstore_Sales[[#This Row],[Ship Date]]-Superstore_Sales[[#This Row],[Order Date]]</f>
        <v>4</v>
      </c>
      <c r="F627" t="s">
        <v>98</v>
      </c>
      <c r="G627" t="s">
        <v>3113</v>
      </c>
      <c r="H627" t="s">
        <v>200</v>
      </c>
      <c r="I627" t="s">
        <v>43</v>
      </c>
      <c r="K627" t="s">
        <v>1753</v>
      </c>
      <c r="L627" t="s">
        <v>668</v>
      </c>
      <c r="M627" t="s">
        <v>155</v>
      </c>
      <c r="N627" t="s">
        <v>68</v>
      </c>
      <c r="O627" t="s">
        <v>69</v>
      </c>
      <c r="P627" t="s">
        <v>2239</v>
      </c>
      <c r="Q627" t="s">
        <v>50</v>
      </c>
      <c r="R627" t="s">
        <v>336</v>
      </c>
      <c r="S627" t="s">
        <v>2240</v>
      </c>
      <c r="T627">
        <v>1630.8</v>
      </c>
      <c r="U627">
        <v>5</v>
      </c>
      <c r="V627">
        <v>0.1</v>
      </c>
      <c r="W627">
        <v>18</v>
      </c>
      <c r="X627">
        <v>239.69</v>
      </c>
      <c r="Y627" t="s">
        <v>38</v>
      </c>
      <c r="Z627">
        <f>Superstore_Sales[[#This Row],[Sales]]*Superstore_Sales[[#This Row],[Quantity]]</f>
        <v>8154</v>
      </c>
      <c r="AA627" s="3">
        <f>Superstore_Sales[[#This Row],[TotalSales]]*Superstore_Sales[[#This Row],[Discount]]/100</f>
        <v>8.1540000000000017</v>
      </c>
      <c r="AB627" s="2">
        <f>Superstore_Sales[[#This Row],[TotalSales]]-Superstore_Sales[[#This Row],[Dis_amt]]-Superstore_Sales[[#This Row],[Shipping Cost]]</f>
        <v>7906.1559999999999</v>
      </c>
    </row>
    <row r="628" spans="1:28" x14ac:dyDescent="0.35">
      <c r="A628">
        <v>50832</v>
      </c>
      <c r="B628" t="s">
        <v>3114</v>
      </c>
      <c r="C628" s="1">
        <v>41424</v>
      </c>
      <c r="D628" s="1">
        <v>41427</v>
      </c>
      <c r="E628">
        <f>Superstore_Sales[[#This Row],[Ship Date]]-Superstore_Sales[[#This Row],[Order Date]]</f>
        <v>3</v>
      </c>
      <c r="F628" t="s">
        <v>25</v>
      </c>
      <c r="G628" t="s">
        <v>3115</v>
      </c>
      <c r="H628" t="s">
        <v>3116</v>
      </c>
      <c r="I628" t="s">
        <v>28</v>
      </c>
      <c r="K628" t="s">
        <v>3117</v>
      </c>
      <c r="L628" t="s">
        <v>3117</v>
      </c>
      <c r="M628" t="s">
        <v>1274</v>
      </c>
      <c r="N628" t="s">
        <v>211</v>
      </c>
      <c r="O628" t="s">
        <v>69</v>
      </c>
      <c r="P628" t="s">
        <v>949</v>
      </c>
      <c r="Q628" t="s">
        <v>35</v>
      </c>
      <c r="R628" t="s">
        <v>36</v>
      </c>
      <c r="S628" t="s">
        <v>950</v>
      </c>
      <c r="T628">
        <v>1172.6600000000001</v>
      </c>
      <c r="U628">
        <v>6</v>
      </c>
      <c r="V628">
        <v>0.7</v>
      </c>
      <c r="W628">
        <v>-1172.74</v>
      </c>
      <c r="X628">
        <v>239.69</v>
      </c>
      <c r="Y628" t="s">
        <v>38</v>
      </c>
      <c r="Z628">
        <f>Superstore_Sales[[#This Row],[Sales]]*Superstore_Sales[[#This Row],[Quantity]]</f>
        <v>7035.9600000000009</v>
      </c>
      <c r="AA628" s="3">
        <f>Superstore_Sales[[#This Row],[TotalSales]]*Superstore_Sales[[#This Row],[Discount]]/100</f>
        <v>49.251720000000006</v>
      </c>
      <c r="AB628" s="2">
        <f>Superstore_Sales[[#This Row],[TotalSales]]-Superstore_Sales[[#This Row],[Dis_amt]]-Superstore_Sales[[#This Row],[Shipping Cost]]</f>
        <v>6747.0182800000011</v>
      </c>
    </row>
    <row r="629" spans="1:28" x14ac:dyDescent="0.35">
      <c r="A629">
        <v>47986</v>
      </c>
      <c r="B629" t="s">
        <v>3118</v>
      </c>
      <c r="C629" s="1">
        <v>41641</v>
      </c>
      <c r="D629" s="1">
        <v>41643</v>
      </c>
      <c r="E629">
        <f>Superstore_Sales[[#This Row],[Ship Date]]-Superstore_Sales[[#This Row],[Order Date]]</f>
        <v>2</v>
      </c>
      <c r="F629" t="s">
        <v>40</v>
      </c>
      <c r="G629" t="s">
        <v>3119</v>
      </c>
      <c r="H629" t="s">
        <v>3120</v>
      </c>
      <c r="I629" t="s">
        <v>43</v>
      </c>
      <c r="K629" t="s">
        <v>3121</v>
      </c>
      <c r="L629" t="s">
        <v>3121</v>
      </c>
      <c r="M629" t="s">
        <v>391</v>
      </c>
      <c r="N629" t="s">
        <v>118</v>
      </c>
      <c r="O629" t="s">
        <v>48</v>
      </c>
      <c r="P629" t="s">
        <v>3122</v>
      </c>
      <c r="Q629" t="s">
        <v>35</v>
      </c>
      <c r="R629" t="s">
        <v>36</v>
      </c>
      <c r="S629" t="s">
        <v>3123</v>
      </c>
      <c r="T629">
        <v>2021.88</v>
      </c>
      <c r="U629">
        <v>14</v>
      </c>
      <c r="V629">
        <v>0</v>
      </c>
      <c r="W629">
        <v>323.39999999999998</v>
      </c>
      <c r="X629">
        <v>239.62</v>
      </c>
      <c r="Y629" t="s">
        <v>38</v>
      </c>
      <c r="Z629">
        <f>Superstore_Sales[[#This Row],[Sales]]*Superstore_Sales[[#This Row],[Quantity]]</f>
        <v>28306.32</v>
      </c>
      <c r="AA629" s="3">
        <f>Superstore_Sales[[#This Row],[TotalSales]]*Superstore_Sales[[#This Row],[Discount]]/100</f>
        <v>0</v>
      </c>
      <c r="AB629" s="2">
        <f>Superstore_Sales[[#This Row],[TotalSales]]-Superstore_Sales[[#This Row],[Dis_amt]]-Superstore_Sales[[#This Row],[Shipping Cost]]</f>
        <v>28066.7</v>
      </c>
    </row>
    <row r="630" spans="1:28" x14ac:dyDescent="0.35">
      <c r="A630">
        <v>165</v>
      </c>
      <c r="B630" t="s">
        <v>3124</v>
      </c>
      <c r="C630" s="1">
        <v>41601</v>
      </c>
      <c r="D630" s="1">
        <v>41603</v>
      </c>
      <c r="E630">
        <f>Superstore_Sales[[#This Row],[Ship Date]]-Superstore_Sales[[#This Row],[Order Date]]</f>
        <v>2</v>
      </c>
      <c r="F630" t="s">
        <v>25</v>
      </c>
      <c r="G630" t="s">
        <v>3125</v>
      </c>
      <c r="H630" t="s">
        <v>3126</v>
      </c>
      <c r="I630" t="s">
        <v>43</v>
      </c>
      <c r="K630" t="s">
        <v>3127</v>
      </c>
      <c r="L630" t="s">
        <v>3128</v>
      </c>
      <c r="M630" t="s">
        <v>219</v>
      </c>
      <c r="N630" t="s">
        <v>220</v>
      </c>
      <c r="O630" t="s">
        <v>136</v>
      </c>
      <c r="P630" t="s">
        <v>1932</v>
      </c>
      <c r="Q630" t="s">
        <v>50</v>
      </c>
      <c r="R630" t="s">
        <v>336</v>
      </c>
      <c r="S630" t="s">
        <v>1933</v>
      </c>
      <c r="T630">
        <v>836.93</v>
      </c>
      <c r="U630">
        <v>4</v>
      </c>
      <c r="V630">
        <v>0.2</v>
      </c>
      <c r="W630">
        <v>230.13</v>
      </c>
      <c r="X630">
        <v>239.21700000000001</v>
      </c>
      <c r="Y630" t="s">
        <v>38</v>
      </c>
      <c r="Z630">
        <f>Superstore_Sales[[#This Row],[Sales]]*Superstore_Sales[[#This Row],[Quantity]]</f>
        <v>3347.72</v>
      </c>
      <c r="AA630" s="3">
        <f>Superstore_Sales[[#This Row],[TotalSales]]*Superstore_Sales[[#This Row],[Discount]]/100</f>
        <v>6.6954399999999996</v>
      </c>
      <c r="AB630" s="2">
        <f>Superstore_Sales[[#This Row],[TotalSales]]-Superstore_Sales[[#This Row],[Dis_amt]]-Superstore_Sales[[#This Row],[Shipping Cost]]</f>
        <v>3101.8075599999997</v>
      </c>
    </row>
    <row r="631" spans="1:28" x14ac:dyDescent="0.35">
      <c r="A631">
        <v>41568</v>
      </c>
      <c r="B631" t="s">
        <v>3129</v>
      </c>
      <c r="C631" s="1">
        <v>42105</v>
      </c>
      <c r="D631" s="1">
        <v>42111</v>
      </c>
      <c r="E631">
        <f>Superstore_Sales[[#This Row],[Ship Date]]-Superstore_Sales[[#This Row],[Order Date]]</f>
        <v>6</v>
      </c>
      <c r="F631" t="s">
        <v>98</v>
      </c>
      <c r="G631" t="s">
        <v>3130</v>
      </c>
      <c r="H631" t="s">
        <v>415</v>
      </c>
      <c r="I631" t="s">
        <v>28</v>
      </c>
      <c r="K631" t="s">
        <v>3131</v>
      </c>
      <c r="L631" t="s">
        <v>927</v>
      </c>
      <c r="M631" t="s">
        <v>125</v>
      </c>
      <c r="N631" t="s">
        <v>126</v>
      </c>
      <c r="O631" t="s">
        <v>48</v>
      </c>
      <c r="P631" t="s">
        <v>645</v>
      </c>
      <c r="Q631" t="s">
        <v>35</v>
      </c>
      <c r="R631" t="s">
        <v>36</v>
      </c>
      <c r="S631" t="s">
        <v>646</v>
      </c>
      <c r="T631">
        <v>1302.78</v>
      </c>
      <c r="U631">
        <v>2</v>
      </c>
      <c r="V631">
        <v>0</v>
      </c>
      <c r="W631">
        <v>286.56</v>
      </c>
      <c r="X631">
        <v>239.04</v>
      </c>
      <c r="Y631" t="s">
        <v>164</v>
      </c>
      <c r="Z631">
        <f>Superstore_Sales[[#This Row],[Sales]]*Superstore_Sales[[#This Row],[Quantity]]</f>
        <v>2605.56</v>
      </c>
      <c r="AA631" s="3">
        <f>Superstore_Sales[[#This Row],[TotalSales]]*Superstore_Sales[[#This Row],[Discount]]/100</f>
        <v>0</v>
      </c>
      <c r="AB631" s="2">
        <f>Superstore_Sales[[#This Row],[TotalSales]]-Superstore_Sales[[#This Row],[Dis_amt]]-Superstore_Sales[[#This Row],[Shipping Cost]]</f>
        <v>2366.52</v>
      </c>
    </row>
    <row r="632" spans="1:28" x14ac:dyDescent="0.35">
      <c r="A632">
        <v>41569</v>
      </c>
      <c r="B632" t="s">
        <v>3132</v>
      </c>
      <c r="C632" s="1">
        <v>41489</v>
      </c>
      <c r="D632" s="1">
        <v>41493</v>
      </c>
      <c r="E632">
        <f>Superstore_Sales[[#This Row],[Ship Date]]-Superstore_Sales[[#This Row],[Order Date]]</f>
        <v>4</v>
      </c>
      <c r="F632" t="s">
        <v>98</v>
      </c>
      <c r="G632" t="s">
        <v>3133</v>
      </c>
      <c r="H632" t="s">
        <v>2927</v>
      </c>
      <c r="I632" t="s">
        <v>28</v>
      </c>
      <c r="K632" t="s">
        <v>3134</v>
      </c>
      <c r="L632" t="s">
        <v>3135</v>
      </c>
      <c r="M632" t="s">
        <v>1239</v>
      </c>
      <c r="N632" t="s">
        <v>554</v>
      </c>
      <c r="O632" t="s">
        <v>79</v>
      </c>
      <c r="P632" t="s">
        <v>1540</v>
      </c>
      <c r="Q632" t="s">
        <v>147</v>
      </c>
      <c r="R632" t="s">
        <v>148</v>
      </c>
      <c r="S632" t="s">
        <v>1541</v>
      </c>
      <c r="T632">
        <v>2243.88</v>
      </c>
      <c r="U632">
        <v>4</v>
      </c>
      <c r="V632">
        <v>0</v>
      </c>
      <c r="W632">
        <v>246.72</v>
      </c>
      <c r="X632">
        <v>238.95</v>
      </c>
      <c r="Y632" t="s">
        <v>61</v>
      </c>
      <c r="Z632">
        <f>Superstore_Sales[[#This Row],[Sales]]*Superstore_Sales[[#This Row],[Quantity]]</f>
        <v>8975.52</v>
      </c>
      <c r="AA632" s="3">
        <f>Superstore_Sales[[#This Row],[TotalSales]]*Superstore_Sales[[#This Row],[Discount]]/100</f>
        <v>0</v>
      </c>
      <c r="AB632" s="2">
        <f>Superstore_Sales[[#This Row],[TotalSales]]-Superstore_Sales[[#This Row],[Dis_amt]]-Superstore_Sales[[#This Row],[Shipping Cost]]</f>
        <v>8736.57</v>
      </c>
    </row>
    <row r="633" spans="1:28" x14ac:dyDescent="0.35">
      <c r="A633">
        <v>28173</v>
      </c>
      <c r="B633" t="s">
        <v>3136</v>
      </c>
      <c r="C633" s="1">
        <v>42326</v>
      </c>
      <c r="D633" s="1">
        <v>42330</v>
      </c>
      <c r="E633">
        <f>Superstore_Sales[[#This Row],[Ship Date]]-Superstore_Sales[[#This Row],[Order Date]]</f>
        <v>4</v>
      </c>
      <c r="F633" t="s">
        <v>40</v>
      </c>
      <c r="G633" t="s">
        <v>3137</v>
      </c>
      <c r="H633" t="s">
        <v>1949</v>
      </c>
      <c r="I633" t="s">
        <v>65</v>
      </c>
      <c r="K633" t="s">
        <v>3138</v>
      </c>
      <c r="L633" t="s">
        <v>45</v>
      </c>
      <c r="M633" t="s">
        <v>46</v>
      </c>
      <c r="N633" t="s">
        <v>47</v>
      </c>
      <c r="O633" t="s">
        <v>48</v>
      </c>
      <c r="P633" t="s">
        <v>3139</v>
      </c>
      <c r="Q633" t="s">
        <v>35</v>
      </c>
      <c r="R633" t="s">
        <v>36</v>
      </c>
      <c r="S633" t="s">
        <v>3140</v>
      </c>
      <c r="T633">
        <v>1221.56</v>
      </c>
      <c r="U633">
        <v>11</v>
      </c>
      <c r="V633">
        <v>0.1</v>
      </c>
      <c r="W633">
        <v>325.61</v>
      </c>
      <c r="X633">
        <v>238.9</v>
      </c>
      <c r="Y633" t="s">
        <v>38</v>
      </c>
      <c r="Z633">
        <f>Superstore_Sales[[#This Row],[Sales]]*Superstore_Sales[[#This Row],[Quantity]]</f>
        <v>13437.16</v>
      </c>
      <c r="AA633" s="3">
        <f>Superstore_Sales[[#This Row],[TotalSales]]*Superstore_Sales[[#This Row],[Discount]]/100</f>
        <v>13.43716</v>
      </c>
      <c r="AB633" s="2">
        <f>Superstore_Sales[[#This Row],[TotalSales]]-Superstore_Sales[[#This Row],[Dis_amt]]-Superstore_Sales[[#This Row],[Shipping Cost]]</f>
        <v>13184.822840000001</v>
      </c>
    </row>
    <row r="634" spans="1:28" x14ac:dyDescent="0.35">
      <c r="A634">
        <v>25420</v>
      </c>
      <c r="B634" t="s">
        <v>3141</v>
      </c>
      <c r="C634" s="1">
        <v>41255</v>
      </c>
      <c r="D634" s="1">
        <v>41259</v>
      </c>
      <c r="E634">
        <f>Superstore_Sales[[#This Row],[Ship Date]]-Superstore_Sales[[#This Row],[Order Date]]</f>
        <v>4</v>
      </c>
      <c r="F634" t="s">
        <v>98</v>
      </c>
      <c r="G634" t="s">
        <v>3142</v>
      </c>
      <c r="H634" t="s">
        <v>2629</v>
      </c>
      <c r="I634" t="s">
        <v>28</v>
      </c>
      <c r="K634" t="s">
        <v>3143</v>
      </c>
      <c r="L634" t="s">
        <v>3144</v>
      </c>
      <c r="M634" t="s">
        <v>144</v>
      </c>
      <c r="N634" t="s">
        <v>145</v>
      </c>
      <c r="O634" t="s">
        <v>48</v>
      </c>
      <c r="P634" t="s">
        <v>3145</v>
      </c>
      <c r="Q634" t="s">
        <v>147</v>
      </c>
      <c r="R634" t="s">
        <v>148</v>
      </c>
      <c r="S634" t="s">
        <v>3146</v>
      </c>
      <c r="T634">
        <v>1609.29</v>
      </c>
      <c r="U634">
        <v>3</v>
      </c>
      <c r="V634">
        <v>0</v>
      </c>
      <c r="W634">
        <v>241.38</v>
      </c>
      <c r="X634">
        <v>238.76</v>
      </c>
      <c r="Y634" t="s">
        <v>38</v>
      </c>
      <c r="Z634">
        <f>Superstore_Sales[[#This Row],[Sales]]*Superstore_Sales[[#This Row],[Quantity]]</f>
        <v>4827.87</v>
      </c>
      <c r="AA634" s="3">
        <f>Superstore_Sales[[#This Row],[TotalSales]]*Superstore_Sales[[#This Row],[Discount]]/100</f>
        <v>0</v>
      </c>
      <c r="AB634" s="2">
        <f>Superstore_Sales[[#This Row],[TotalSales]]-Superstore_Sales[[#This Row],[Dis_amt]]-Superstore_Sales[[#This Row],[Shipping Cost]]</f>
        <v>4589.1099999999997</v>
      </c>
    </row>
    <row r="635" spans="1:28" x14ac:dyDescent="0.35">
      <c r="A635">
        <v>23033</v>
      </c>
      <c r="B635" t="s">
        <v>3147</v>
      </c>
      <c r="C635" s="1">
        <v>42175</v>
      </c>
      <c r="D635" s="1">
        <v>42178</v>
      </c>
      <c r="E635">
        <f>Superstore_Sales[[#This Row],[Ship Date]]-Superstore_Sales[[#This Row],[Order Date]]</f>
        <v>3</v>
      </c>
      <c r="F635" t="s">
        <v>40</v>
      </c>
      <c r="G635" t="s">
        <v>3148</v>
      </c>
      <c r="H635" t="s">
        <v>3149</v>
      </c>
      <c r="I635" t="s">
        <v>43</v>
      </c>
      <c r="K635" t="s">
        <v>86</v>
      </c>
      <c r="L635" t="s">
        <v>45</v>
      </c>
      <c r="M635" t="s">
        <v>46</v>
      </c>
      <c r="N635" t="s">
        <v>47</v>
      </c>
      <c r="O635" t="s">
        <v>48</v>
      </c>
      <c r="P635" t="s">
        <v>3150</v>
      </c>
      <c r="Q635" t="s">
        <v>35</v>
      </c>
      <c r="R635" t="s">
        <v>81</v>
      </c>
      <c r="S635" t="s">
        <v>3151</v>
      </c>
      <c r="T635">
        <v>1596.51</v>
      </c>
      <c r="U635">
        <v>6</v>
      </c>
      <c r="V635">
        <v>0.1</v>
      </c>
      <c r="W635">
        <v>-53.37</v>
      </c>
      <c r="X635">
        <v>238.52</v>
      </c>
      <c r="Y635" t="s">
        <v>61</v>
      </c>
      <c r="Z635">
        <f>Superstore_Sales[[#This Row],[Sales]]*Superstore_Sales[[#This Row],[Quantity]]</f>
        <v>9579.06</v>
      </c>
      <c r="AA635" s="3">
        <f>Superstore_Sales[[#This Row],[TotalSales]]*Superstore_Sales[[#This Row],[Discount]]/100</f>
        <v>9.5790600000000001</v>
      </c>
      <c r="AB635" s="2">
        <f>Superstore_Sales[[#This Row],[TotalSales]]-Superstore_Sales[[#This Row],[Dis_amt]]-Superstore_Sales[[#This Row],[Shipping Cost]]</f>
        <v>9330.960939999999</v>
      </c>
    </row>
    <row r="636" spans="1:28" x14ac:dyDescent="0.35">
      <c r="A636">
        <v>32227</v>
      </c>
      <c r="B636" t="s">
        <v>3152</v>
      </c>
      <c r="C636" s="1">
        <v>42109</v>
      </c>
      <c r="D636" s="1">
        <v>42112</v>
      </c>
      <c r="E636">
        <f>Superstore_Sales[[#This Row],[Ship Date]]-Superstore_Sales[[#This Row],[Order Date]]</f>
        <v>3</v>
      </c>
      <c r="F636" t="s">
        <v>25</v>
      </c>
      <c r="G636" t="s">
        <v>3153</v>
      </c>
      <c r="H636" t="s">
        <v>3072</v>
      </c>
      <c r="I636" t="s">
        <v>28</v>
      </c>
      <c r="J636">
        <v>43615</v>
      </c>
      <c r="K636" t="s">
        <v>132</v>
      </c>
      <c r="L636" t="s">
        <v>1336</v>
      </c>
      <c r="M636" t="s">
        <v>31</v>
      </c>
      <c r="N636" t="s">
        <v>249</v>
      </c>
      <c r="O636" t="s">
        <v>33</v>
      </c>
      <c r="P636" t="s">
        <v>3154</v>
      </c>
      <c r="Q636" t="s">
        <v>147</v>
      </c>
      <c r="R636" t="s">
        <v>431</v>
      </c>
      <c r="S636" t="s">
        <v>3155</v>
      </c>
      <c r="T636">
        <v>89.86</v>
      </c>
      <c r="U636">
        <v>3</v>
      </c>
      <c r="V636">
        <v>0.2</v>
      </c>
      <c r="W636">
        <v>21.34</v>
      </c>
      <c r="X636">
        <v>5.26</v>
      </c>
      <c r="Y636" t="s">
        <v>61</v>
      </c>
      <c r="Z636">
        <f>Superstore_Sales[[#This Row],[Sales]]*Superstore_Sales[[#This Row],[Quantity]]</f>
        <v>269.58</v>
      </c>
      <c r="AA636" s="3">
        <f>Superstore_Sales[[#This Row],[TotalSales]]*Superstore_Sales[[#This Row],[Discount]]/100</f>
        <v>0.53915999999999997</v>
      </c>
      <c r="AB636" s="2">
        <f>Superstore_Sales[[#This Row],[TotalSales]]-Superstore_Sales[[#This Row],[Dis_amt]]-Superstore_Sales[[#This Row],[Shipping Cost]]</f>
        <v>263.78084000000001</v>
      </c>
    </row>
    <row r="637" spans="1:28" x14ac:dyDescent="0.35">
      <c r="A637">
        <v>24695</v>
      </c>
      <c r="B637" t="s">
        <v>3156</v>
      </c>
      <c r="C637" s="1">
        <v>41780</v>
      </c>
      <c r="D637" s="1">
        <v>41784</v>
      </c>
      <c r="E637">
        <f>Superstore_Sales[[#This Row],[Ship Date]]-Superstore_Sales[[#This Row],[Order Date]]</f>
        <v>4</v>
      </c>
      <c r="F637" t="s">
        <v>98</v>
      </c>
      <c r="G637" t="s">
        <v>3157</v>
      </c>
      <c r="H637" t="s">
        <v>1210</v>
      </c>
      <c r="I637" t="s">
        <v>65</v>
      </c>
      <c r="K637" t="s">
        <v>3158</v>
      </c>
      <c r="L637" t="s">
        <v>365</v>
      </c>
      <c r="M637" t="s">
        <v>144</v>
      </c>
      <c r="N637" t="s">
        <v>145</v>
      </c>
      <c r="O637" t="s">
        <v>48</v>
      </c>
      <c r="P637" t="s">
        <v>3159</v>
      </c>
      <c r="Q637" t="s">
        <v>35</v>
      </c>
      <c r="R637" t="s">
        <v>81</v>
      </c>
      <c r="S637" t="s">
        <v>3160</v>
      </c>
      <c r="T637">
        <v>2018.88</v>
      </c>
      <c r="U637">
        <v>12</v>
      </c>
      <c r="V637">
        <v>0</v>
      </c>
      <c r="W637">
        <v>928.44</v>
      </c>
      <c r="X637">
        <v>238.34</v>
      </c>
      <c r="Y637" t="s">
        <v>61</v>
      </c>
      <c r="Z637">
        <f>Superstore_Sales[[#This Row],[Sales]]*Superstore_Sales[[#This Row],[Quantity]]</f>
        <v>24226.560000000001</v>
      </c>
      <c r="AA637" s="3">
        <f>Superstore_Sales[[#This Row],[TotalSales]]*Superstore_Sales[[#This Row],[Discount]]/100</f>
        <v>0</v>
      </c>
      <c r="AB637" s="2">
        <f>Superstore_Sales[[#This Row],[TotalSales]]-Superstore_Sales[[#This Row],[Dis_amt]]-Superstore_Sales[[#This Row],[Shipping Cost]]</f>
        <v>23988.22</v>
      </c>
    </row>
    <row r="638" spans="1:28" x14ac:dyDescent="0.35">
      <c r="A638">
        <v>41831</v>
      </c>
      <c r="B638" t="s">
        <v>3161</v>
      </c>
      <c r="C638" s="1">
        <v>42280</v>
      </c>
      <c r="D638" s="1">
        <v>42284</v>
      </c>
      <c r="E638">
        <f>Superstore_Sales[[#This Row],[Ship Date]]-Superstore_Sales[[#This Row],[Order Date]]</f>
        <v>4</v>
      </c>
      <c r="F638" t="s">
        <v>98</v>
      </c>
      <c r="G638" t="s">
        <v>3162</v>
      </c>
      <c r="H638" t="s">
        <v>3163</v>
      </c>
      <c r="I638" t="s">
        <v>28</v>
      </c>
      <c r="K638" t="s">
        <v>3164</v>
      </c>
      <c r="L638" t="s">
        <v>1098</v>
      </c>
      <c r="M638" t="s">
        <v>1099</v>
      </c>
      <c r="N638" t="s">
        <v>1100</v>
      </c>
      <c r="O638" t="s">
        <v>79</v>
      </c>
      <c r="P638" t="s">
        <v>274</v>
      </c>
      <c r="Q638" t="s">
        <v>35</v>
      </c>
      <c r="R638" t="s">
        <v>275</v>
      </c>
      <c r="S638" t="s">
        <v>276</v>
      </c>
      <c r="T638">
        <v>1885.32</v>
      </c>
      <c r="U638">
        <v>6</v>
      </c>
      <c r="V638">
        <v>0</v>
      </c>
      <c r="W638">
        <v>18.72</v>
      </c>
      <c r="X638">
        <v>238.23</v>
      </c>
      <c r="Y638" t="s">
        <v>38</v>
      </c>
      <c r="Z638">
        <f>Superstore_Sales[[#This Row],[Sales]]*Superstore_Sales[[#This Row],[Quantity]]</f>
        <v>11311.92</v>
      </c>
      <c r="AA638" s="3">
        <f>Superstore_Sales[[#This Row],[TotalSales]]*Superstore_Sales[[#This Row],[Discount]]/100</f>
        <v>0</v>
      </c>
      <c r="AB638" s="2">
        <f>Superstore_Sales[[#This Row],[TotalSales]]-Superstore_Sales[[#This Row],[Dis_amt]]-Superstore_Sales[[#This Row],[Shipping Cost]]</f>
        <v>11073.69</v>
      </c>
    </row>
    <row r="639" spans="1:28" x14ac:dyDescent="0.35">
      <c r="A639">
        <v>12230</v>
      </c>
      <c r="B639" t="s">
        <v>3165</v>
      </c>
      <c r="C639" s="1">
        <v>41268</v>
      </c>
      <c r="D639" s="1">
        <v>41273</v>
      </c>
      <c r="E639">
        <f>Superstore_Sales[[#This Row],[Ship Date]]-Superstore_Sales[[#This Row],[Order Date]]</f>
        <v>5</v>
      </c>
      <c r="F639" t="s">
        <v>98</v>
      </c>
      <c r="G639" t="s">
        <v>3166</v>
      </c>
      <c r="H639" t="s">
        <v>2349</v>
      </c>
      <c r="I639" t="s">
        <v>43</v>
      </c>
      <c r="K639" t="s">
        <v>3167</v>
      </c>
      <c r="L639" t="s">
        <v>310</v>
      </c>
      <c r="M639" t="s">
        <v>210</v>
      </c>
      <c r="N639" t="s">
        <v>211</v>
      </c>
      <c r="O639" t="s">
        <v>69</v>
      </c>
      <c r="P639" t="s">
        <v>2656</v>
      </c>
      <c r="Q639" t="s">
        <v>50</v>
      </c>
      <c r="R639" t="s">
        <v>104</v>
      </c>
      <c r="S639" t="s">
        <v>2657</v>
      </c>
      <c r="T639">
        <v>3119.34</v>
      </c>
      <c r="U639">
        <v>7</v>
      </c>
      <c r="V639">
        <v>0</v>
      </c>
      <c r="W639">
        <v>1528.38</v>
      </c>
      <c r="X639">
        <v>238.03</v>
      </c>
      <c r="Y639" t="s">
        <v>61</v>
      </c>
      <c r="Z639">
        <f>Superstore_Sales[[#This Row],[Sales]]*Superstore_Sales[[#This Row],[Quantity]]</f>
        <v>21835.38</v>
      </c>
      <c r="AA639" s="3">
        <f>Superstore_Sales[[#This Row],[TotalSales]]*Superstore_Sales[[#This Row],[Discount]]/100</f>
        <v>0</v>
      </c>
      <c r="AB639" s="2">
        <f>Superstore_Sales[[#This Row],[TotalSales]]-Superstore_Sales[[#This Row],[Dis_amt]]-Superstore_Sales[[#This Row],[Shipping Cost]]</f>
        <v>21597.350000000002</v>
      </c>
    </row>
    <row r="640" spans="1:28" x14ac:dyDescent="0.35">
      <c r="A640">
        <v>14209</v>
      </c>
      <c r="B640" t="s">
        <v>3168</v>
      </c>
      <c r="C640" s="1">
        <v>42271</v>
      </c>
      <c r="D640" s="1">
        <v>42278</v>
      </c>
      <c r="E640">
        <f>Superstore_Sales[[#This Row],[Ship Date]]-Superstore_Sales[[#This Row],[Order Date]]</f>
        <v>7</v>
      </c>
      <c r="F640" t="s">
        <v>98</v>
      </c>
      <c r="G640" t="s">
        <v>3169</v>
      </c>
      <c r="H640" t="s">
        <v>3170</v>
      </c>
      <c r="I640" t="s">
        <v>65</v>
      </c>
      <c r="K640" t="s">
        <v>3171</v>
      </c>
      <c r="L640" t="s">
        <v>3172</v>
      </c>
      <c r="M640" t="s">
        <v>67</v>
      </c>
      <c r="N640" t="s">
        <v>68</v>
      </c>
      <c r="O640" t="s">
        <v>69</v>
      </c>
      <c r="P640" t="s">
        <v>1160</v>
      </c>
      <c r="Q640" t="s">
        <v>50</v>
      </c>
      <c r="R640" t="s">
        <v>336</v>
      </c>
      <c r="S640" t="s">
        <v>1161</v>
      </c>
      <c r="T640">
        <v>1964.25</v>
      </c>
      <c r="U640">
        <v>6</v>
      </c>
      <c r="V640">
        <v>0.1</v>
      </c>
      <c r="W640">
        <v>21.69</v>
      </c>
      <c r="X640">
        <v>237.78</v>
      </c>
      <c r="Y640" t="s">
        <v>164</v>
      </c>
      <c r="Z640">
        <f>Superstore_Sales[[#This Row],[Sales]]*Superstore_Sales[[#This Row],[Quantity]]</f>
        <v>11785.5</v>
      </c>
      <c r="AA640" s="3">
        <f>Superstore_Sales[[#This Row],[TotalSales]]*Superstore_Sales[[#This Row],[Discount]]/100</f>
        <v>11.785499999999999</v>
      </c>
      <c r="AB640" s="2">
        <f>Superstore_Sales[[#This Row],[TotalSales]]-Superstore_Sales[[#This Row],[Dis_amt]]-Superstore_Sales[[#This Row],[Shipping Cost]]</f>
        <v>11535.934499999999</v>
      </c>
    </row>
    <row r="641" spans="1:28" x14ac:dyDescent="0.35">
      <c r="A641">
        <v>30724</v>
      </c>
      <c r="B641" t="s">
        <v>3173</v>
      </c>
      <c r="C641" s="1">
        <v>42242</v>
      </c>
      <c r="D641" s="1">
        <v>42244</v>
      </c>
      <c r="E641">
        <f>Superstore_Sales[[#This Row],[Ship Date]]-Superstore_Sales[[#This Row],[Order Date]]</f>
        <v>2</v>
      </c>
      <c r="F641" t="s">
        <v>25</v>
      </c>
      <c r="G641" t="s">
        <v>1742</v>
      </c>
      <c r="H641" t="s">
        <v>1743</v>
      </c>
      <c r="I641" t="s">
        <v>65</v>
      </c>
      <c r="K641" t="s">
        <v>286</v>
      </c>
      <c r="L641" t="s">
        <v>58</v>
      </c>
      <c r="M641" t="s">
        <v>46</v>
      </c>
      <c r="N641" t="s">
        <v>47</v>
      </c>
      <c r="O641" t="s">
        <v>48</v>
      </c>
      <c r="P641" t="s">
        <v>1419</v>
      </c>
      <c r="Q641" t="s">
        <v>50</v>
      </c>
      <c r="R641" t="s">
        <v>51</v>
      </c>
      <c r="S641" t="s">
        <v>1420</v>
      </c>
      <c r="T641">
        <v>1653.8</v>
      </c>
      <c r="U641">
        <v>6</v>
      </c>
      <c r="V641">
        <v>0.4</v>
      </c>
      <c r="W641">
        <v>-689.26</v>
      </c>
      <c r="X641">
        <v>237.38</v>
      </c>
      <c r="Y641" t="s">
        <v>38</v>
      </c>
      <c r="Z641">
        <f>Superstore_Sales[[#This Row],[Sales]]*Superstore_Sales[[#This Row],[Quantity]]</f>
        <v>9922.7999999999993</v>
      </c>
      <c r="AA641" s="3">
        <f>Superstore_Sales[[#This Row],[TotalSales]]*Superstore_Sales[[#This Row],[Discount]]/100</f>
        <v>39.691200000000002</v>
      </c>
      <c r="AB641" s="2">
        <f>Superstore_Sales[[#This Row],[TotalSales]]-Superstore_Sales[[#This Row],[Dis_amt]]-Superstore_Sales[[#This Row],[Shipping Cost]]</f>
        <v>9645.7288000000008</v>
      </c>
    </row>
    <row r="642" spans="1:28" x14ac:dyDescent="0.35">
      <c r="A642">
        <v>47042</v>
      </c>
      <c r="B642" t="s">
        <v>3174</v>
      </c>
      <c r="C642" s="1">
        <v>42326</v>
      </c>
      <c r="D642" s="1">
        <v>42329</v>
      </c>
      <c r="E642">
        <f>Superstore_Sales[[#This Row],[Ship Date]]-Superstore_Sales[[#This Row],[Order Date]]</f>
        <v>3</v>
      </c>
      <c r="F642" t="s">
        <v>40</v>
      </c>
      <c r="G642" t="s">
        <v>3175</v>
      </c>
      <c r="H642" t="s">
        <v>2914</v>
      </c>
      <c r="I642" t="s">
        <v>28</v>
      </c>
      <c r="K642" t="s">
        <v>926</v>
      </c>
      <c r="L642" t="s">
        <v>927</v>
      </c>
      <c r="M642" t="s">
        <v>125</v>
      </c>
      <c r="N642" t="s">
        <v>126</v>
      </c>
      <c r="O642" t="s">
        <v>48</v>
      </c>
      <c r="P642" t="s">
        <v>2541</v>
      </c>
      <c r="Q642" t="s">
        <v>35</v>
      </c>
      <c r="R642" t="s">
        <v>275</v>
      </c>
      <c r="S642" t="s">
        <v>2542</v>
      </c>
      <c r="T642">
        <v>621</v>
      </c>
      <c r="U642">
        <v>2</v>
      </c>
      <c r="V642">
        <v>0</v>
      </c>
      <c r="W642">
        <v>180.06</v>
      </c>
      <c r="X642">
        <v>237.28</v>
      </c>
      <c r="Y642" t="s">
        <v>53</v>
      </c>
      <c r="Z642">
        <f>Superstore_Sales[[#This Row],[Sales]]*Superstore_Sales[[#This Row],[Quantity]]</f>
        <v>1242</v>
      </c>
      <c r="AA642" s="3">
        <f>Superstore_Sales[[#This Row],[TotalSales]]*Superstore_Sales[[#This Row],[Discount]]/100</f>
        <v>0</v>
      </c>
      <c r="AB642" s="2">
        <f>Superstore_Sales[[#This Row],[TotalSales]]-Superstore_Sales[[#This Row],[Dis_amt]]-Superstore_Sales[[#This Row],[Shipping Cost]]</f>
        <v>1004.72</v>
      </c>
    </row>
    <row r="643" spans="1:28" x14ac:dyDescent="0.35">
      <c r="A643">
        <v>24164</v>
      </c>
      <c r="B643" t="s">
        <v>3176</v>
      </c>
      <c r="C643" s="1">
        <v>41609</v>
      </c>
      <c r="D643" s="1">
        <v>41615</v>
      </c>
      <c r="E643">
        <f>Superstore_Sales[[#This Row],[Ship Date]]-Superstore_Sales[[#This Row],[Order Date]]</f>
        <v>6</v>
      </c>
      <c r="F643" t="s">
        <v>98</v>
      </c>
      <c r="G643" t="s">
        <v>3177</v>
      </c>
      <c r="H643" t="s">
        <v>422</v>
      </c>
      <c r="I643" t="s">
        <v>28</v>
      </c>
      <c r="K643" t="s">
        <v>3178</v>
      </c>
      <c r="L643" t="s">
        <v>1418</v>
      </c>
      <c r="M643" t="s">
        <v>258</v>
      </c>
      <c r="N643" t="s">
        <v>118</v>
      </c>
      <c r="O643" t="s">
        <v>48</v>
      </c>
      <c r="P643" t="s">
        <v>2194</v>
      </c>
      <c r="Q643" t="s">
        <v>35</v>
      </c>
      <c r="R643" t="s">
        <v>81</v>
      </c>
      <c r="S643" t="s">
        <v>2195</v>
      </c>
      <c r="T643">
        <v>2673.81</v>
      </c>
      <c r="U643">
        <v>9</v>
      </c>
      <c r="V643">
        <v>0</v>
      </c>
      <c r="W643">
        <v>26.73</v>
      </c>
      <c r="X643">
        <v>237.05</v>
      </c>
      <c r="Y643" t="s">
        <v>61</v>
      </c>
      <c r="Z643">
        <f>Superstore_Sales[[#This Row],[Sales]]*Superstore_Sales[[#This Row],[Quantity]]</f>
        <v>24064.29</v>
      </c>
      <c r="AA643" s="3">
        <f>Superstore_Sales[[#This Row],[TotalSales]]*Superstore_Sales[[#This Row],[Discount]]/100</f>
        <v>0</v>
      </c>
      <c r="AB643" s="2">
        <f>Superstore_Sales[[#This Row],[TotalSales]]-Superstore_Sales[[#This Row],[Dis_amt]]-Superstore_Sales[[#This Row],[Shipping Cost]]</f>
        <v>23827.24</v>
      </c>
    </row>
    <row r="644" spans="1:28" x14ac:dyDescent="0.35">
      <c r="A644">
        <v>16213</v>
      </c>
      <c r="B644" t="s">
        <v>3179</v>
      </c>
      <c r="C644" s="1">
        <v>42253</v>
      </c>
      <c r="D644" s="1">
        <v>42253</v>
      </c>
      <c r="E644">
        <f>Superstore_Sales[[#This Row],[Ship Date]]-Superstore_Sales[[#This Row],[Order Date]]</f>
        <v>0</v>
      </c>
      <c r="F644" t="s">
        <v>73</v>
      </c>
      <c r="G644" t="s">
        <v>3180</v>
      </c>
      <c r="H644" t="s">
        <v>2749</v>
      </c>
      <c r="I644" t="s">
        <v>65</v>
      </c>
      <c r="K644" t="s">
        <v>3181</v>
      </c>
      <c r="L644" t="s">
        <v>3182</v>
      </c>
      <c r="M644" t="s">
        <v>170</v>
      </c>
      <c r="N644" t="s">
        <v>171</v>
      </c>
      <c r="O644" t="s">
        <v>69</v>
      </c>
      <c r="P644" t="s">
        <v>335</v>
      </c>
      <c r="Q644" t="s">
        <v>50</v>
      </c>
      <c r="R644" t="s">
        <v>336</v>
      </c>
      <c r="S644" t="s">
        <v>337</v>
      </c>
      <c r="T644">
        <v>1307.97</v>
      </c>
      <c r="U644">
        <v>3</v>
      </c>
      <c r="V644">
        <v>0</v>
      </c>
      <c r="W644">
        <v>536.22</v>
      </c>
      <c r="X644">
        <v>236.79</v>
      </c>
      <c r="Y644" t="s">
        <v>38</v>
      </c>
      <c r="Z644">
        <f>Superstore_Sales[[#This Row],[Sales]]*Superstore_Sales[[#This Row],[Quantity]]</f>
        <v>3923.91</v>
      </c>
      <c r="AA644" s="3">
        <f>Superstore_Sales[[#This Row],[TotalSales]]*Superstore_Sales[[#This Row],[Discount]]/100</f>
        <v>0</v>
      </c>
      <c r="AB644" s="2">
        <f>Superstore_Sales[[#This Row],[TotalSales]]-Superstore_Sales[[#This Row],[Dis_amt]]-Superstore_Sales[[#This Row],[Shipping Cost]]</f>
        <v>3687.12</v>
      </c>
    </row>
    <row r="645" spans="1:28" x14ac:dyDescent="0.35">
      <c r="A645">
        <v>18865</v>
      </c>
      <c r="B645" t="s">
        <v>3183</v>
      </c>
      <c r="C645" s="1">
        <v>42277</v>
      </c>
      <c r="D645" s="1">
        <v>42279</v>
      </c>
      <c r="E645">
        <f>Superstore_Sales[[#This Row],[Ship Date]]-Superstore_Sales[[#This Row],[Order Date]]</f>
        <v>2</v>
      </c>
      <c r="F645" t="s">
        <v>25</v>
      </c>
      <c r="G645" t="s">
        <v>3184</v>
      </c>
      <c r="H645" t="s">
        <v>370</v>
      </c>
      <c r="I645" t="s">
        <v>28</v>
      </c>
      <c r="K645" t="s">
        <v>3185</v>
      </c>
      <c r="L645" t="s">
        <v>2186</v>
      </c>
      <c r="M645" t="s">
        <v>170</v>
      </c>
      <c r="N645" t="s">
        <v>171</v>
      </c>
      <c r="O645" t="s">
        <v>69</v>
      </c>
      <c r="P645" t="s">
        <v>267</v>
      </c>
      <c r="Q645" t="s">
        <v>35</v>
      </c>
      <c r="R645" t="s">
        <v>36</v>
      </c>
      <c r="S645" t="s">
        <v>268</v>
      </c>
      <c r="T645">
        <v>1145.23</v>
      </c>
      <c r="U645">
        <v>3</v>
      </c>
      <c r="V645">
        <v>0.4</v>
      </c>
      <c r="W645">
        <v>-706.25</v>
      </c>
      <c r="X645">
        <v>236.69</v>
      </c>
      <c r="Y645" t="s">
        <v>53</v>
      </c>
      <c r="Z645">
        <f>Superstore_Sales[[#This Row],[Sales]]*Superstore_Sales[[#This Row],[Quantity]]</f>
        <v>3435.69</v>
      </c>
      <c r="AA645" s="3">
        <f>Superstore_Sales[[#This Row],[TotalSales]]*Superstore_Sales[[#This Row],[Discount]]/100</f>
        <v>13.742760000000001</v>
      </c>
      <c r="AB645" s="2">
        <f>Superstore_Sales[[#This Row],[TotalSales]]-Superstore_Sales[[#This Row],[Dis_amt]]-Superstore_Sales[[#This Row],[Shipping Cost]]</f>
        <v>3185.2572399999999</v>
      </c>
    </row>
    <row r="646" spans="1:28" x14ac:dyDescent="0.35">
      <c r="A646">
        <v>39961</v>
      </c>
      <c r="B646" t="s">
        <v>3186</v>
      </c>
      <c r="C646" s="1">
        <v>42094</v>
      </c>
      <c r="D646" s="1">
        <v>42096</v>
      </c>
      <c r="E646">
        <f>Superstore_Sales[[#This Row],[Ship Date]]-Superstore_Sales[[#This Row],[Order Date]]</f>
        <v>2</v>
      </c>
      <c r="F646" t="s">
        <v>40</v>
      </c>
      <c r="G646" t="s">
        <v>3087</v>
      </c>
      <c r="H646" t="s">
        <v>3072</v>
      </c>
      <c r="I646" t="s">
        <v>28</v>
      </c>
      <c r="J646">
        <v>90712</v>
      </c>
      <c r="K646" t="s">
        <v>3187</v>
      </c>
      <c r="L646" t="s">
        <v>280</v>
      </c>
      <c r="M646" t="s">
        <v>31</v>
      </c>
      <c r="N646" t="s">
        <v>110</v>
      </c>
      <c r="O646" t="s">
        <v>33</v>
      </c>
      <c r="P646" t="s">
        <v>3188</v>
      </c>
      <c r="Q646" t="s">
        <v>50</v>
      </c>
      <c r="R646" t="s">
        <v>353</v>
      </c>
      <c r="S646" t="s">
        <v>3189</v>
      </c>
      <c r="T646">
        <v>94.2</v>
      </c>
      <c r="U646">
        <v>5</v>
      </c>
      <c r="V646">
        <v>0</v>
      </c>
      <c r="W646">
        <v>39.56</v>
      </c>
      <c r="X646">
        <v>4.6900000000000004</v>
      </c>
      <c r="Y646" t="s">
        <v>61</v>
      </c>
      <c r="Z646">
        <f>Superstore_Sales[[#This Row],[Sales]]*Superstore_Sales[[#This Row],[Quantity]]</f>
        <v>471</v>
      </c>
      <c r="AA646" s="3">
        <f>Superstore_Sales[[#This Row],[TotalSales]]*Superstore_Sales[[#This Row],[Discount]]/100</f>
        <v>0</v>
      </c>
      <c r="AB646" s="2">
        <f>Superstore_Sales[[#This Row],[TotalSales]]-Superstore_Sales[[#This Row],[Dis_amt]]-Superstore_Sales[[#This Row],[Shipping Cost]]</f>
        <v>466.31</v>
      </c>
    </row>
    <row r="647" spans="1:28" x14ac:dyDescent="0.35">
      <c r="A647">
        <v>9567</v>
      </c>
      <c r="B647" t="s">
        <v>3190</v>
      </c>
      <c r="C647" s="1">
        <v>41543</v>
      </c>
      <c r="D647" s="1">
        <v>41545</v>
      </c>
      <c r="E647">
        <f>Superstore_Sales[[#This Row],[Ship Date]]-Superstore_Sales[[#This Row],[Order Date]]</f>
        <v>2</v>
      </c>
      <c r="F647" t="s">
        <v>25</v>
      </c>
      <c r="G647" t="s">
        <v>3191</v>
      </c>
      <c r="H647" t="s">
        <v>1198</v>
      </c>
      <c r="I647" t="s">
        <v>65</v>
      </c>
      <c r="K647" t="s">
        <v>895</v>
      </c>
      <c r="L647" t="s">
        <v>896</v>
      </c>
      <c r="M647" t="s">
        <v>896</v>
      </c>
      <c r="N647" t="s">
        <v>220</v>
      </c>
      <c r="O647" t="s">
        <v>136</v>
      </c>
      <c r="P647" t="s">
        <v>2145</v>
      </c>
      <c r="Q647" t="s">
        <v>35</v>
      </c>
      <c r="R647" t="s">
        <v>81</v>
      </c>
      <c r="S647" t="s">
        <v>2146</v>
      </c>
      <c r="T647">
        <v>1902.11</v>
      </c>
      <c r="U647">
        <v>8</v>
      </c>
      <c r="V647">
        <v>2E-3</v>
      </c>
      <c r="W647">
        <v>872.83</v>
      </c>
      <c r="X647">
        <v>236.56399999999999</v>
      </c>
      <c r="Y647" t="s">
        <v>61</v>
      </c>
      <c r="Z647">
        <f>Superstore_Sales[[#This Row],[Sales]]*Superstore_Sales[[#This Row],[Quantity]]</f>
        <v>15216.88</v>
      </c>
      <c r="AA647" s="3">
        <f>Superstore_Sales[[#This Row],[TotalSales]]*Superstore_Sales[[#This Row],[Discount]]/100</f>
        <v>0.30433759999999999</v>
      </c>
      <c r="AB647" s="2">
        <f>Superstore_Sales[[#This Row],[TotalSales]]-Superstore_Sales[[#This Row],[Dis_amt]]-Superstore_Sales[[#This Row],[Shipping Cost]]</f>
        <v>14980.011662399998</v>
      </c>
    </row>
    <row r="648" spans="1:28" x14ac:dyDescent="0.35">
      <c r="A648">
        <v>19965</v>
      </c>
      <c r="B648" t="s">
        <v>3192</v>
      </c>
      <c r="C648" s="1">
        <v>42368</v>
      </c>
      <c r="D648" s="1">
        <v>42371</v>
      </c>
      <c r="E648">
        <f>Superstore_Sales[[#This Row],[Ship Date]]-Superstore_Sales[[#This Row],[Order Date]]</f>
        <v>3</v>
      </c>
      <c r="F648" t="s">
        <v>25</v>
      </c>
      <c r="G648" t="s">
        <v>3193</v>
      </c>
      <c r="H648" t="s">
        <v>3194</v>
      </c>
      <c r="I648" t="s">
        <v>43</v>
      </c>
      <c r="K648" t="s">
        <v>3195</v>
      </c>
      <c r="L648" t="s">
        <v>3196</v>
      </c>
      <c r="M648" t="s">
        <v>2203</v>
      </c>
      <c r="N648" t="s">
        <v>68</v>
      </c>
      <c r="O648" t="s">
        <v>69</v>
      </c>
      <c r="P648" t="s">
        <v>3197</v>
      </c>
      <c r="Q648" t="s">
        <v>35</v>
      </c>
      <c r="R648" t="s">
        <v>81</v>
      </c>
      <c r="S648" t="s">
        <v>3198</v>
      </c>
      <c r="T648">
        <v>1913.4</v>
      </c>
      <c r="U648">
        <v>10</v>
      </c>
      <c r="V648">
        <v>0</v>
      </c>
      <c r="W648">
        <v>899.1</v>
      </c>
      <c r="X648">
        <v>236.49</v>
      </c>
      <c r="Y648" t="s">
        <v>53</v>
      </c>
      <c r="Z648">
        <f>Superstore_Sales[[#This Row],[Sales]]*Superstore_Sales[[#This Row],[Quantity]]</f>
        <v>19134</v>
      </c>
      <c r="AA648" s="3">
        <f>Superstore_Sales[[#This Row],[TotalSales]]*Superstore_Sales[[#This Row],[Discount]]/100</f>
        <v>0</v>
      </c>
      <c r="AB648" s="2">
        <f>Superstore_Sales[[#This Row],[TotalSales]]-Superstore_Sales[[#This Row],[Dis_amt]]-Superstore_Sales[[#This Row],[Shipping Cost]]</f>
        <v>18897.509999999998</v>
      </c>
    </row>
    <row r="649" spans="1:28" x14ac:dyDescent="0.35">
      <c r="A649">
        <v>43835</v>
      </c>
      <c r="B649" t="s">
        <v>3199</v>
      </c>
      <c r="C649" s="1">
        <v>42024</v>
      </c>
      <c r="D649" s="1">
        <v>42029</v>
      </c>
      <c r="E649">
        <f>Superstore_Sales[[#This Row],[Ship Date]]-Superstore_Sales[[#This Row],[Order Date]]</f>
        <v>5</v>
      </c>
      <c r="F649" t="s">
        <v>40</v>
      </c>
      <c r="G649" t="s">
        <v>3200</v>
      </c>
      <c r="H649" t="s">
        <v>2109</v>
      </c>
      <c r="I649" t="s">
        <v>28</v>
      </c>
      <c r="K649" t="s">
        <v>3201</v>
      </c>
      <c r="L649" t="s">
        <v>397</v>
      </c>
      <c r="M649" t="s">
        <v>399</v>
      </c>
      <c r="N649" t="s">
        <v>186</v>
      </c>
      <c r="O649" t="s">
        <v>79</v>
      </c>
      <c r="P649" t="s">
        <v>1321</v>
      </c>
      <c r="Q649" t="s">
        <v>50</v>
      </c>
      <c r="R649" t="s">
        <v>51</v>
      </c>
      <c r="S649" t="s">
        <v>1322</v>
      </c>
      <c r="T649">
        <v>1854.72</v>
      </c>
      <c r="U649">
        <v>4</v>
      </c>
      <c r="V649">
        <v>0</v>
      </c>
      <c r="W649">
        <v>778.92</v>
      </c>
      <c r="X649">
        <v>236.26</v>
      </c>
      <c r="Y649" t="s">
        <v>61</v>
      </c>
      <c r="Z649">
        <f>Superstore_Sales[[#This Row],[Sales]]*Superstore_Sales[[#This Row],[Quantity]]</f>
        <v>7418.88</v>
      </c>
      <c r="AA649" s="3">
        <f>Superstore_Sales[[#This Row],[TotalSales]]*Superstore_Sales[[#This Row],[Discount]]/100</f>
        <v>0</v>
      </c>
      <c r="AB649" s="2">
        <f>Superstore_Sales[[#This Row],[TotalSales]]-Superstore_Sales[[#This Row],[Dis_amt]]-Superstore_Sales[[#This Row],[Shipping Cost]]</f>
        <v>7182.62</v>
      </c>
    </row>
    <row r="650" spans="1:28" x14ac:dyDescent="0.35">
      <c r="A650">
        <v>17674</v>
      </c>
      <c r="B650" t="s">
        <v>3202</v>
      </c>
      <c r="C650" s="1">
        <v>41835</v>
      </c>
      <c r="D650" s="1">
        <v>41838</v>
      </c>
      <c r="E650">
        <f>Superstore_Sales[[#This Row],[Ship Date]]-Superstore_Sales[[#This Row],[Order Date]]</f>
        <v>3</v>
      </c>
      <c r="F650" t="s">
        <v>40</v>
      </c>
      <c r="G650" t="s">
        <v>3203</v>
      </c>
      <c r="H650" t="s">
        <v>596</v>
      </c>
      <c r="I650" t="s">
        <v>28</v>
      </c>
      <c r="K650" t="s">
        <v>3204</v>
      </c>
      <c r="L650" t="s">
        <v>651</v>
      </c>
      <c r="M650" t="s">
        <v>155</v>
      </c>
      <c r="N650" t="s">
        <v>68</v>
      </c>
      <c r="O650" t="s">
        <v>69</v>
      </c>
      <c r="P650" t="s">
        <v>259</v>
      </c>
      <c r="Q650" t="s">
        <v>50</v>
      </c>
      <c r="R650" t="s">
        <v>51</v>
      </c>
      <c r="S650" t="s">
        <v>260</v>
      </c>
      <c r="T650">
        <v>2958.98</v>
      </c>
      <c r="U650">
        <v>7</v>
      </c>
      <c r="V650">
        <v>0.1</v>
      </c>
      <c r="W650">
        <v>953.27</v>
      </c>
      <c r="X650">
        <v>236.23</v>
      </c>
      <c r="Y650" t="s">
        <v>61</v>
      </c>
      <c r="Z650">
        <f>Superstore_Sales[[#This Row],[Sales]]*Superstore_Sales[[#This Row],[Quantity]]</f>
        <v>20712.86</v>
      </c>
      <c r="AA650" s="3">
        <f>Superstore_Sales[[#This Row],[TotalSales]]*Superstore_Sales[[#This Row],[Discount]]/100</f>
        <v>20.712859999999999</v>
      </c>
      <c r="AB650" s="2">
        <f>Superstore_Sales[[#This Row],[TotalSales]]-Superstore_Sales[[#This Row],[Dis_amt]]-Superstore_Sales[[#This Row],[Shipping Cost]]</f>
        <v>20455.917140000001</v>
      </c>
    </row>
    <row r="651" spans="1:28" x14ac:dyDescent="0.35">
      <c r="A651">
        <v>25322</v>
      </c>
      <c r="B651" t="s">
        <v>3205</v>
      </c>
      <c r="C651" s="1">
        <v>40967</v>
      </c>
      <c r="D651" s="1">
        <v>40970</v>
      </c>
      <c r="E651">
        <f>Superstore_Sales[[#This Row],[Ship Date]]-Superstore_Sales[[#This Row],[Order Date]]</f>
        <v>3</v>
      </c>
      <c r="F651" t="s">
        <v>25</v>
      </c>
      <c r="G651" t="s">
        <v>3206</v>
      </c>
      <c r="H651" t="s">
        <v>2160</v>
      </c>
      <c r="I651" t="s">
        <v>65</v>
      </c>
      <c r="K651" t="s">
        <v>3207</v>
      </c>
      <c r="L651" t="s">
        <v>3207</v>
      </c>
      <c r="M651" t="s">
        <v>3208</v>
      </c>
      <c r="N651" t="s">
        <v>145</v>
      </c>
      <c r="O651" t="s">
        <v>48</v>
      </c>
      <c r="P651" t="s">
        <v>604</v>
      </c>
      <c r="Q651" t="s">
        <v>147</v>
      </c>
      <c r="R651" t="s">
        <v>148</v>
      </c>
      <c r="S651" t="s">
        <v>605</v>
      </c>
      <c r="T651">
        <v>810.72</v>
      </c>
      <c r="U651">
        <v>3</v>
      </c>
      <c r="V651">
        <v>0.5</v>
      </c>
      <c r="W651">
        <v>-599.94000000000005</v>
      </c>
      <c r="X651">
        <v>236.16</v>
      </c>
      <c r="Y651" t="s">
        <v>53</v>
      </c>
      <c r="Z651">
        <f>Superstore_Sales[[#This Row],[Sales]]*Superstore_Sales[[#This Row],[Quantity]]</f>
        <v>2432.16</v>
      </c>
      <c r="AA651" s="3">
        <f>Superstore_Sales[[#This Row],[TotalSales]]*Superstore_Sales[[#This Row],[Discount]]/100</f>
        <v>12.1608</v>
      </c>
      <c r="AB651" s="2">
        <f>Superstore_Sales[[#This Row],[TotalSales]]-Superstore_Sales[[#This Row],[Dis_amt]]-Superstore_Sales[[#This Row],[Shipping Cost]]</f>
        <v>2183.8391999999999</v>
      </c>
    </row>
    <row r="652" spans="1:28" x14ac:dyDescent="0.35">
      <c r="A652">
        <v>12672</v>
      </c>
      <c r="B652" t="s">
        <v>3209</v>
      </c>
      <c r="C652" s="1">
        <v>42094</v>
      </c>
      <c r="D652" s="1">
        <v>42094</v>
      </c>
      <c r="E652">
        <f>Superstore_Sales[[#This Row],[Ship Date]]-Superstore_Sales[[#This Row],[Order Date]]</f>
        <v>0</v>
      </c>
      <c r="F652" t="s">
        <v>73</v>
      </c>
      <c r="G652" t="s">
        <v>3210</v>
      </c>
      <c r="H652" t="s">
        <v>3211</v>
      </c>
      <c r="I652" t="s">
        <v>28</v>
      </c>
      <c r="K652" t="s">
        <v>3212</v>
      </c>
      <c r="L652" t="s">
        <v>1360</v>
      </c>
      <c r="M652" t="s">
        <v>155</v>
      </c>
      <c r="N652" t="s">
        <v>68</v>
      </c>
      <c r="O652" t="s">
        <v>69</v>
      </c>
      <c r="P652" t="s">
        <v>2504</v>
      </c>
      <c r="Q652" t="s">
        <v>50</v>
      </c>
      <c r="R652" t="s">
        <v>336</v>
      </c>
      <c r="S652" t="s">
        <v>2505</v>
      </c>
      <c r="T652">
        <v>2953.58</v>
      </c>
      <c r="U652">
        <v>8</v>
      </c>
      <c r="V652">
        <v>0.1</v>
      </c>
      <c r="W652">
        <v>754.7</v>
      </c>
      <c r="X652">
        <v>236.13</v>
      </c>
      <c r="Y652" t="s">
        <v>61</v>
      </c>
      <c r="Z652">
        <f>Superstore_Sales[[#This Row],[Sales]]*Superstore_Sales[[#This Row],[Quantity]]</f>
        <v>23628.639999999999</v>
      </c>
      <c r="AA652" s="3">
        <f>Superstore_Sales[[#This Row],[TotalSales]]*Superstore_Sales[[#This Row],[Discount]]/100</f>
        <v>23.628640000000001</v>
      </c>
      <c r="AB652" s="2">
        <f>Superstore_Sales[[#This Row],[TotalSales]]-Superstore_Sales[[#This Row],[Dis_amt]]-Superstore_Sales[[#This Row],[Shipping Cost]]</f>
        <v>23368.881359999999</v>
      </c>
    </row>
    <row r="653" spans="1:28" x14ac:dyDescent="0.35">
      <c r="A653">
        <v>12964</v>
      </c>
      <c r="B653" t="s">
        <v>3213</v>
      </c>
      <c r="C653" s="1">
        <v>41793</v>
      </c>
      <c r="D653" s="1">
        <v>41796</v>
      </c>
      <c r="E653">
        <f>Superstore_Sales[[#This Row],[Ship Date]]-Superstore_Sales[[#This Row],[Order Date]]</f>
        <v>3</v>
      </c>
      <c r="F653" t="s">
        <v>40</v>
      </c>
      <c r="G653" t="s">
        <v>3214</v>
      </c>
      <c r="H653" t="s">
        <v>2642</v>
      </c>
      <c r="I653" t="s">
        <v>43</v>
      </c>
      <c r="K653" t="s">
        <v>3215</v>
      </c>
      <c r="L653" t="s">
        <v>3216</v>
      </c>
      <c r="M653" t="s">
        <v>170</v>
      </c>
      <c r="N653" t="s">
        <v>171</v>
      </c>
      <c r="O653" t="s">
        <v>69</v>
      </c>
      <c r="P653" t="s">
        <v>1055</v>
      </c>
      <c r="Q653" t="s">
        <v>147</v>
      </c>
      <c r="R653" t="s">
        <v>148</v>
      </c>
      <c r="S653" t="s">
        <v>1056</v>
      </c>
      <c r="T653">
        <v>2593.8000000000002</v>
      </c>
      <c r="U653">
        <v>5</v>
      </c>
      <c r="V653">
        <v>0</v>
      </c>
      <c r="W653">
        <v>1141.2</v>
      </c>
      <c r="X653">
        <v>236.06</v>
      </c>
      <c r="Y653" t="s">
        <v>38</v>
      </c>
      <c r="Z653">
        <f>Superstore_Sales[[#This Row],[Sales]]*Superstore_Sales[[#This Row],[Quantity]]</f>
        <v>12969</v>
      </c>
      <c r="AA653" s="3">
        <f>Superstore_Sales[[#This Row],[TotalSales]]*Superstore_Sales[[#This Row],[Discount]]/100</f>
        <v>0</v>
      </c>
      <c r="AB653" s="2">
        <f>Superstore_Sales[[#This Row],[TotalSales]]-Superstore_Sales[[#This Row],[Dis_amt]]-Superstore_Sales[[#This Row],[Shipping Cost]]</f>
        <v>12732.94</v>
      </c>
    </row>
    <row r="654" spans="1:28" x14ac:dyDescent="0.35">
      <c r="A654">
        <v>29525</v>
      </c>
      <c r="B654" t="s">
        <v>3217</v>
      </c>
      <c r="C654" s="1">
        <v>41703</v>
      </c>
      <c r="D654" s="1">
        <v>41710</v>
      </c>
      <c r="E654">
        <f>Superstore_Sales[[#This Row],[Ship Date]]-Superstore_Sales[[#This Row],[Order Date]]</f>
        <v>7</v>
      </c>
      <c r="F654" t="s">
        <v>98</v>
      </c>
      <c r="G654" t="s">
        <v>3218</v>
      </c>
      <c r="H654" t="s">
        <v>2452</v>
      </c>
      <c r="I654" t="s">
        <v>28</v>
      </c>
      <c r="K654" t="s">
        <v>943</v>
      </c>
      <c r="L654" t="s">
        <v>943</v>
      </c>
      <c r="M654" t="s">
        <v>321</v>
      </c>
      <c r="N654" t="s">
        <v>322</v>
      </c>
      <c r="O654" t="s">
        <v>48</v>
      </c>
      <c r="P654" t="s">
        <v>3219</v>
      </c>
      <c r="Q654" t="s">
        <v>147</v>
      </c>
      <c r="R654" t="s">
        <v>148</v>
      </c>
      <c r="S654" t="s">
        <v>3220</v>
      </c>
      <c r="T654">
        <v>2051.0100000000002</v>
      </c>
      <c r="U654">
        <v>5</v>
      </c>
      <c r="V654">
        <v>0.17</v>
      </c>
      <c r="W654">
        <v>667.11</v>
      </c>
      <c r="X654">
        <v>235.88</v>
      </c>
      <c r="Y654" t="s">
        <v>61</v>
      </c>
      <c r="Z654">
        <f>Superstore_Sales[[#This Row],[Sales]]*Superstore_Sales[[#This Row],[Quantity]]</f>
        <v>10255.050000000001</v>
      </c>
      <c r="AA654" s="3">
        <f>Superstore_Sales[[#This Row],[TotalSales]]*Superstore_Sales[[#This Row],[Discount]]/100</f>
        <v>17.433585000000004</v>
      </c>
      <c r="AB654" s="2">
        <f>Superstore_Sales[[#This Row],[TotalSales]]-Superstore_Sales[[#This Row],[Dis_amt]]-Superstore_Sales[[#This Row],[Shipping Cost]]</f>
        <v>10001.736415000001</v>
      </c>
    </row>
    <row r="655" spans="1:28" x14ac:dyDescent="0.35">
      <c r="A655">
        <v>36600</v>
      </c>
      <c r="B655" t="s">
        <v>3221</v>
      </c>
      <c r="C655" s="1">
        <v>41228</v>
      </c>
      <c r="D655" s="1">
        <v>41232</v>
      </c>
      <c r="E655">
        <f>Superstore_Sales[[#This Row],[Ship Date]]-Superstore_Sales[[#This Row],[Order Date]]</f>
        <v>4</v>
      </c>
      <c r="F655" t="s">
        <v>98</v>
      </c>
      <c r="G655" t="s">
        <v>3222</v>
      </c>
      <c r="H655" t="s">
        <v>3072</v>
      </c>
      <c r="I655" t="s">
        <v>28</v>
      </c>
      <c r="J655">
        <v>62521</v>
      </c>
      <c r="K655" t="s">
        <v>3223</v>
      </c>
      <c r="L655" t="s">
        <v>1720</v>
      </c>
      <c r="M655" t="s">
        <v>31</v>
      </c>
      <c r="N655" t="s">
        <v>32</v>
      </c>
      <c r="O655" t="s">
        <v>33</v>
      </c>
      <c r="P655" t="s">
        <v>3224</v>
      </c>
      <c r="Q655" t="s">
        <v>50</v>
      </c>
      <c r="R655" t="s">
        <v>51</v>
      </c>
      <c r="S655" t="s">
        <v>3225</v>
      </c>
      <c r="T655">
        <v>37.299999999999997</v>
      </c>
      <c r="U655">
        <v>2</v>
      </c>
      <c r="V655">
        <v>0.3</v>
      </c>
      <c r="W655">
        <v>-1.07</v>
      </c>
      <c r="X655">
        <v>4.4000000000000004</v>
      </c>
      <c r="Y655" t="s">
        <v>38</v>
      </c>
      <c r="Z655">
        <f>Superstore_Sales[[#This Row],[Sales]]*Superstore_Sales[[#This Row],[Quantity]]</f>
        <v>74.599999999999994</v>
      </c>
      <c r="AA655" s="3">
        <f>Superstore_Sales[[#This Row],[TotalSales]]*Superstore_Sales[[#This Row],[Discount]]/100</f>
        <v>0.2238</v>
      </c>
      <c r="AB655" s="2">
        <f>Superstore_Sales[[#This Row],[TotalSales]]-Superstore_Sales[[#This Row],[Dis_amt]]-Superstore_Sales[[#This Row],[Shipping Cost]]</f>
        <v>69.976199999999992</v>
      </c>
    </row>
    <row r="656" spans="1:28" x14ac:dyDescent="0.35">
      <c r="A656">
        <v>22587</v>
      </c>
      <c r="B656" t="s">
        <v>3226</v>
      </c>
      <c r="C656" s="1">
        <v>41051</v>
      </c>
      <c r="D656" s="1">
        <v>41051</v>
      </c>
      <c r="E656">
        <f>Superstore_Sales[[#This Row],[Ship Date]]-Superstore_Sales[[#This Row],[Order Date]]</f>
        <v>0</v>
      </c>
      <c r="F656" t="s">
        <v>73</v>
      </c>
      <c r="G656" t="s">
        <v>3227</v>
      </c>
      <c r="H656" t="s">
        <v>2064</v>
      </c>
      <c r="I656" t="s">
        <v>28</v>
      </c>
      <c r="K656" t="s">
        <v>3228</v>
      </c>
      <c r="L656" t="s">
        <v>3229</v>
      </c>
      <c r="M656" t="s">
        <v>767</v>
      </c>
      <c r="N656" t="s">
        <v>322</v>
      </c>
      <c r="O656" t="s">
        <v>48</v>
      </c>
      <c r="P656" t="s">
        <v>3230</v>
      </c>
      <c r="Q656" t="s">
        <v>35</v>
      </c>
      <c r="R656" t="s">
        <v>36</v>
      </c>
      <c r="S656" t="s">
        <v>3231</v>
      </c>
      <c r="T656">
        <v>1120.77</v>
      </c>
      <c r="U656">
        <v>9</v>
      </c>
      <c r="V656">
        <v>0</v>
      </c>
      <c r="W656">
        <v>55.89</v>
      </c>
      <c r="X656">
        <v>235.28</v>
      </c>
      <c r="Y656" t="s">
        <v>38</v>
      </c>
      <c r="Z656">
        <f>Superstore_Sales[[#This Row],[Sales]]*Superstore_Sales[[#This Row],[Quantity]]</f>
        <v>10086.93</v>
      </c>
      <c r="AA656" s="3">
        <f>Superstore_Sales[[#This Row],[TotalSales]]*Superstore_Sales[[#This Row],[Discount]]/100</f>
        <v>0</v>
      </c>
      <c r="AB656" s="2">
        <f>Superstore_Sales[[#This Row],[TotalSales]]-Superstore_Sales[[#This Row],[Dis_amt]]-Superstore_Sales[[#This Row],[Shipping Cost]]</f>
        <v>9851.65</v>
      </c>
    </row>
    <row r="657" spans="1:28" x14ac:dyDescent="0.35">
      <c r="A657">
        <v>39761</v>
      </c>
      <c r="B657" t="s">
        <v>3232</v>
      </c>
      <c r="C657" s="1">
        <v>41404</v>
      </c>
      <c r="D657" s="1">
        <v>41409</v>
      </c>
      <c r="E657">
        <f>Superstore_Sales[[#This Row],[Ship Date]]-Superstore_Sales[[#This Row],[Order Date]]</f>
        <v>5</v>
      </c>
      <c r="F657" t="s">
        <v>98</v>
      </c>
      <c r="G657" t="s">
        <v>3087</v>
      </c>
      <c r="H657" t="s">
        <v>3072</v>
      </c>
      <c r="I657" t="s">
        <v>28</v>
      </c>
      <c r="J657">
        <v>80027</v>
      </c>
      <c r="K657" t="s">
        <v>2593</v>
      </c>
      <c r="L657" t="s">
        <v>3233</v>
      </c>
      <c r="M657" t="s">
        <v>31</v>
      </c>
      <c r="N657" t="s">
        <v>110</v>
      </c>
      <c r="O657" t="s">
        <v>33</v>
      </c>
      <c r="P657" t="s">
        <v>3234</v>
      </c>
      <c r="Q657" t="s">
        <v>35</v>
      </c>
      <c r="R657" t="s">
        <v>304</v>
      </c>
      <c r="S657" t="s">
        <v>3235</v>
      </c>
      <c r="T657">
        <v>46.69</v>
      </c>
      <c r="U657">
        <v>4</v>
      </c>
      <c r="V657">
        <v>0.2</v>
      </c>
      <c r="W657">
        <v>-2.92</v>
      </c>
      <c r="X657">
        <v>4.29</v>
      </c>
      <c r="Y657" t="s">
        <v>61</v>
      </c>
      <c r="Z657">
        <f>Superstore_Sales[[#This Row],[Sales]]*Superstore_Sales[[#This Row],[Quantity]]</f>
        <v>186.76</v>
      </c>
      <c r="AA657" s="3">
        <f>Superstore_Sales[[#This Row],[TotalSales]]*Superstore_Sales[[#This Row],[Discount]]/100</f>
        <v>0.37351999999999996</v>
      </c>
      <c r="AB657" s="2">
        <f>Superstore_Sales[[#This Row],[TotalSales]]-Superstore_Sales[[#This Row],[Dis_amt]]-Superstore_Sales[[#This Row],[Shipping Cost]]</f>
        <v>182.09647999999999</v>
      </c>
    </row>
    <row r="658" spans="1:28" x14ac:dyDescent="0.35">
      <c r="A658">
        <v>643</v>
      </c>
      <c r="B658" t="s">
        <v>3236</v>
      </c>
      <c r="C658" s="1">
        <v>42245</v>
      </c>
      <c r="D658" s="1">
        <v>42250</v>
      </c>
      <c r="E658">
        <f>Superstore_Sales[[#This Row],[Ship Date]]-Superstore_Sales[[#This Row],[Order Date]]</f>
        <v>5</v>
      </c>
      <c r="F658" t="s">
        <v>40</v>
      </c>
      <c r="G658" t="s">
        <v>3237</v>
      </c>
      <c r="H658" t="s">
        <v>3238</v>
      </c>
      <c r="I658" t="s">
        <v>28</v>
      </c>
      <c r="K658" t="s">
        <v>3239</v>
      </c>
      <c r="L658" t="s">
        <v>3240</v>
      </c>
      <c r="M658" t="s">
        <v>134</v>
      </c>
      <c r="N658" t="s">
        <v>135</v>
      </c>
      <c r="O658" t="s">
        <v>136</v>
      </c>
      <c r="P658" t="s">
        <v>1066</v>
      </c>
      <c r="Q658" t="s">
        <v>147</v>
      </c>
      <c r="R658" t="s">
        <v>148</v>
      </c>
      <c r="S658" t="s">
        <v>1067</v>
      </c>
      <c r="T658">
        <v>3044.8</v>
      </c>
      <c r="U658">
        <v>8</v>
      </c>
      <c r="V658">
        <v>0</v>
      </c>
      <c r="W658">
        <v>91.2</v>
      </c>
      <c r="X658">
        <v>235.07599999999999</v>
      </c>
      <c r="Y658" t="s">
        <v>61</v>
      </c>
      <c r="Z658">
        <f>Superstore_Sales[[#This Row],[Sales]]*Superstore_Sales[[#This Row],[Quantity]]</f>
        <v>24358.400000000001</v>
      </c>
      <c r="AA658" s="3">
        <f>Superstore_Sales[[#This Row],[TotalSales]]*Superstore_Sales[[#This Row],[Discount]]/100</f>
        <v>0</v>
      </c>
      <c r="AB658" s="2">
        <f>Superstore_Sales[[#This Row],[TotalSales]]-Superstore_Sales[[#This Row],[Dis_amt]]-Superstore_Sales[[#This Row],[Shipping Cost]]</f>
        <v>24123.324000000001</v>
      </c>
    </row>
    <row r="659" spans="1:28" x14ac:dyDescent="0.35">
      <c r="A659">
        <v>16968</v>
      </c>
      <c r="B659" t="s">
        <v>3241</v>
      </c>
      <c r="C659" s="1">
        <v>42176</v>
      </c>
      <c r="D659" s="1">
        <v>42177</v>
      </c>
      <c r="E659">
        <f>Superstore_Sales[[#This Row],[Ship Date]]-Superstore_Sales[[#This Row],[Order Date]]</f>
        <v>1</v>
      </c>
      <c r="F659" t="s">
        <v>25</v>
      </c>
      <c r="G659" t="s">
        <v>3242</v>
      </c>
      <c r="H659" t="s">
        <v>1292</v>
      </c>
      <c r="I659" t="s">
        <v>65</v>
      </c>
      <c r="K659" t="s">
        <v>3243</v>
      </c>
      <c r="L659" t="s">
        <v>154</v>
      </c>
      <c r="M659" t="s">
        <v>155</v>
      </c>
      <c r="N659" t="s">
        <v>68</v>
      </c>
      <c r="O659" t="s">
        <v>69</v>
      </c>
      <c r="P659" t="s">
        <v>3244</v>
      </c>
      <c r="Q659" t="s">
        <v>50</v>
      </c>
      <c r="R659" t="s">
        <v>336</v>
      </c>
      <c r="S659" t="s">
        <v>3245</v>
      </c>
      <c r="T659">
        <v>656.86</v>
      </c>
      <c r="U659">
        <v>2</v>
      </c>
      <c r="V659">
        <v>0.1</v>
      </c>
      <c r="W659">
        <v>94.84</v>
      </c>
      <c r="X659">
        <v>234.96</v>
      </c>
      <c r="Y659" t="s">
        <v>53</v>
      </c>
      <c r="Z659">
        <f>Superstore_Sales[[#This Row],[Sales]]*Superstore_Sales[[#This Row],[Quantity]]</f>
        <v>1313.72</v>
      </c>
      <c r="AA659" s="3">
        <f>Superstore_Sales[[#This Row],[TotalSales]]*Superstore_Sales[[#This Row],[Discount]]/100</f>
        <v>1.3137200000000002</v>
      </c>
      <c r="AB659" s="2">
        <f>Superstore_Sales[[#This Row],[TotalSales]]-Superstore_Sales[[#This Row],[Dis_amt]]-Superstore_Sales[[#This Row],[Shipping Cost]]</f>
        <v>1077.4462799999999</v>
      </c>
    </row>
    <row r="660" spans="1:28" x14ac:dyDescent="0.35">
      <c r="A660">
        <v>17988</v>
      </c>
      <c r="B660" t="s">
        <v>3246</v>
      </c>
      <c r="C660" s="1">
        <v>42132</v>
      </c>
      <c r="D660" s="1">
        <v>42137</v>
      </c>
      <c r="E660">
        <f>Superstore_Sales[[#This Row],[Ship Date]]-Superstore_Sales[[#This Row],[Order Date]]</f>
        <v>5</v>
      </c>
      <c r="F660" t="s">
        <v>40</v>
      </c>
      <c r="G660" t="s">
        <v>3247</v>
      </c>
      <c r="H660" t="s">
        <v>2922</v>
      </c>
      <c r="I660" t="s">
        <v>28</v>
      </c>
      <c r="K660" t="s">
        <v>3248</v>
      </c>
      <c r="L660" t="s">
        <v>310</v>
      </c>
      <c r="M660" t="s">
        <v>210</v>
      </c>
      <c r="N660" t="s">
        <v>211</v>
      </c>
      <c r="O660" t="s">
        <v>69</v>
      </c>
      <c r="P660" t="s">
        <v>743</v>
      </c>
      <c r="Q660" t="s">
        <v>35</v>
      </c>
      <c r="R660" t="s">
        <v>81</v>
      </c>
      <c r="S660" t="s">
        <v>744</v>
      </c>
      <c r="T660">
        <v>2518.9499999999998</v>
      </c>
      <c r="U660">
        <v>7</v>
      </c>
      <c r="V660">
        <v>0</v>
      </c>
      <c r="W660">
        <v>1032.57</v>
      </c>
      <c r="X660">
        <v>234.85</v>
      </c>
      <c r="Y660" t="s">
        <v>61</v>
      </c>
      <c r="Z660">
        <f>Superstore_Sales[[#This Row],[Sales]]*Superstore_Sales[[#This Row],[Quantity]]</f>
        <v>17632.649999999998</v>
      </c>
      <c r="AA660" s="3">
        <f>Superstore_Sales[[#This Row],[TotalSales]]*Superstore_Sales[[#This Row],[Discount]]/100</f>
        <v>0</v>
      </c>
      <c r="AB660" s="2">
        <f>Superstore_Sales[[#This Row],[TotalSales]]-Superstore_Sales[[#This Row],[Dis_amt]]-Superstore_Sales[[#This Row],[Shipping Cost]]</f>
        <v>17397.8</v>
      </c>
    </row>
    <row r="661" spans="1:28" x14ac:dyDescent="0.35">
      <c r="A661">
        <v>46109</v>
      </c>
      <c r="B661" t="s">
        <v>3249</v>
      </c>
      <c r="C661" s="1">
        <v>41870</v>
      </c>
      <c r="D661" s="1">
        <v>41871</v>
      </c>
      <c r="E661">
        <f>Superstore_Sales[[#This Row],[Ship Date]]-Superstore_Sales[[#This Row],[Order Date]]</f>
        <v>1</v>
      </c>
      <c r="F661" t="s">
        <v>25</v>
      </c>
      <c r="G661" t="s">
        <v>3250</v>
      </c>
      <c r="H661" t="s">
        <v>1292</v>
      </c>
      <c r="I661" t="s">
        <v>65</v>
      </c>
      <c r="K661" t="s">
        <v>3251</v>
      </c>
      <c r="L661" t="s">
        <v>3252</v>
      </c>
      <c r="M661" t="s">
        <v>3253</v>
      </c>
      <c r="N661" t="s">
        <v>78</v>
      </c>
      <c r="O661" t="s">
        <v>79</v>
      </c>
      <c r="P661" t="s">
        <v>1321</v>
      </c>
      <c r="Q661" t="s">
        <v>50</v>
      </c>
      <c r="R661" t="s">
        <v>51</v>
      </c>
      <c r="S661" t="s">
        <v>1322</v>
      </c>
      <c r="T661">
        <v>1669.25</v>
      </c>
      <c r="U661">
        <v>12</v>
      </c>
      <c r="V661">
        <v>0.7</v>
      </c>
      <c r="W661">
        <v>-1558.15</v>
      </c>
      <c r="X661">
        <v>234.85</v>
      </c>
      <c r="Y661" t="s">
        <v>61</v>
      </c>
      <c r="Z661">
        <f>Superstore_Sales[[#This Row],[Sales]]*Superstore_Sales[[#This Row],[Quantity]]</f>
        <v>20031</v>
      </c>
      <c r="AA661" s="3">
        <f>Superstore_Sales[[#This Row],[TotalSales]]*Superstore_Sales[[#This Row],[Discount]]/100</f>
        <v>140.21699999999998</v>
      </c>
      <c r="AB661" s="2">
        <f>Superstore_Sales[[#This Row],[TotalSales]]-Superstore_Sales[[#This Row],[Dis_amt]]-Superstore_Sales[[#This Row],[Shipping Cost]]</f>
        <v>19655.933000000001</v>
      </c>
    </row>
    <row r="662" spans="1:28" x14ac:dyDescent="0.35">
      <c r="A662">
        <v>14818</v>
      </c>
      <c r="B662" t="s">
        <v>3254</v>
      </c>
      <c r="C662" s="1">
        <v>41817</v>
      </c>
      <c r="D662" s="1">
        <v>41817</v>
      </c>
      <c r="E662">
        <f>Superstore_Sales[[#This Row],[Ship Date]]-Superstore_Sales[[#This Row],[Order Date]]</f>
        <v>0</v>
      </c>
      <c r="F662" t="s">
        <v>73</v>
      </c>
      <c r="G662" t="s">
        <v>3255</v>
      </c>
      <c r="H662" t="s">
        <v>3256</v>
      </c>
      <c r="I662" t="s">
        <v>28</v>
      </c>
      <c r="K662" t="s">
        <v>920</v>
      </c>
      <c r="L662" t="s">
        <v>920</v>
      </c>
      <c r="M662" t="s">
        <v>463</v>
      </c>
      <c r="N662" t="s">
        <v>171</v>
      </c>
      <c r="O662" t="s">
        <v>69</v>
      </c>
      <c r="P662" t="s">
        <v>1361</v>
      </c>
      <c r="Q662" t="s">
        <v>50</v>
      </c>
      <c r="R662" t="s">
        <v>336</v>
      </c>
      <c r="S662" t="s">
        <v>1362</v>
      </c>
      <c r="T662">
        <v>2476.08</v>
      </c>
      <c r="U662">
        <v>6</v>
      </c>
      <c r="V662">
        <v>0</v>
      </c>
      <c r="W662">
        <v>1015.02</v>
      </c>
      <c r="X662">
        <v>234.79</v>
      </c>
      <c r="Y662" t="s">
        <v>38</v>
      </c>
      <c r="Z662">
        <f>Superstore_Sales[[#This Row],[Sales]]*Superstore_Sales[[#This Row],[Quantity]]</f>
        <v>14856.48</v>
      </c>
      <c r="AA662" s="3">
        <f>Superstore_Sales[[#This Row],[TotalSales]]*Superstore_Sales[[#This Row],[Discount]]/100</f>
        <v>0</v>
      </c>
      <c r="AB662" s="2">
        <f>Superstore_Sales[[#This Row],[TotalSales]]-Superstore_Sales[[#This Row],[Dis_amt]]-Superstore_Sales[[#This Row],[Shipping Cost]]</f>
        <v>14621.689999999999</v>
      </c>
    </row>
    <row r="663" spans="1:28" x14ac:dyDescent="0.35">
      <c r="A663">
        <v>49367</v>
      </c>
      <c r="B663" t="s">
        <v>3257</v>
      </c>
      <c r="C663" s="1">
        <v>40932</v>
      </c>
      <c r="D663" s="1">
        <v>40932</v>
      </c>
      <c r="E663">
        <f>Superstore_Sales[[#This Row],[Ship Date]]-Superstore_Sales[[#This Row],[Order Date]]</f>
        <v>0</v>
      </c>
      <c r="F663" t="s">
        <v>73</v>
      </c>
      <c r="G663" t="s">
        <v>3258</v>
      </c>
      <c r="H663" t="s">
        <v>191</v>
      </c>
      <c r="I663" t="s">
        <v>43</v>
      </c>
      <c r="K663" t="s">
        <v>3259</v>
      </c>
      <c r="L663" t="s">
        <v>3260</v>
      </c>
      <c r="M663" t="s">
        <v>3261</v>
      </c>
      <c r="N663" t="s">
        <v>211</v>
      </c>
      <c r="O663" t="s">
        <v>69</v>
      </c>
      <c r="P663" t="s">
        <v>645</v>
      </c>
      <c r="Q663" t="s">
        <v>35</v>
      </c>
      <c r="R663" t="s">
        <v>36</v>
      </c>
      <c r="S663" t="s">
        <v>646</v>
      </c>
      <c r="T663">
        <v>1302.78</v>
      </c>
      <c r="U663">
        <v>2</v>
      </c>
      <c r="V663">
        <v>0</v>
      </c>
      <c r="W663">
        <v>286.56</v>
      </c>
      <c r="X663">
        <v>234.73</v>
      </c>
      <c r="Y663" t="s">
        <v>61</v>
      </c>
      <c r="Z663">
        <f>Superstore_Sales[[#This Row],[Sales]]*Superstore_Sales[[#This Row],[Quantity]]</f>
        <v>2605.56</v>
      </c>
      <c r="AA663" s="3">
        <f>Superstore_Sales[[#This Row],[TotalSales]]*Superstore_Sales[[#This Row],[Discount]]/100</f>
        <v>0</v>
      </c>
      <c r="AB663" s="2">
        <f>Superstore_Sales[[#This Row],[TotalSales]]-Superstore_Sales[[#This Row],[Dis_amt]]-Superstore_Sales[[#This Row],[Shipping Cost]]</f>
        <v>2370.83</v>
      </c>
    </row>
    <row r="664" spans="1:28" x14ac:dyDescent="0.35">
      <c r="A664">
        <v>31211</v>
      </c>
      <c r="B664" t="s">
        <v>3262</v>
      </c>
      <c r="C664" s="1">
        <v>42342</v>
      </c>
      <c r="D664" s="1">
        <v>42346</v>
      </c>
      <c r="E664">
        <f>Superstore_Sales[[#This Row],[Ship Date]]-Superstore_Sales[[#This Row],[Order Date]]</f>
        <v>4</v>
      </c>
      <c r="F664" t="s">
        <v>98</v>
      </c>
      <c r="G664" t="s">
        <v>3263</v>
      </c>
      <c r="H664" t="s">
        <v>2160</v>
      </c>
      <c r="I664" t="s">
        <v>65</v>
      </c>
      <c r="K664" t="s">
        <v>1393</v>
      </c>
      <c r="L664" t="s">
        <v>1084</v>
      </c>
      <c r="M664" t="s">
        <v>46</v>
      </c>
      <c r="N664" t="s">
        <v>47</v>
      </c>
      <c r="O664" t="s">
        <v>48</v>
      </c>
      <c r="P664" t="s">
        <v>2620</v>
      </c>
      <c r="Q664" t="s">
        <v>50</v>
      </c>
      <c r="R664" t="s">
        <v>104</v>
      </c>
      <c r="S664" t="s">
        <v>2621</v>
      </c>
      <c r="T664">
        <v>2125.3200000000002</v>
      </c>
      <c r="U664">
        <v>4</v>
      </c>
      <c r="V664">
        <v>0</v>
      </c>
      <c r="W664">
        <v>148.68</v>
      </c>
      <c r="X664">
        <v>234.67</v>
      </c>
      <c r="Y664" t="s">
        <v>61</v>
      </c>
      <c r="Z664">
        <f>Superstore_Sales[[#This Row],[Sales]]*Superstore_Sales[[#This Row],[Quantity]]</f>
        <v>8501.2800000000007</v>
      </c>
      <c r="AA664" s="3">
        <f>Superstore_Sales[[#This Row],[TotalSales]]*Superstore_Sales[[#This Row],[Discount]]/100</f>
        <v>0</v>
      </c>
      <c r="AB664" s="2">
        <f>Superstore_Sales[[#This Row],[TotalSales]]-Superstore_Sales[[#This Row],[Dis_amt]]-Superstore_Sales[[#This Row],[Shipping Cost]]</f>
        <v>8266.61</v>
      </c>
    </row>
    <row r="665" spans="1:28" x14ac:dyDescent="0.35">
      <c r="A665">
        <v>12413</v>
      </c>
      <c r="B665" t="s">
        <v>3264</v>
      </c>
      <c r="C665" s="1">
        <v>41818</v>
      </c>
      <c r="D665" s="1">
        <v>41824</v>
      </c>
      <c r="E665">
        <f>Superstore_Sales[[#This Row],[Ship Date]]-Superstore_Sales[[#This Row],[Order Date]]</f>
        <v>6</v>
      </c>
      <c r="F665" t="s">
        <v>98</v>
      </c>
      <c r="G665" t="s">
        <v>3265</v>
      </c>
      <c r="H665" t="s">
        <v>2882</v>
      </c>
      <c r="I665" t="s">
        <v>43</v>
      </c>
      <c r="K665" t="s">
        <v>3266</v>
      </c>
      <c r="L665" t="s">
        <v>3267</v>
      </c>
      <c r="M665" t="s">
        <v>210</v>
      </c>
      <c r="N665" t="s">
        <v>211</v>
      </c>
      <c r="O665" t="s">
        <v>69</v>
      </c>
      <c r="P665" t="s">
        <v>949</v>
      </c>
      <c r="Q665" t="s">
        <v>35</v>
      </c>
      <c r="R665" t="s">
        <v>36</v>
      </c>
      <c r="S665" t="s">
        <v>950</v>
      </c>
      <c r="T665">
        <v>1954.44</v>
      </c>
      <c r="U665">
        <v>3</v>
      </c>
      <c r="V665">
        <v>0</v>
      </c>
      <c r="W665">
        <v>781.74</v>
      </c>
      <c r="X665">
        <v>234.61</v>
      </c>
      <c r="Y665" t="s">
        <v>164</v>
      </c>
      <c r="Z665">
        <f>Superstore_Sales[[#This Row],[Sales]]*Superstore_Sales[[#This Row],[Quantity]]</f>
        <v>5863.32</v>
      </c>
      <c r="AA665" s="3">
        <f>Superstore_Sales[[#This Row],[TotalSales]]*Superstore_Sales[[#This Row],[Discount]]/100</f>
        <v>0</v>
      </c>
      <c r="AB665" s="2">
        <f>Superstore_Sales[[#This Row],[TotalSales]]-Superstore_Sales[[#This Row],[Dis_amt]]-Superstore_Sales[[#This Row],[Shipping Cost]]</f>
        <v>5628.71</v>
      </c>
    </row>
    <row r="666" spans="1:28" x14ac:dyDescent="0.35">
      <c r="A666">
        <v>1088</v>
      </c>
      <c r="B666" t="s">
        <v>3268</v>
      </c>
      <c r="C666" s="1">
        <v>41418</v>
      </c>
      <c r="D666" s="1">
        <v>41420</v>
      </c>
      <c r="E666">
        <f>Superstore_Sales[[#This Row],[Ship Date]]-Superstore_Sales[[#This Row],[Order Date]]</f>
        <v>2</v>
      </c>
      <c r="F666" t="s">
        <v>40</v>
      </c>
      <c r="G666" t="s">
        <v>3269</v>
      </c>
      <c r="H666" t="s">
        <v>2449</v>
      </c>
      <c r="I666" t="s">
        <v>28</v>
      </c>
      <c r="K666" t="s">
        <v>3270</v>
      </c>
      <c r="L666" t="s">
        <v>133</v>
      </c>
      <c r="M666" t="s">
        <v>134</v>
      </c>
      <c r="N666" t="s">
        <v>135</v>
      </c>
      <c r="O666" t="s">
        <v>136</v>
      </c>
      <c r="P666" t="s">
        <v>221</v>
      </c>
      <c r="Q666" t="s">
        <v>35</v>
      </c>
      <c r="R666" t="s">
        <v>36</v>
      </c>
      <c r="S666" t="s">
        <v>222</v>
      </c>
      <c r="T666">
        <v>856.92</v>
      </c>
      <c r="U666">
        <v>2</v>
      </c>
      <c r="V666">
        <v>0</v>
      </c>
      <c r="W666">
        <v>222.76</v>
      </c>
      <c r="X666">
        <v>234.28</v>
      </c>
      <c r="Y666" t="s">
        <v>53</v>
      </c>
      <c r="Z666">
        <f>Superstore_Sales[[#This Row],[Sales]]*Superstore_Sales[[#This Row],[Quantity]]</f>
        <v>1713.84</v>
      </c>
      <c r="AA666" s="3">
        <f>Superstore_Sales[[#This Row],[TotalSales]]*Superstore_Sales[[#This Row],[Discount]]/100</f>
        <v>0</v>
      </c>
      <c r="AB666" s="2">
        <f>Superstore_Sales[[#This Row],[TotalSales]]-Superstore_Sales[[#This Row],[Dis_amt]]-Superstore_Sales[[#This Row],[Shipping Cost]]</f>
        <v>1479.56</v>
      </c>
    </row>
    <row r="667" spans="1:28" x14ac:dyDescent="0.35">
      <c r="A667">
        <v>27747</v>
      </c>
      <c r="B667" t="s">
        <v>3271</v>
      </c>
      <c r="C667" s="1">
        <v>42346</v>
      </c>
      <c r="D667" s="1">
        <v>42352</v>
      </c>
      <c r="E667">
        <f>Superstore_Sales[[#This Row],[Ship Date]]-Superstore_Sales[[#This Row],[Order Date]]</f>
        <v>6</v>
      </c>
      <c r="F667" t="s">
        <v>98</v>
      </c>
      <c r="G667" t="s">
        <v>3272</v>
      </c>
      <c r="H667" t="s">
        <v>3273</v>
      </c>
      <c r="I667" t="s">
        <v>43</v>
      </c>
      <c r="K667" t="s">
        <v>3274</v>
      </c>
      <c r="L667" t="s">
        <v>3275</v>
      </c>
      <c r="M667" t="s">
        <v>321</v>
      </c>
      <c r="N667" t="s">
        <v>322</v>
      </c>
      <c r="O667" t="s">
        <v>48</v>
      </c>
      <c r="P667" t="s">
        <v>87</v>
      </c>
      <c r="Q667" t="s">
        <v>35</v>
      </c>
      <c r="R667" t="s">
        <v>36</v>
      </c>
      <c r="S667" t="s">
        <v>88</v>
      </c>
      <c r="T667">
        <v>3696.03</v>
      </c>
      <c r="U667">
        <v>7</v>
      </c>
      <c r="V667">
        <v>0.17</v>
      </c>
      <c r="W667">
        <v>756.87</v>
      </c>
      <c r="X667">
        <v>234.16</v>
      </c>
      <c r="Y667" t="s">
        <v>61</v>
      </c>
      <c r="Z667">
        <f>Superstore_Sales[[#This Row],[Sales]]*Superstore_Sales[[#This Row],[Quantity]]</f>
        <v>25872.210000000003</v>
      </c>
      <c r="AA667" s="3">
        <f>Superstore_Sales[[#This Row],[TotalSales]]*Superstore_Sales[[#This Row],[Discount]]/100</f>
        <v>43.982757000000014</v>
      </c>
      <c r="AB667" s="2">
        <f>Superstore_Sales[[#This Row],[TotalSales]]-Superstore_Sales[[#This Row],[Dis_amt]]-Superstore_Sales[[#This Row],[Shipping Cost]]</f>
        <v>25594.067243000001</v>
      </c>
    </row>
    <row r="668" spans="1:28" x14ac:dyDescent="0.35">
      <c r="A668">
        <v>27454</v>
      </c>
      <c r="B668" t="s">
        <v>3276</v>
      </c>
      <c r="C668" s="1">
        <v>41619</v>
      </c>
      <c r="D668" s="1">
        <v>41623</v>
      </c>
      <c r="E668">
        <f>Superstore_Sales[[#This Row],[Ship Date]]-Superstore_Sales[[#This Row],[Order Date]]</f>
        <v>4</v>
      </c>
      <c r="F668" t="s">
        <v>98</v>
      </c>
      <c r="G668" t="s">
        <v>3277</v>
      </c>
      <c r="H668" t="s">
        <v>3278</v>
      </c>
      <c r="I668" t="s">
        <v>28</v>
      </c>
      <c r="K668" t="s">
        <v>3279</v>
      </c>
      <c r="L668" t="s">
        <v>2626</v>
      </c>
      <c r="M668" t="s">
        <v>258</v>
      </c>
      <c r="N668" t="s">
        <v>118</v>
      </c>
      <c r="O668" t="s">
        <v>48</v>
      </c>
      <c r="P668" t="s">
        <v>949</v>
      </c>
      <c r="Q668" t="s">
        <v>35</v>
      </c>
      <c r="R668" t="s">
        <v>36</v>
      </c>
      <c r="S668" t="s">
        <v>950</v>
      </c>
      <c r="T668">
        <v>1302.96</v>
      </c>
      <c r="U668">
        <v>2</v>
      </c>
      <c r="V668">
        <v>0</v>
      </c>
      <c r="W668">
        <v>182.4</v>
      </c>
      <c r="X668">
        <v>234.15</v>
      </c>
      <c r="Y668" t="s">
        <v>38</v>
      </c>
      <c r="Z668">
        <f>Superstore_Sales[[#This Row],[Sales]]*Superstore_Sales[[#This Row],[Quantity]]</f>
        <v>2605.92</v>
      </c>
      <c r="AA668" s="3">
        <f>Superstore_Sales[[#This Row],[TotalSales]]*Superstore_Sales[[#This Row],[Discount]]/100</f>
        <v>0</v>
      </c>
      <c r="AB668" s="2">
        <f>Superstore_Sales[[#This Row],[TotalSales]]-Superstore_Sales[[#This Row],[Dis_amt]]-Superstore_Sales[[#This Row],[Shipping Cost]]</f>
        <v>2371.77</v>
      </c>
    </row>
    <row r="669" spans="1:28" x14ac:dyDescent="0.35">
      <c r="A669">
        <v>48301</v>
      </c>
      <c r="B669" t="s">
        <v>3280</v>
      </c>
      <c r="C669" s="1">
        <v>42068</v>
      </c>
      <c r="D669" s="1">
        <v>42070</v>
      </c>
      <c r="E669">
        <f>Superstore_Sales[[#This Row],[Ship Date]]-Superstore_Sales[[#This Row],[Order Date]]</f>
        <v>2</v>
      </c>
      <c r="F669" t="s">
        <v>25</v>
      </c>
      <c r="G669" t="s">
        <v>3281</v>
      </c>
      <c r="H669" t="s">
        <v>1011</v>
      </c>
      <c r="I669" t="s">
        <v>65</v>
      </c>
      <c r="K669" t="s">
        <v>3282</v>
      </c>
      <c r="L669" t="s">
        <v>3283</v>
      </c>
      <c r="M669" t="s">
        <v>1482</v>
      </c>
      <c r="N669" t="s">
        <v>126</v>
      </c>
      <c r="O669" t="s">
        <v>48</v>
      </c>
      <c r="P669" t="s">
        <v>380</v>
      </c>
      <c r="Q669" t="s">
        <v>50</v>
      </c>
      <c r="R669" t="s">
        <v>51</v>
      </c>
      <c r="S669" t="s">
        <v>381</v>
      </c>
      <c r="T669">
        <v>1136.6600000000001</v>
      </c>
      <c r="U669">
        <v>6</v>
      </c>
      <c r="V669">
        <v>0.6</v>
      </c>
      <c r="W669">
        <v>-880.96</v>
      </c>
      <c r="X669">
        <v>234.15</v>
      </c>
      <c r="Y669" t="s">
        <v>38</v>
      </c>
      <c r="Z669">
        <f>Superstore_Sales[[#This Row],[Sales]]*Superstore_Sales[[#This Row],[Quantity]]</f>
        <v>6819.9600000000009</v>
      </c>
      <c r="AA669" s="3">
        <f>Superstore_Sales[[#This Row],[TotalSales]]*Superstore_Sales[[#This Row],[Discount]]/100</f>
        <v>40.919760000000004</v>
      </c>
      <c r="AB669" s="2">
        <f>Superstore_Sales[[#This Row],[TotalSales]]-Superstore_Sales[[#This Row],[Dis_amt]]-Superstore_Sales[[#This Row],[Shipping Cost]]</f>
        <v>6544.8902400000015</v>
      </c>
    </row>
    <row r="670" spans="1:28" x14ac:dyDescent="0.35">
      <c r="A670">
        <v>29372</v>
      </c>
      <c r="B670" t="s">
        <v>3284</v>
      </c>
      <c r="C670" s="1">
        <v>41815</v>
      </c>
      <c r="D670" s="1">
        <v>41819</v>
      </c>
      <c r="E670">
        <f>Superstore_Sales[[#This Row],[Ship Date]]-Superstore_Sales[[#This Row],[Order Date]]</f>
        <v>4</v>
      </c>
      <c r="F670" t="s">
        <v>98</v>
      </c>
      <c r="G670" t="s">
        <v>3285</v>
      </c>
      <c r="H670" t="s">
        <v>1862</v>
      </c>
      <c r="I670" t="s">
        <v>28</v>
      </c>
      <c r="K670" t="s">
        <v>1786</v>
      </c>
      <c r="L670" t="s">
        <v>742</v>
      </c>
      <c r="M670" t="s">
        <v>46</v>
      </c>
      <c r="N670" t="s">
        <v>47</v>
      </c>
      <c r="O670" t="s">
        <v>48</v>
      </c>
      <c r="P670" t="s">
        <v>311</v>
      </c>
      <c r="Q670" t="s">
        <v>35</v>
      </c>
      <c r="R670" t="s">
        <v>81</v>
      </c>
      <c r="S670" t="s">
        <v>312</v>
      </c>
      <c r="T670">
        <v>1720.12</v>
      </c>
      <c r="U670">
        <v>6</v>
      </c>
      <c r="V670">
        <v>0.1</v>
      </c>
      <c r="W670">
        <v>382.18</v>
      </c>
      <c r="X670">
        <v>234.13</v>
      </c>
      <c r="Y670" t="s">
        <v>38</v>
      </c>
      <c r="Z670">
        <f>Superstore_Sales[[#This Row],[Sales]]*Superstore_Sales[[#This Row],[Quantity]]</f>
        <v>10320.719999999999</v>
      </c>
      <c r="AA670" s="3">
        <f>Superstore_Sales[[#This Row],[TotalSales]]*Superstore_Sales[[#This Row],[Discount]]/100</f>
        <v>10.32072</v>
      </c>
      <c r="AB670" s="2">
        <f>Superstore_Sales[[#This Row],[TotalSales]]-Superstore_Sales[[#This Row],[Dis_amt]]-Superstore_Sales[[#This Row],[Shipping Cost]]</f>
        <v>10076.26928</v>
      </c>
    </row>
    <row r="671" spans="1:28" x14ac:dyDescent="0.35">
      <c r="A671">
        <v>25774</v>
      </c>
      <c r="B671" t="s">
        <v>3286</v>
      </c>
      <c r="C671" s="1">
        <v>42157</v>
      </c>
      <c r="D671" s="1">
        <v>42159</v>
      </c>
      <c r="E671">
        <f>Superstore_Sales[[#This Row],[Ship Date]]-Superstore_Sales[[#This Row],[Order Date]]</f>
        <v>2</v>
      </c>
      <c r="F671" t="s">
        <v>25</v>
      </c>
      <c r="G671" t="s">
        <v>3287</v>
      </c>
      <c r="H671" t="s">
        <v>3288</v>
      </c>
      <c r="I671" t="s">
        <v>28</v>
      </c>
      <c r="K671" t="s">
        <v>572</v>
      </c>
      <c r="L671" t="s">
        <v>573</v>
      </c>
      <c r="M671" t="s">
        <v>321</v>
      </c>
      <c r="N671" t="s">
        <v>322</v>
      </c>
      <c r="O671" t="s">
        <v>48</v>
      </c>
      <c r="P671" t="s">
        <v>832</v>
      </c>
      <c r="Q671" t="s">
        <v>35</v>
      </c>
      <c r="R671" t="s">
        <v>304</v>
      </c>
      <c r="S671" t="s">
        <v>833</v>
      </c>
      <c r="T671">
        <v>1043.93</v>
      </c>
      <c r="U671">
        <v>8</v>
      </c>
      <c r="V671">
        <v>0.47</v>
      </c>
      <c r="W671">
        <v>-295.51</v>
      </c>
      <c r="X671">
        <v>234.13</v>
      </c>
      <c r="Y671" t="s">
        <v>61</v>
      </c>
      <c r="Z671">
        <f>Superstore_Sales[[#This Row],[Sales]]*Superstore_Sales[[#This Row],[Quantity]]</f>
        <v>8351.44</v>
      </c>
      <c r="AA671" s="3">
        <f>Superstore_Sales[[#This Row],[TotalSales]]*Superstore_Sales[[#This Row],[Discount]]/100</f>
        <v>39.251767999999998</v>
      </c>
      <c r="AB671" s="2">
        <f>Superstore_Sales[[#This Row],[TotalSales]]-Superstore_Sales[[#This Row],[Dis_amt]]-Superstore_Sales[[#This Row],[Shipping Cost]]</f>
        <v>8078.0582320000003</v>
      </c>
    </row>
    <row r="672" spans="1:28" x14ac:dyDescent="0.35">
      <c r="A672">
        <v>50056</v>
      </c>
      <c r="B672" t="s">
        <v>3289</v>
      </c>
      <c r="C672" s="1">
        <v>41178</v>
      </c>
      <c r="D672" s="1">
        <v>41184</v>
      </c>
      <c r="E672">
        <f>Superstore_Sales[[#This Row],[Ship Date]]-Superstore_Sales[[#This Row],[Order Date]]</f>
        <v>6</v>
      </c>
      <c r="F672" t="s">
        <v>98</v>
      </c>
      <c r="G672" t="s">
        <v>3290</v>
      </c>
      <c r="H672" t="s">
        <v>2263</v>
      </c>
      <c r="I672" t="s">
        <v>65</v>
      </c>
      <c r="K672" t="s">
        <v>3291</v>
      </c>
      <c r="L672" t="s">
        <v>3292</v>
      </c>
      <c r="M672" t="s">
        <v>3293</v>
      </c>
      <c r="N672" t="s">
        <v>78</v>
      </c>
      <c r="O672" t="s">
        <v>79</v>
      </c>
      <c r="P672" t="s">
        <v>3294</v>
      </c>
      <c r="Q672" t="s">
        <v>35</v>
      </c>
      <c r="R672" t="s">
        <v>275</v>
      </c>
      <c r="S672" t="s">
        <v>3295</v>
      </c>
      <c r="T672">
        <v>1253.76</v>
      </c>
      <c r="U672">
        <v>4</v>
      </c>
      <c r="V672">
        <v>0</v>
      </c>
      <c r="W672">
        <v>200.52</v>
      </c>
      <c r="X672">
        <v>234.11</v>
      </c>
      <c r="Y672" t="s">
        <v>164</v>
      </c>
      <c r="Z672">
        <f>Superstore_Sales[[#This Row],[Sales]]*Superstore_Sales[[#This Row],[Quantity]]</f>
        <v>5015.04</v>
      </c>
      <c r="AA672" s="3">
        <f>Superstore_Sales[[#This Row],[TotalSales]]*Superstore_Sales[[#This Row],[Discount]]/100</f>
        <v>0</v>
      </c>
      <c r="AB672" s="2">
        <f>Superstore_Sales[[#This Row],[TotalSales]]-Superstore_Sales[[#This Row],[Dis_amt]]-Superstore_Sales[[#This Row],[Shipping Cost]]</f>
        <v>4780.93</v>
      </c>
    </row>
    <row r="673" spans="1:28" x14ac:dyDescent="0.35">
      <c r="A673">
        <v>5010</v>
      </c>
      <c r="B673" t="s">
        <v>3296</v>
      </c>
      <c r="C673" s="1">
        <v>41795</v>
      </c>
      <c r="D673" s="1">
        <v>41799</v>
      </c>
      <c r="E673">
        <f>Superstore_Sales[[#This Row],[Ship Date]]-Superstore_Sales[[#This Row],[Order Date]]</f>
        <v>4</v>
      </c>
      <c r="F673" t="s">
        <v>40</v>
      </c>
      <c r="G673" t="s">
        <v>3297</v>
      </c>
      <c r="H673" t="s">
        <v>3298</v>
      </c>
      <c r="I673" t="s">
        <v>65</v>
      </c>
      <c r="K673" t="s">
        <v>3299</v>
      </c>
      <c r="L673" t="s">
        <v>3300</v>
      </c>
      <c r="M673" t="s">
        <v>3301</v>
      </c>
      <c r="N673" t="s">
        <v>220</v>
      </c>
      <c r="O673" t="s">
        <v>136</v>
      </c>
      <c r="P673" t="s">
        <v>2567</v>
      </c>
      <c r="Q673" t="s">
        <v>147</v>
      </c>
      <c r="R673" t="s">
        <v>148</v>
      </c>
      <c r="S673" t="s">
        <v>2568</v>
      </c>
      <c r="T673">
        <v>2180.2399999999998</v>
      </c>
      <c r="U673">
        <v>11</v>
      </c>
      <c r="V673">
        <v>0.4</v>
      </c>
      <c r="W673">
        <v>-690.54</v>
      </c>
      <c r="X673">
        <v>234.04300000000001</v>
      </c>
      <c r="Y673" t="s">
        <v>61</v>
      </c>
      <c r="Z673">
        <f>Superstore_Sales[[#This Row],[Sales]]*Superstore_Sales[[#This Row],[Quantity]]</f>
        <v>23982.639999999999</v>
      </c>
      <c r="AA673" s="3">
        <f>Superstore_Sales[[#This Row],[TotalSales]]*Superstore_Sales[[#This Row],[Discount]]/100</f>
        <v>95.93056</v>
      </c>
      <c r="AB673" s="2">
        <f>Superstore_Sales[[#This Row],[TotalSales]]-Superstore_Sales[[#This Row],[Dis_amt]]-Superstore_Sales[[#This Row],[Shipping Cost]]</f>
        <v>23652.666439999997</v>
      </c>
    </row>
    <row r="674" spans="1:28" x14ac:dyDescent="0.35">
      <c r="A674">
        <v>10434</v>
      </c>
      <c r="B674" t="s">
        <v>3302</v>
      </c>
      <c r="C674" s="1">
        <v>41928</v>
      </c>
      <c r="D674" s="1">
        <v>41930</v>
      </c>
      <c r="E674">
        <f>Superstore_Sales[[#This Row],[Ship Date]]-Superstore_Sales[[#This Row],[Order Date]]</f>
        <v>2</v>
      </c>
      <c r="F674" t="s">
        <v>25</v>
      </c>
      <c r="G674" t="s">
        <v>3303</v>
      </c>
      <c r="H674" t="s">
        <v>684</v>
      </c>
      <c r="I674" t="s">
        <v>28</v>
      </c>
      <c r="K674" t="s">
        <v>3304</v>
      </c>
      <c r="L674" t="s">
        <v>154</v>
      </c>
      <c r="M674" t="s">
        <v>155</v>
      </c>
      <c r="N674" t="s">
        <v>68</v>
      </c>
      <c r="O674" t="s">
        <v>69</v>
      </c>
      <c r="P674" t="s">
        <v>825</v>
      </c>
      <c r="Q674" t="s">
        <v>35</v>
      </c>
      <c r="R674" t="s">
        <v>275</v>
      </c>
      <c r="S674" t="s">
        <v>826</v>
      </c>
      <c r="T674">
        <v>1306.47</v>
      </c>
      <c r="U674">
        <v>6</v>
      </c>
      <c r="V674">
        <v>0.15</v>
      </c>
      <c r="W674">
        <v>107.49</v>
      </c>
      <c r="X674">
        <v>233.74</v>
      </c>
      <c r="Y674" t="s">
        <v>38</v>
      </c>
      <c r="Z674">
        <f>Superstore_Sales[[#This Row],[Sales]]*Superstore_Sales[[#This Row],[Quantity]]</f>
        <v>7838.82</v>
      </c>
      <c r="AA674" s="3">
        <f>Superstore_Sales[[#This Row],[TotalSales]]*Superstore_Sales[[#This Row],[Discount]]/100</f>
        <v>11.758229999999999</v>
      </c>
      <c r="AB674" s="2">
        <f>Superstore_Sales[[#This Row],[TotalSales]]-Superstore_Sales[[#This Row],[Dis_amt]]-Superstore_Sales[[#This Row],[Shipping Cost]]</f>
        <v>7593.3217699999996</v>
      </c>
    </row>
    <row r="675" spans="1:28" x14ac:dyDescent="0.35">
      <c r="A675">
        <v>34730</v>
      </c>
      <c r="B675" t="s">
        <v>3305</v>
      </c>
      <c r="C675" s="1">
        <v>42344</v>
      </c>
      <c r="D675" s="1">
        <v>42348</v>
      </c>
      <c r="E675">
        <f>Superstore_Sales[[#This Row],[Ship Date]]-Superstore_Sales[[#This Row],[Order Date]]</f>
        <v>4</v>
      </c>
      <c r="F675" t="s">
        <v>98</v>
      </c>
      <c r="G675" t="s">
        <v>3087</v>
      </c>
      <c r="H675" t="s">
        <v>3072</v>
      </c>
      <c r="I675" t="s">
        <v>28</v>
      </c>
      <c r="J675">
        <v>98006</v>
      </c>
      <c r="K675" t="s">
        <v>3306</v>
      </c>
      <c r="L675" t="s">
        <v>109</v>
      </c>
      <c r="M675" t="s">
        <v>31</v>
      </c>
      <c r="N675" t="s">
        <v>110</v>
      </c>
      <c r="O675" t="s">
        <v>33</v>
      </c>
      <c r="P675" t="s">
        <v>3307</v>
      </c>
      <c r="Q675" t="s">
        <v>147</v>
      </c>
      <c r="R675" t="s">
        <v>384</v>
      </c>
      <c r="S675" t="s">
        <v>3308</v>
      </c>
      <c r="T675">
        <v>24.82</v>
      </c>
      <c r="U675">
        <v>3</v>
      </c>
      <c r="V675">
        <v>0.2</v>
      </c>
      <c r="W675">
        <v>8.3800000000000008</v>
      </c>
      <c r="X675">
        <v>2.02</v>
      </c>
      <c r="Y675" t="s">
        <v>61</v>
      </c>
      <c r="Z675">
        <f>Superstore_Sales[[#This Row],[Sales]]*Superstore_Sales[[#This Row],[Quantity]]</f>
        <v>74.460000000000008</v>
      </c>
      <c r="AA675" s="3">
        <f>Superstore_Sales[[#This Row],[TotalSales]]*Superstore_Sales[[#This Row],[Discount]]/100</f>
        <v>0.14892000000000002</v>
      </c>
      <c r="AB675" s="2">
        <f>Superstore_Sales[[#This Row],[TotalSales]]-Superstore_Sales[[#This Row],[Dis_amt]]-Superstore_Sales[[#This Row],[Shipping Cost]]</f>
        <v>72.291080000000008</v>
      </c>
    </row>
    <row r="676" spans="1:28" x14ac:dyDescent="0.35">
      <c r="A676">
        <v>5991</v>
      </c>
      <c r="B676" t="s">
        <v>3309</v>
      </c>
      <c r="C676" s="1">
        <v>42329</v>
      </c>
      <c r="D676" s="1">
        <v>42330</v>
      </c>
      <c r="E676">
        <f>Superstore_Sales[[#This Row],[Ship Date]]-Superstore_Sales[[#This Row],[Order Date]]</f>
        <v>1</v>
      </c>
      <c r="F676" t="s">
        <v>25</v>
      </c>
      <c r="G676" t="s">
        <v>3310</v>
      </c>
      <c r="H676" t="s">
        <v>712</v>
      </c>
      <c r="I676" t="s">
        <v>28</v>
      </c>
      <c r="K676" t="s">
        <v>3311</v>
      </c>
      <c r="L676" t="s">
        <v>2289</v>
      </c>
      <c r="M676" t="s">
        <v>219</v>
      </c>
      <c r="N676" t="s">
        <v>220</v>
      </c>
      <c r="O676" t="s">
        <v>136</v>
      </c>
      <c r="P676" t="s">
        <v>3050</v>
      </c>
      <c r="Q676" t="s">
        <v>50</v>
      </c>
      <c r="R676" t="s">
        <v>104</v>
      </c>
      <c r="S676" t="s">
        <v>3051</v>
      </c>
      <c r="T676">
        <v>775.54</v>
      </c>
      <c r="U676">
        <v>3</v>
      </c>
      <c r="V676">
        <v>0.2</v>
      </c>
      <c r="W676">
        <v>213.22</v>
      </c>
      <c r="X676">
        <v>232.83600000000001</v>
      </c>
      <c r="Y676" t="s">
        <v>38</v>
      </c>
      <c r="Z676">
        <f>Superstore_Sales[[#This Row],[Sales]]*Superstore_Sales[[#This Row],[Quantity]]</f>
        <v>2326.62</v>
      </c>
      <c r="AA676" s="3">
        <f>Superstore_Sales[[#This Row],[TotalSales]]*Superstore_Sales[[#This Row],[Discount]]/100</f>
        <v>4.6532400000000003</v>
      </c>
      <c r="AB676" s="2">
        <f>Superstore_Sales[[#This Row],[TotalSales]]-Superstore_Sales[[#This Row],[Dis_amt]]-Superstore_Sales[[#This Row],[Shipping Cost]]</f>
        <v>2089.13076</v>
      </c>
    </row>
    <row r="677" spans="1:28" x14ac:dyDescent="0.35">
      <c r="A677">
        <v>13705</v>
      </c>
      <c r="B677" t="s">
        <v>3312</v>
      </c>
      <c r="C677" s="1">
        <v>41588</v>
      </c>
      <c r="D677" s="1">
        <v>41591</v>
      </c>
      <c r="E677">
        <f>Superstore_Sales[[#This Row],[Ship Date]]-Superstore_Sales[[#This Row],[Order Date]]</f>
        <v>3</v>
      </c>
      <c r="F677" t="s">
        <v>25</v>
      </c>
      <c r="G677" t="s">
        <v>3313</v>
      </c>
      <c r="H677" t="s">
        <v>3314</v>
      </c>
      <c r="I677" t="s">
        <v>43</v>
      </c>
      <c r="K677" t="s">
        <v>3315</v>
      </c>
      <c r="L677" t="s">
        <v>154</v>
      </c>
      <c r="M677" t="s">
        <v>155</v>
      </c>
      <c r="N677" t="s">
        <v>68</v>
      </c>
      <c r="O677" t="s">
        <v>69</v>
      </c>
      <c r="P677" t="s">
        <v>3316</v>
      </c>
      <c r="Q677" t="s">
        <v>50</v>
      </c>
      <c r="R677" t="s">
        <v>104</v>
      </c>
      <c r="S677" t="s">
        <v>3317</v>
      </c>
      <c r="T677">
        <v>2012.05</v>
      </c>
      <c r="U677">
        <v>6</v>
      </c>
      <c r="V677">
        <v>0.35</v>
      </c>
      <c r="W677">
        <v>-1021.67</v>
      </c>
      <c r="X677">
        <v>232.54</v>
      </c>
      <c r="Y677" t="s">
        <v>61</v>
      </c>
      <c r="Z677">
        <f>Superstore_Sales[[#This Row],[Sales]]*Superstore_Sales[[#This Row],[Quantity]]</f>
        <v>12072.3</v>
      </c>
      <c r="AA677" s="3">
        <f>Superstore_Sales[[#This Row],[TotalSales]]*Superstore_Sales[[#This Row],[Discount]]/100</f>
        <v>42.253049999999995</v>
      </c>
      <c r="AB677" s="2">
        <f>Superstore_Sales[[#This Row],[TotalSales]]-Superstore_Sales[[#This Row],[Dis_amt]]-Superstore_Sales[[#This Row],[Shipping Cost]]</f>
        <v>11797.506949999999</v>
      </c>
    </row>
    <row r="678" spans="1:28" x14ac:dyDescent="0.35">
      <c r="A678">
        <v>24939</v>
      </c>
      <c r="B678" t="s">
        <v>3318</v>
      </c>
      <c r="C678" s="1">
        <v>41067</v>
      </c>
      <c r="D678" s="1">
        <v>41072</v>
      </c>
      <c r="E678">
        <f>Superstore_Sales[[#This Row],[Ship Date]]-Superstore_Sales[[#This Row],[Order Date]]</f>
        <v>5</v>
      </c>
      <c r="F678" t="s">
        <v>98</v>
      </c>
      <c r="G678" t="s">
        <v>3319</v>
      </c>
      <c r="H678" t="s">
        <v>3320</v>
      </c>
      <c r="I678" t="s">
        <v>65</v>
      </c>
      <c r="K678" t="s">
        <v>2610</v>
      </c>
      <c r="L678" t="s">
        <v>573</v>
      </c>
      <c r="M678" t="s">
        <v>321</v>
      </c>
      <c r="N678" t="s">
        <v>322</v>
      </c>
      <c r="O678" t="s">
        <v>48</v>
      </c>
      <c r="P678" t="s">
        <v>645</v>
      </c>
      <c r="Q678" t="s">
        <v>35</v>
      </c>
      <c r="R678" t="s">
        <v>36</v>
      </c>
      <c r="S678" t="s">
        <v>646</v>
      </c>
      <c r="T678">
        <v>2166.9</v>
      </c>
      <c r="U678">
        <v>4</v>
      </c>
      <c r="V678">
        <v>0.17</v>
      </c>
      <c r="W678">
        <v>391.5</v>
      </c>
      <c r="X678">
        <v>232.49</v>
      </c>
      <c r="Y678" t="s">
        <v>61</v>
      </c>
      <c r="Z678">
        <f>Superstore_Sales[[#This Row],[Sales]]*Superstore_Sales[[#This Row],[Quantity]]</f>
        <v>8667.6</v>
      </c>
      <c r="AA678" s="3">
        <f>Superstore_Sales[[#This Row],[TotalSales]]*Superstore_Sales[[#This Row],[Discount]]/100</f>
        <v>14.734920000000002</v>
      </c>
      <c r="AB678" s="2">
        <f>Superstore_Sales[[#This Row],[TotalSales]]-Superstore_Sales[[#This Row],[Dis_amt]]-Superstore_Sales[[#This Row],[Shipping Cost]]</f>
        <v>8420.3750799999998</v>
      </c>
    </row>
    <row r="679" spans="1:28" x14ac:dyDescent="0.35">
      <c r="A679">
        <v>27579</v>
      </c>
      <c r="B679" t="s">
        <v>3321</v>
      </c>
      <c r="C679" s="1">
        <v>42101</v>
      </c>
      <c r="D679" s="1">
        <v>42106</v>
      </c>
      <c r="E679">
        <f>Superstore_Sales[[#This Row],[Ship Date]]-Superstore_Sales[[#This Row],[Order Date]]</f>
        <v>5</v>
      </c>
      <c r="F679" t="s">
        <v>98</v>
      </c>
      <c r="G679" t="s">
        <v>3322</v>
      </c>
      <c r="H679" t="s">
        <v>1490</v>
      </c>
      <c r="I679" t="s">
        <v>43</v>
      </c>
      <c r="K679" t="s">
        <v>3323</v>
      </c>
      <c r="L679" t="s">
        <v>1959</v>
      </c>
      <c r="M679" t="s">
        <v>258</v>
      </c>
      <c r="N679" t="s">
        <v>118</v>
      </c>
      <c r="O679" t="s">
        <v>48</v>
      </c>
      <c r="P679" t="s">
        <v>127</v>
      </c>
      <c r="Q679" t="s">
        <v>35</v>
      </c>
      <c r="R679" t="s">
        <v>36</v>
      </c>
      <c r="S679" t="s">
        <v>128</v>
      </c>
      <c r="T679">
        <v>3271.2</v>
      </c>
      <c r="U679">
        <v>5</v>
      </c>
      <c r="V679">
        <v>0</v>
      </c>
      <c r="W679">
        <v>1341.15</v>
      </c>
      <c r="X679">
        <v>232.45</v>
      </c>
      <c r="Y679" t="s">
        <v>38</v>
      </c>
      <c r="Z679">
        <f>Superstore_Sales[[#This Row],[Sales]]*Superstore_Sales[[#This Row],[Quantity]]</f>
        <v>16356</v>
      </c>
      <c r="AA679" s="3">
        <f>Superstore_Sales[[#This Row],[TotalSales]]*Superstore_Sales[[#This Row],[Discount]]/100</f>
        <v>0</v>
      </c>
      <c r="AB679" s="2">
        <f>Superstore_Sales[[#This Row],[TotalSales]]-Superstore_Sales[[#This Row],[Dis_amt]]-Superstore_Sales[[#This Row],[Shipping Cost]]</f>
        <v>16123.55</v>
      </c>
    </row>
    <row r="680" spans="1:28" x14ac:dyDescent="0.35">
      <c r="A680">
        <v>6773</v>
      </c>
      <c r="B680" t="s">
        <v>3324</v>
      </c>
      <c r="C680" s="1">
        <v>41199</v>
      </c>
      <c r="D680" s="1">
        <v>41202</v>
      </c>
      <c r="E680">
        <f>Superstore_Sales[[#This Row],[Ship Date]]-Superstore_Sales[[#This Row],[Order Date]]</f>
        <v>3</v>
      </c>
      <c r="F680" t="s">
        <v>40</v>
      </c>
      <c r="G680" t="s">
        <v>3325</v>
      </c>
      <c r="H680" t="s">
        <v>3298</v>
      </c>
      <c r="I680" t="s">
        <v>65</v>
      </c>
      <c r="K680" t="s">
        <v>3326</v>
      </c>
      <c r="L680" t="s">
        <v>3326</v>
      </c>
      <c r="M680" t="s">
        <v>1440</v>
      </c>
      <c r="N680" t="s">
        <v>266</v>
      </c>
      <c r="O680" t="s">
        <v>136</v>
      </c>
      <c r="P680" t="s">
        <v>555</v>
      </c>
      <c r="Q680" t="s">
        <v>35</v>
      </c>
      <c r="R680" t="s">
        <v>81</v>
      </c>
      <c r="S680" t="s">
        <v>556</v>
      </c>
      <c r="T680">
        <v>755.81</v>
      </c>
      <c r="U680">
        <v>3</v>
      </c>
      <c r="V680">
        <v>2E-3</v>
      </c>
      <c r="W680">
        <v>195.35</v>
      </c>
      <c r="X680">
        <v>232.42400000000001</v>
      </c>
      <c r="Y680" t="s">
        <v>53</v>
      </c>
      <c r="Z680">
        <f>Superstore_Sales[[#This Row],[Sales]]*Superstore_Sales[[#This Row],[Quantity]]</f>
        <v>2267.4299999999998</v>
      </c>
      <c r="AA680" s="3">
        <f>Superstore_Sales[[#This Row],[TotalSales]]*Superstore_Sales[[#This Row],[Discount]]/100</f>
        <v>4.5348600000000003E-2</v>
      </c>
      <c r="AB680" s="2">
        <f>Superstore_Sales[[#This Row],[TotalSales]]-Superstore_Sales[[#This Row],[Dis_amt]]-Superstore_Sales[[#This Row],[Shipping Cost]]</f>
        <v>2034.9606513999997</v>
      </c>
    </row>
    <row r="681" spans="1:28" x14ac:dyDescent="0.35">
      <c r="A681">
        <v>45983</v>
      </c>
      <c r="B681" t="s">
        <v>3327</v>
      </c>
      <c r="C681" s="1">
        <v>41389</v>
      </c>
      <c r="D681" s="1">
        <v>41394</v>
      </c>
      <c r="E681">
        <f>Superstore_Sales[[#This Row],[Ship Date]]-Superstore_Sales[[#This Row],[Order Date]]</f>
        <v>5</v>
      </c>
      <c r="F681" t="s">
        <v>98</v>
      </c>
      <c r="G681" t="s">
        <v>3328</v>
      </c>
      <c r="H681" t="s">
        <v>2740</v>
      </c>
      <c r="I681" t="s">
        <v>43</v>
      </c>
      <c r="K681" t="s">
        <v>1097</v>
      </c>
      <c r="L681" t="s">
        <v>1098</v>
      </c>
      <c r="M681" t="s">
        <v>1099</v>
      </c>
      <c r="N681" t="s">
        <v>1100</v>
      </c>
      <c r="O681" t="s">
        <v>79</v>
      </c>
      <c r="P681" t="s">
        <v>736</v>
      </c>
      <c r="Q681" t="s">
        <v>50</v>
      </c>
      <c r="R681" t="s">
        <v>336</v>
      </c>
      <c r="S681" t="s">
        <v>737</v>
      </c>
      <c r="T681">
        <v>2182.6799999999998</v>
      </c>
      <c r="U681">
        <v>6</v>
      </c>
      <c r="V681">
        <v>0</v>
      </c>
      <c r="W681">
        <v>327.24</v>
      </c>
      <c r="X681">
        <v>232.24</v>
      </c>
      <c r="Y681" t="s">
        <v>61</v>
      </c>
      <c r="Z681">
        <f>Superstore_Sales[[#This Row],[Sales]]*Superstore_Sales[[#This Row],[Quantity]]</f>
        <v>13096.079999999998</v>
      </c>
      <c r="AA681" s="3">
        <f>Superstore_Sales[[#This Row],[TotalSales]]*Superstore_Sales[[#This Row],[Discount]]/100</f>
        <v>0</v>
      </c>
      <c r="AB681" s="2">
        <f>Superstore_Sales[[#This Row],[TotalSales]]-Superstore_Sales[[#This Row],[Dis_amt]]-Superstore_Sales[[#This Row],[Shipping Cost]]</f>
        <v>12863.839999999998</v>
      </c>
    </row>
    <row r="682" spans="1:28" x14ac:dyDescent="0.35">
      <c r="A682">
        <v>29757</v>
      </c>
      <c r="B682" t="s">
        <v>3329</v>
      </c>
      <c r="C682" s="1">
        <v>41517</v>
      </c>
      <c r="D682" s="1">
        <v>41519</v>
      </c>
      <c r="E682">
        <f>Superstore_Sales[[#This Row],[Ship Date]]-Superstore_Sales[[#This Row],[Order Date]]</f>
        <v>2</v>
      </c>
      <c r="F682" t="s">
        <v>40</v>
      </c>
      <c r="G682" t="s">
        <v>3330</v>
      </c>
      <c r="H682" t="s">
        <v>466</v>
      </c>
      <c r="I682" t="s">
        <v>43</v>
      </c>
      <c r="K682" t="s">
        <v>1076</v>
      </c>
      <c r="L682" t="s">
        <v>1077</v>
      </c>
      <c r="M682" t="s">
        <v>144</v>
      </c>
      <c r="N682" t="s">
        <v>145</v>
      </c>
      <c r="O682" t="s">
        <v>48</v>
      </c>
      <c r="P682" t="s">
        <v>70</v>
      </c>
      <c r="Q682" t="s">
        <v>35</v>
      </c>
      <c r="R682" t="s">
        <v>36</v>
      </c>
      <c r="S682" t="s">
        <v>71</v>
      </c>
      <c r="T682">
        <v>1285.56</v>
      </c>
      <c r="U682">
        <v>2</v>
      </c>
      <c r="V682">
        <v>0</v>
      </c>
      <c r="W682">
        <v>51.42</v>
      </c>
      <c r="X682">
        <v>232.17</v>
      </c>
      <c r="Y682" t="s">
        <v>53</v>
      </c>
      <c r="Z682">
        <f>Superstore_Sales[[#This Row],[Sales]]*Superstore_Sales[[#This Row],[Quantity]]</f>
        <v>2571.12</v>
      </c>
      <c r="AA682" s="3">
        <f>Superstore_Sales[[#This Row],[TotalSales]]*Superstore_Sales[[#This Row],[Discount]]/100</f>
        <v>0</v>
      </c>
      <c r="AB682" s="2">
        <f>Superstore_Sales[[#This Row],[TotalSales]]-Superstore_Sales[[#This Row],[Dis_amt]]-Superstore_Sales[[#This Row],[Shipping Cost]]</f>
        <v>2338.9499999999998</v>
      </c>
    </row>
    <row r="683" spans="1:28" x14ac:dyDescent="0.35">
      <c r="A683">
        <v>3068</v>
      </c>
      <c r="B683" t="s">
        <v>3331</v>
      </c>
      <c r="C683" s="1">
        <v>41382</v>
      </c>
      <c r="D683" s="1">
        <v>41385</v>
      </c>
      <c r="E683">
        <f>Superstore_Sales[[#This Row],[Ship Date]]-Superstore_Sales[[#This Row],[Order Date]]</f>
        <v>3</v>
      </c>
      <c r="F683" t="s">
        <v>40</v>
      </c>
      <c r="G683" t="s">
        <v>3332</v>
      </c>
      <c r="H683" t="s">
        <v>1998</v>
      </c>
      <c r="I683" t="s">
        <v>65</v>
      </c>
      <c r="K683" t="s">
        <v>2953</v>
      </c>
      <c r="L683" t="s">
        <v>896</v>
      </c>
      <c r="M683" t="s">
        <v>896</v>
      </c>
      <c r="N683" t="s">
        <v>220</v>
      </c>
      <c r="O683" t="s">
        <v>136</v>
      </c>
      <c r="P683" t="s">
        <v>3333</v>
      </c>
      <c r="Q683" t="s">
        <v>35</v>
      </c>
      <c r="R683" t="s">
        <v>36</v>
      </c>
      <c r="S683" t="s">
        <v>3334</v>
      </c>
      <c r="T683">
        <v>1479.36</v>
      </c>
      <c r="U683">
        <v>12</v>
      </c>
      <c r="V683">
        <v>0</v>
      </c>
      <c r="W683">
        <v>103.44</v>
      </c>
      <c r="X683">
        <v>231.95699999999999</v>
      </c>
      <c r="Y683" t="s">
        <v>61</v>
      </c>
      <c r="Z683">
        <f>Superstore_Sales[[#This Row],[Sales]]*Superstore_Sales[[#This Row],[Quantity]]</f>
        <v>17752.32</v>
      </c>
      <c r="AA683" s="3">
        <f>Superstore_Sales[[#This Row],[TotalSales]]*Superstore_Sales[[#This Row],[Discount]]/100</f>
        <v>0</v>
      </c>
      <c r="AB683" s="2">
        <f>Superstore_Sales[[#This Row],[TotalSales]]-Superstore_Sales[[#This Row],[Dis_amt]]-Superstore_Sales[[#This Row],[Shipping Cost]]</f>
        <v>17520.363000000001</v>
      </c>
    </row>
    <row r="684" spans="1:28" x14ac:dyDescent="0.35">
      <c r="A684">
        <v>10183</v>
      </c>
      <c r="B684" t="s">
        <v>3335</v>
      </c>
      <c r="C684" s="1">
        <v>41993</v>
      </c>
      <c r="D684" s="1">
        <v>41995</v>
      </c>
      <c r="E684">
        <f>Superstore_Sales[[#This Row],[Ship Date]]-Superstore_Sales[[#This Row],[Order Date]]</f>
        <v>2</v>
      </c>
      <c r="F684" t="s">
        <v>25</v>
      </c>
      <c r="G684" t="s">
        <v>3336</v>
      </c>
      <c r="H684" t="s">
        <v>56</v>
      </c>
      <c r="I684" t="s">
        <v>28</v>
      </c>
      <c r="K684" t="s">
        <v>3337</v>
      </c>
      <c r="L684" t="s">
        <v>2916</v>
      </c>
      <c r="M684" t="s">
        <v>134</v>
      </c>
      <c r="N684" t="s">
        <v>135</v>
      </c>
      <c r="O684" t="s">
        <v>136</v>
      </c>
      <c r="P684" t="s">
        <v>119</v>
      </c>
      <c r="Q684" t="s">
        <v>50</v>
      </c>
      <c r="R684" t="s">
        <v>104</v>
      </c>
      <c r="S684" t="s">
        <v>120</v>
      </c>
      <c r="T684">
        <v>740.18</v>
      </c>
      <c r="U684">
        <v>3</v>
      </c>
      <c r="V684">
        <v>0.6</v>
      </c>
      <c r="W684">
        <v>-407.14</v>
      </c>
      <c r="X684">
        <v>231.517</v>
      </c>
      <c r="Y684" t="s">
        <v>53</v>
      </c>
      <c r="Z684">
        <f>Superstore_Sales[[#This Row],[Sales]]*Superstore_Sales[[#This Row],[Quantity]]</f>
        <v>2220.54</v>
      </c>
      <c r="AA684" s="3">
        <f>Superstore_Sales[[#This Row],[TotalSales]]*Superstore_Sales[[#This Row],[Discount]]/100</f>
        <v>13.323239999999998</v>
      </c>
      <c r="AB684" s="2">
        <f>Superstore_Sales[[#This Row],[TotalSales]]-Superstore_Sales[[#This Row],[Dis_amt]]-Superstore_Sales[[#This Row],[Shipping Cost]]</f>
        <v>1975.6997599999997</v>
      </c>
    </row>
    <row r="685" spans="1:28" x14ac:dyDescent="0.35">
      <c r="A685">
        <v>13621</v>
      </c>
      <c r="B685" t="s">
        <v>3338</v>
      </c>
      <c r="C685" s="1">
        <v>41794</v>
      </c>
      <c r="D685" s="1">
        <v>41798</v>
      </c>
      <c r="E685">
        <f>Superstore_Sales[[#This Row],[Ship Date]]-Superstore_Sales[[#This Row],[Order Date]]</f>
        <v>4</v>
      </c>
      <c r="F685" t="s">
        <v>98</v>
      </c>
      <c r="G685" t="s">
        <v>3339</v>
      </c>
      <c r="H685" t="s">
        <v>3340</v>
      </c>
      <c r="I685" t="s">
        <v>43</v>
      </c>
      <c r="K685" t="s">
        <v>3341</v>
      </c>
      <c r="L685" t="s">
        <v>3342</v>
      </c>
      <c r="M685" t="s">
        <v>3036</v>
      </c>
      <c r="N685" t="s">
        <v>211</v>
      </c>
      <c r="O685" t="s">
        <v>69</v>
      </c>
      <c r="P685" t="s">
        <v>3084</v>
      </c>
      <c r="Q685" t="s">
        <v>35</v>
      </c>
      <c r="R685" t="s">
        <v>275</v>
      </c>
      <c r="S685" t="s">
        <v>3085</v>
      </c>
      <c r="T685">
        <v>1533.15</v>
      </c>
      <c r="U685">
        <v>5</v>
      </c>
      <c r="V685">
        <v>0</v>
      </c>
      <c r="W685">
        <v>505.8</v>
      </c>
      <c r="X685">
        <v>231.35</v>
      </c>
      <c r="Y685" t="s">
        <v>38</v>
      </c>
      <c r="Z685">
        <f>Superstore_Sales[[#This Row],[Sales]]*Superstore_Sales[[#This Row],[Quantity]]</f>
        <v>7665.75</v>
      </c>
      <c r="AA685" s="3">
        <f>Superstore_Sales[[#This Row],[TotalSales]]*Superstore_Sales[[#This Row],[Discount]]/100</f>
        <v>0</v>
      </c>
      <c r="AB685" s="2">
        <f>Superstore_Sales[[#This Row],[TotalSales]]-Superstore_Sales[[#This Row],[Dis_amt]]-Superstore_Sales[[#This Row],[Shipping Cost]]</f>
        <v>7434.4</v>
      </c>
    </row>
    <row r="686" spans="1:28" x14ac:dyDescent="0.35">
      <c r="A686">
        <v>49268</v>
      </c>
      <c r="B686" t="s">
        <v>3343</v>
      </c>
      <c r="C686" s="1">
        <v>41450</v>
      </c>
      <c r="D686" s="1">
        <v>41456</v>
      </c>
      <c r="E686">
        <f>Superstore_Sales[[#This Row],[Ship Date]]-Superstore_Sales[[#This Row],[Order Date]]</f>
        <v>6</v>
      </c>
      <c r="F686" t="s">
        <v>98</v>
      </c>
      <c r="G686" t="s">
        <v>3344</v>
      </c>
      <c r="H686" t="s">
        <v>1886</v>
      </c>
      <c r="I686" t="s">
        <v>28</v>
      </c>
      <c r="K686" t="s">
        <v>3345</v>
      </c>
      <c r="L686" t="s">
        <v>3346</v>
      </c>
      <c r="M686" t="s">
        <v>125</v>
      </c>
      <c r="N686" t="s">
        <v>126</v>
      </c>
      <c r="O686" t="s">
        <v>48</v>
      </c>
      <c r="P686" t="s">
        <v>3347</v>
      </c>
      <c r="Q686" t="s">
        <v>50</v>
      </c>
      <c r="R686" t="s">
        <v>104</v>
      </c>
      <c r="S686" t="s">
        <v>3348</v>
      </c>
      <c r="T686">
        <v>2563.92</v>
      </c>
      <c r="U686">
        <v>8</v>
      </c>
      <c r="V686">
        <v>0</v>
      </c>
      <c r="W686">
        <v>820.32</v>
      </c>
      <c r="X686">
        <v>231.32</v>
      </c>
      <c r="Y686" t="s">
        <v>61</v>
      </c>
      <c r="Z686">
        <f>Superstore_Sales[[#This Row],[Sales]]*Superstore_Sales[[#This Row],[Quantity]]</f>
        <v>20511.36</v>
      </c>
      <c r="AA686" s="3">
        <f>Superstore_Sales[[#This Row],[TotalSales]]*Superstore_Sales[[#This Row],[Discount]]/100</f>
        <v>0</v>
      </c>
      <c r="AB686" s="2">
        <f>Superstore_Sales[[#This Row],[TotalSales]]-Superstore_Sales[[#This Row],[Dis_amt]]-Superstore_Sales[[#This Row],[Shipping Cost]]</f>
        <v>20280.04</v>
      </c>
    </row>
    <row r="687" spans="1:28" x14ac:dyDescent="0.35">
      <c r="A687">
        <v>27207</v>
      </c>
      <c r="B687" t="s">
        <v>3349</v>
      </c>
      <c r="C687" s="1">
        <v>41502</v>
      </c>
      <c r="D687" s="1">
        <v>41506</v>
      </c>
      <c r="E687">
        <f>Superstore_Sales[[#This Row],[Ship Date]]-Superstore_Sales[[#This Row],[Order Date]]</f>
        <v>4</v>
      </c>
      <c r="F687" t="s">
        <v>98</v>
      </c>
      <c r="G687" t="s">
        <v>3350</v>
      </c>
      <c r="H687" t="s">
        <v>2479</v>
      </c>
      <c r="I687" t="s">
        <v>43</v>
      </c>
      <c r="K687" t="s">
        <v>615</v>
      </c>
      <c r="L687" t="s">
        <v>45</v>
      </c>
      <c r="M687" t="s">
        <v>46</v>
      </c>
      <c r="N687" t="s">
        <v>47</v>
      </c>
      <c r="O687" t="s">
        <v>48</v>
      </c>
      <c r="P687" t="s">
        <v>221</v>
      </c>
      <c r="Q687" t="s">
        <v>35</v>
      </c>
      <c r="R687" t="s">
        <v>36</v>
      </c>
      <c r="S687" t="s">
        <v>222</v>
      </c>
      <c r="T687">
        <v>2897.91</v>
      </c>
      <c r="U687">
        <v>5</v>
      </c>
      <c r="V687">
        <v>0.1</v>
      </c>
      <c r="W687">
        <v>901.56</v>
      </c>
      <c r="X687">
        <v>231.16</v>
      </c>
      <c r="Y687" t="s">
        <v>61</v>
      </c>
      <c r="Z687">
        <f>Superstore_Sales[[#This Row],[Sales]]*Superstore_Sales[[#This Row],[Quantity]]</f>
        <v>14489.55</v>
      </c>
      <c r="AA687" s="3">
        <f>Superstore_Sales[[#This Row],[TotalSales]]*Superstore_Sales[[#This Row],[Discount]]/100</f>
        <v>14.489549999999999</v>
      </c>
      <c r="AB687" s="2">
        <f>Superstore_Sales[[#This Row],[TotalSales]]-Superstore_Sales[[#This Row],[Dis_amt]]-Superstore_Sales[[#This Row],[Shipping Cost]]</f>
        <v>14243.900449999999</v>
      </c>
    </row>
    <row r="688" spans="1:28" x14ac:dyDescent="0.35">
      <c r="A688">
        <v>30065</v>
      </c>
      <c r="B688" t="s">
        <v>3351</v>
      </c>
      <c r="C688" s="1">
        <v>42230</v>
      </c>
      <c r="D688" s="1">
        <v>42234</v>
      </c>
      <c r="E688">
        <f>Superstore_Sales[[#This Row],[Ship Date]]-Superstore_Sales[[#This Row],[Order Date]]</f>
        <v>4</v>
      </c>
      <c r="F688" t="s">
        <v>98</v>
      </c>
      <c r="G688" t="s">
        <v>3352</v>
      </c>
      <c r="H688" t="s">
        <v>3353</v>
      </c>
      <c r="I688" t="s">
        <v>43</v>
      </c>
      <c r="K688" t="s">
        <v>1761</v>
      </c>
      <c r="L688" t="s">
        <v>1762</v>
      </c>
      <c r="M688" t="s">
        <v>1763</v>
      </c>
      <c r="N688" t="s">
        <v>118</v>
      </c>
      <c r="O688" t="s">
        <v>48</v>
      </c>
      <c r="P688" t="s">
        <v>212</v>
      </c>
      <c r="Q688" t="s">
        <v>147</v>
      </c>
      <c r="R688" t="s">
        <v>148</v>
      </c>
      <c r="S688" t="s">
        <v>213</v>
      </c>
      <c r="T688">
        <v>1582.11</v>
      </c>
      <c r="U688">
        <v>6</v>
      </c>
      <c r="V688">
        <v>0.5</v>
      </c>
      <c r="W688">
        <v>-886.05</v>
      </c>
      <c r="X688">
        <v>231.11</v>
      </c>
      <c r="Y688" t="s">
        <v>38</v>
      </c>
      <c r="Z688">
        <f>Superstore_Sales[[#This Row],[Sales]]*Superstore_Sales[[#This Row],[Quantity]]</f>
        <v>9492.66</v>
      </c>
      <c r="AA688" s="3">
        <f>Superstore_Sales[[#This Row],[TotalSales]]*Superstore_Sales[[#This Row],[Discount]]/100</f>
        <v>47.463299999999997</v>
      </c>
      <c r="AB688" s="2">
        <f>Superstore_Sales[[#This Row],[TotalSales]]-Superstore_Sales[[#This Row],[Dis_amt]]-Superstore_Sales[[#This Row],[Shipping Cost]]</f>
        <v>9214.0866999999998</v>
      </c>
    </row>
    <row r="689" spans="1:28" x14ac:dyDescent="0.35">
      <c r="A689">
        <v>6154</v>
      </c>
      <c r="B689" t="s">
        <v>3354</v>
      </c>
      <c r="C689" s="1">
        <v>41885</v>
      </c>
      <c r="D689" s="1">
        <v>41891</v>
      </c>
      <c r="E689">
        <f>Superstore_Sales[[#This Row],[Ship Date]]-Superstore_Sales[[#This Row],[Order Date]]</f>
        <v>6</v>
      </c>
      <c r="F689" t="s">
        <v>98</v>
      </c>
      <c r="G689" t="s">
        <v>3355</v>
      </c>
      <c r="H689" t="s">
        <v>3356</v>
      </c>
      <c r="I689" t="s">
        <v>28</v>
      </c>
      <c r="K689" t="s">
        <v>895</v>
      </c>
      <c r="L689" t="s">
        <v>896</v>
      </c>
      <c r="M689" t="s">
        <v>896</v>
      </c>
      <c r="N689" t="s">
        <v>220</v>
      </c>
      <c r="O689" t="s">
        <v>136</v>
      </c>
      <c r="P689" t="s">
        <v>127</v>
      </c>
      <c r="Q689" t="s">
        <v>35</v>
      </c>
      <c r="R689" t="s">
        <v>36</v>
      </c>
      <c r="S689" t="s">
        <v>128</v>
      </c>
      <c r="T689">
        <v>2616.96</v>
      </c>
      <c r="U689">
        <v>6</v>
      </c>
      <c r="V689">
        <v>0</v>
      </c>
      <c r="W689">
        <v>26.16</v>
      </c>
      <c r="X689">
        <v>230.47</v>
      </c>
      <c r="Y689" t="s">
        <v>61</v>
      </c>
      <c r="Z689">
        <f>Superstore_Sales[[#This Row],[Sales]]*Superstore_Sales[[#This Row],[Quantity]]</f>
        <v>15701.76</v>
      </c>
      <c r="AA689" s="3">
        <f>Superstore_Sales[[#This Row],[TotalSales]]*Superstore_Sales[[#This Row],[Discount]]/100</f>
        <v>0</v>
      </c>
      <c r="AB689" s="2">
        <f>Superstore_Sales[[#This Row],[TotalSales]]-Superstore_Sales[[#This Row],[Dis_amt]]-Superstore_Sales[[#This Row],[Shipping Cost]]</f>
        <v>15471.29</v>
      </c>
    </row>
    <row r="690" spans="1:28" x14ac:dyDescent="0.35">
      <c r="A690">
        <v>13532</v>
      </c>
      <c r="B690" t="s">
        <v>3357</v>
      </c>
      <c r="C690" s="1">
        <v>42153</v>
      </c>
      <c r="D690" s="1">
        <v>42156</v>
      </c>
      <c r="E690">
        <f>Superstore_Sales[[#This Row],[Ship Date]]-Superstore_Sales[[#This Row],[Order Date]]</f>
        <v>3</v>
      </c>
      <c r="F690" t="s">
        <v>40</v>
      </c>
      <c r="G690" t="s">
        <v>3358</v>
      </c>
      <c r="H690" t="s">
        <v>3359</v>
      </c>
      <c r="I690" t="s">
        <v>28</v>
      </c>
      <c r="K690" t="s">
        <v>509</v>
      </c>
      <c r="L690" t="s">
        <v>310</v>
      </c>
      <c r="M690" t="s">
        <v>210</v>
      </c>
      <c r="N690" t="s">
        <v>211</v>
      </c>
      <c r="O690" t="s">
        <v>69</v>
      </c>
      <c r="P690" t="s">
        <v>3360</v>
      </c>
      <c r="Q690" t="s">
        <v>50</v>
      </c>
      <c r="R690" t="s">
        <v>104</v>
      </c>
      <c r="S690" t="s">
        <v>3361</v>
      </c>
      <c r="T690">
        <v>1399.11</v>
      </c>
      <c r="U690">
        <v>3</v>
      </c>
      <c r="V690">
        <v>0.1</v>
      </c>
      <c r="W690">
        <v>108.78</v>
      </c>
      <c r="X690">
        <v>230.35</v>
      </c>
      <c r="Y690" t="s">
        <v>53</v>
      </c>
      <c r="Z690">
        <f>Superstore_Sales[[#This Row],[Sales]]*Superstore_Sales[[#This Row],[Quantity]]</f>
        <v>4197.33</v>
      </c>
      <c r="AA690" s="3">
        <f>Superstore_Sales[[#This Row],[TotalSales]]*Superstore_Sales[[#This Row],[Discount]]/100</f>
        <v>4.19733</v>
      </c>
      <c r="AB690" s="2">
        <f>Superstore_Sales[[#This Row],[TotalSales]]-Superstore_Sales[[#This Row],[Dis_amt]]-Superstore_Sales[[#This Row],[Shipping Cost]]</f>
        <v>3962.7826700000001</v>
      </c>
    </row>
    <row r="691" spans="1:28" x14ac:dyDescent="0.35">
      <c r="A691">
        <v>15892</v>
      </c>
      <c r="B691" t="s">
        <v>3362</v>
      </c>
      <c r="C691" s="1">
        <v>41814</v>
      </c>
      <c r="D691" s="1">
        <v>41821</v>
      </c>
      <c r="E691">
        <f>Superstore_Sales[[#This Row],[Ship Date]]-Superstore_Sales[[#This Row],[Order Date]]</f>
        <v>7</v>
      </c>
      <c r="F691" t="s">
        <v>98</v>
      </c>
      <c r="G691" t="s">
        <v>3363</v>
      </c>
      <c r="H691" t="s">
        <v>3149</v>
      </c>
      <c r="I691" t="s">
        <v>43</v>
      </c>
      <c r="K691" t="s">
        <v>3364</v>
      </c>
      <c r="L691" t="s">
        <v>3364</v>
      </c>
      <c r="M691" t="s">
        <v>2203</v>
      </c>
      <c r="N691" t="s">
        <v>68</v>
      </c>
      <c r="O691" t="s">
        <v>69</v>
      </c>
      <c r="P691" t="s">
        <v>725</v>
      </c>
      <c r="Q691" t="s">
        <v>35</v>
      </c>
      <c r="R691" t="s">
        <v>81</v>
      </c>
      <c r="S691" t="s">
        <v>726</v>
      </c>
      <c r="T691">
        <v>3421.71</v>
      </c>
      <c r="U691">
        <v>9</v>
      </c>
      <c r="V691">
        <v>0</v>
      </c>
      <c r="W691">
        <v>1060.56</v>
      </c>
      <c r="X691">
        <v>230.04</v>
      </c>
      <c r="Y691" t="s">
        <v>61</v>
      </c>
      <c r="Z691">
        <f>Superstore_Sales[[#This Row],[Sales]]*Superstore_Sales[[#This Row],[Quantity]]</f>
        <v>30795.39</v>
      </c>
      <c r="AA691" s="3">
        <f>Superstore_Sales[[#This Row],[TotalSales]]*Superstore_Sales[[#This Row],[Discount]]/100</f>
        <v>0</v>
      </c>
      <c r="AB691" s="2">
        <f>Superstore_Sales[[#This Row],[TotalSales]]-Superstore_Sales[[#This Row],[Dis_amt]]-Superstore_Sales[[#This Row],[Shipping Cost]]</f>
        <v>30565.35</v>
      </c>
    </row>
    <row r="692" spans="1:28" x14ac:dyDescent="0.35">
      <c r="A692">
        <v>1548</v>
      </c>
      <c r="B692" t="s">
        <v>3365</v>
      </c>
      <c r="C692" s="1">
        <v>42132</v>
      </c>
      <c r="D692" s="1">
        <v>42134</v>
      </c>
      <c r="E692">
        <f>Superstore_Sales[[#This Row],[Ship Date]]-Superstore_Sales[[#This Row],[Order Date]]</f>
        <v>2</v>
      </c>
      <c r="F692" t="s">
        <v>40</v>
      </c>
      <c r="G692" t="s">
        <v>3366</v>
      </c>
      <c r="H692" t="s">
        <v>3367</v>
      </c>
      <c r="I692" t="s">
        <v>28</v>
      </c>
      <c r="K692" t="s">
        <v>3368</v>
      </c>
      <c r="L692" t="s">
        <v>3369</v>
      </c>
      <c r="M692" t="s">
        <v>3370</v>
      </c>
      <c r="N692" t="s">
        <v>135</v>
      </c>
      <c r="O692" t="s">
        <v>136</v>
      </c>
      <c r="P692" t="s">
        <v>3371</v>
      </c>
      <c r="Q692" t="s">
        <v>35</v>
      </c>
      <c r="R692" t="s">
        <v>36</v>
      </c>
      <c r="S692" t="s">
        <v>3372</v>
      </c>
      <c r="T692">
        <v>820.08</v>
      </c>
      <c r="U692">
        <v>9</v>
      </c>
      <c r="V692">
        <v>0</v>
      </c>
      <c r="W692">
        <v>98.28</v>
      </c>
      <c r="X692">
        <v>229.08500000000001</v>
      </c>
      <c r="Y692" t="s">
        <v>53</v>
      </c>
      <c r="Z692">
        <f>Superstore_Sales[[#This Row],[Sales]]*Superstore_Sales[[#This Row],[Quantity]]</f>
        <v>7380.72</v>
      </c>
      <c r="AA692" s="3">
        <f>Superstore_Sales[[#This Row],[TotalSales]]*Superstore_Sales[[#This Row],[Discount]]/100</f>
        <v>0</v>
      </c>
      <c r="AB692" s="2">
        <f>Superstore_Sales[[#This Row],[TotalSales]]-Superstore_Sales[[#This Row],[Dis_amt]]-Superstore_Sales[[#This Row],[Shipping Cost]]</f>
        <v>7151.6350000000002</v>
      </c>
    </row>
    <row r="693" spans="1:28" x14ac:dyDescent="0.35">
      <c r="A693">
        <v>45942</v>
      </c>
      <c r="B693" t="s">
        <v>3373</v>
      </c>
      <c r="C693" s="1">
        <v>42048</v>
      </c>
      <c r="D693" s="1">
        <v>42049</v>
      </c>
      <c r="E693">
        <f>Superstore_Sales[[#This Row],[Ship Date]]-Superstore_Sales[[#This Row],[Order Date]]</f>
        <v>1</v>
      </c>
      <c r="F693" t="s">
        <v>25</v>
      </c>
      <c r="G693" t="s">
        <v>3374</v>
      </c>
      <c r="H693" t="s">
        <v>3375</v>
      </c>
      <c r="I693" t="s">
        <v>65</v>
      </c>
      <c r="K693" t="s">
        <v>3376</v>
      </c>
      <c r="L693" t="s">
        <v>2303</v>
      </c>
      <c r="M693" t="s">
        <v>391</v>
      </c>
      <c r="N693" t="s">
        <v>118</v>
      </c>
      <c r="O693" t="s">
        <v>48</v>
      </c>
      <c r="P693" t="s">
        <v>2898</v>
      </c>
      <c r="Q693" t="s">
        <v>50</v>
      </c>
      <c r="R693" t="s">
        <v>336</v>
      </c>
      <c r="S693" t="s">
        <v>2899</v>
      </c>
      <c r="T693">
        <v>1198.56</v>
      </c>
      <c r="U693">
        <v>8</v>
      </c>
      <c r="V693">
        <v>0</v>
      </c>
      <c r="W693">
        <v>359.52</v>
      </c>
      <c r="X693">
        <v>228.94</v>
      </c>
      <c r="Y693" t="s">
        <v>38</v>
      </c>
      <c r="Z693">
        <f>Superstore_Sales[[#This Row],[Sales]]*Superstore_Sales[[#This Row],[Quantity]]</f>
        <v>9588.48</v>
      </c>
      <c r="AA693" s="3">
        <f>Superstore_Sales[[#This Row],[TotalSales]]*Superstore_Sales[[#This Row],[Discount]]/100</f>
        <v>0</v>
      </c>
      <c r="AB693" s="2">
        <f>Superstore_Sales[[#This Row],[TotalSales]]-Superstore_Sales[[#This Row],[Dis_amt]]-Superstore_Sales[[#This Row],[Shipping Cost]]</f>
        <v>9359.5399999999991</v>
      </c>
    </row>
    <row r="694" spans="1:28" x14ac:dyDescent="0.35">
      <c r="A694">
        <v>28516</v>
      </c>
      <c r="B694" t="s">
        <v>3377</v>
      </c>
      <c r="C694" s="1">
        <v>42336</v>
      </c>
      <c r="D694" s="1">
        <v>42343</v>
      </c>
      <c r="E694">
        <f>Superstore_Sales[[#This Row],[Ship Date]]-Superstore_Sales[[#This Row],[Order Date]]</f>
        <v>7</v>
      </c>
      <c r="F694" t="s">
        <v>98</v>
      </c>
      <c r="G694" t="s">
        <v>3378</v>
      </c>
      <c r="H694" t="s">
        <v>489</v>
      </c>
      <c r="I694" t="s">
        <v>28</v>
      </c>
      <c r="K694" t="s">
        <v>1919</v>
      </c>
      <c r="L694" t="s">
        <v>58</v>
      </c>
      <c r="M694" t="s">
        <v>46</v>
      </c>
      <c r="N694" t="s">
        <v>47</v>
      </c>
      <c r="O694" t="s">
        <v>48</v>
      </c>
      <c r="P694" t="s">
        <v>411</v>
      </c>
      <c r="Q694" t="s">
        <v>50</v>
      </c>
      <c r="R694" t="s">
        <v>104</v>
      </c>
      <c r="S694" t="s">
        <v>412</v>
      </c>
      <c r="T694">
        <v>1832.61</v>
      </c>
      <c r="U694">
        <v>3</v>
      </c>
      <c r="V694">
        <v>0.3</v>
      </c>
      <c r="W694">
        <v>-445.11</v>
      </c>
      <c r="X694">
        <v>228.89</v>
      </c>
      <c r="Y694" t="s">
        <v>164</v>
      </c>
      <c r="Z694">
        <f>Superstore_Sales[[#This Row],[Sales]]*Superstore_Sales[[#This Row],[Quantity]]</f>
        <v>5497.83</v>
      </c>
      <c r="AA694" s="3">
        <f>Superstore_Sales[[#This Row],[TotalSales]]*Superstore_Sales[[#This Row],[Discount]]/100</f>
        <v>16.493489999999998</v>
      </c>
      <c r="AB694" s="2">
        <f>Superstore_Sales[[#This Row],[TotalSales]]-Superstore_Sales[[#This Row],[Dis_amt]]-Superstore_Sales[[#This Row],[Shipping Cost]]</f>
        <v>5252.4465099999998</v>
      </c>
    </row>
    <row r="695" spans="1:28" x14ac:dyDescent="0.35">
      <c r="A695">
        <v>18095</v>
      </c>
      <c r="B695" t="s">
        <v>3379</v>
      </c>
      <c r="C695" s="1">
        <v>41510</v>
      </c>
      <c r="D695" s="1">
        <v>41515</v>
      </c>
      <c r="E695">
        <f>Superstore_Sales[[#This Row],[Ship Date]]-Superstore_Sales[[#This Row],[Order Date]]</f>
        <v>5</v>
      </c>
      <c r="F695" t="s">
        <v>98</v>
      </c>
      <c r="G695" t="s">
        <v>3380</v>
      </c>
      <c r="H695" t="s">
        <v>2174</v>
      </c>
      <c r="I695" t="s">
        <v>28</v>
      </c>
      <c r="K695" t="s">
        <v>883</v>
      </c>
      <c r="L695" t="s">
        <v>527</v>
      </c>
      <c r="M695" t="s">
        <v>67</v>
      </c>
      <c r="N695" t="s">
        <v>68</v>
      </c>
      <c r="O695" t="s">
        <v>69</v>
      </c>
      <c r="P695" t="s">
        <v>1361</v>
      </c>
      <c r="Q695" t="s">
        <v>50</v>
      </c>
      <c r="R695" t="s">
        <v>336</v>
      </c>
      <c r="S695" t="s">
        <v>1362</v>
      </c>
      <c r="T695">
        <v>1857.06</v>
      </c>
      <c r="U695">
        <v>5</v>
      </c>
      <c r="V695">
        <v>0.1</v>
      </c>
      <c r="W695">
        <v>639.51</v>
      </c>
      <c r="X695">
        <v>228.78</v>
      </c>
      <c r="Y695" t="s">
        <v>38</v>
      </c>
      <c r="Z695">
        <f>Superstore_Sales[[#This Row],[Sales]]*Superstore_Sales[[#This Row],[Quantity]]</f>
        <v>9285.2999999999993</v>
      </c>
      <c r="AA695" s="3">
        <f>Superstore_Sales[[#This Row],[TotalSales]]*Superstore_Sales[[#This Row],[Discount]]/100</f>
        <v>9.2852999999999994</v>
      </c>
      <c r="AB695" s="2">
        <f>Superstore_Sales[[#This Row],[TotalSales]]-Superstore_Sales[[#This Row],[Dis_amt]]-Superstore_Sales[[#This Row],[Shipping Cost]]</f>
        <v>9047.2346999999991</v>
      </c>
    </row>
    <row r="696" spans="1:28" x14ac:dyDescent="0.35">
      <c r="A696">
        <v>44161</v>
      </c>
      <c r="B696" t="s">
        <v>3381</v>
      </c>
      <c r="C696" s="1">
        <v>42218</v>
      </c>
      <c r="D696" s="1">
        <v>42224</v>
      </c>
      <c r="E696">
        <f>Superstore_Sales[[#This Row],[Ship Date]]-Superstore_Sales[[#This Row],[Order Date]]</f>
        <v>6</v>
      </c>
      <c r="F696" t="s">
        <v>98</v>
      </c>
      <c r="G696" t="s">
        <v>3382</v>
      </c>
      <c r="H696" t="s">
        <v>3383</v>
      </c>
      <c r="I696" t="s">
        <v>43</v>
      </c>
      <c r="K696" t="s">
        <v>3384</v>
      </c>
      <c r="L696" t="s">
        <v>3385</v>
      </c>
      <c r="M696" t="s">
        <v>293</v>
      </c>
      <c r="N696" t="s">
        <v>294</v>
      </c>
      <c r="O696" t="s">
        <v>79</v>
      </c>
      <c r="P696" t="s">
        <v>863</v>
      </c>
      <c r="Q696" t="s">
        <v>50</v>
      </c>
      <c r="R696" t="s">
        <v>336</v>
      </c>
      <c r="S696" t="s">
        <v>864</v>
      </c>
      <c r="T696">
        <v>1752.6</v>
      </c>
      <c r="U696">
        <v>4</v>
      </c>
      <c r="V696">
        <v>0</v>
      </c>
      <c r="W696">
        <v>455.64</v>
      </c>
      <c r="X696">
        <v>228.7</v>
      </c>
      <c r="Y696" t="s">
        <v>164</v>
      </c>
      <c r="Z696">
        <f>Superstore_Sales[[#This Row],[Sales]]*Superstore_Sales[[#This Row],[Quantity]]</f>
        <v>7010.4</v>
      </c>
      <c r="AA696" s="3">
        <f>Superstore_Sales[[#This Row],[TotalSales]]*Superstore_Sales[[#This Row],[Discount]]/100</f>
        <v>0</v>
      </c>
      <c r="AB696" s="2">
        <f>Superstore_Sales[[#This Row],[TotalSales]]-Superstore_Sales[[#This Row],[Dis_amt]]-Superstore_Sales[[#This Row],[Shipping Cost]]</f>
        <v>6781.7</v>
      </c>
    </row>
    <row r="697" spans="1:28" x14ac:dyDescent="0.35">
      <c r="A697">
        <v>25245</v>
      </c>
      <c r="B697" t="s">
        <v>3386</v>
      </c>
      <c r="C697" s="1">
        <v>41971</v>
      </c>
      <c r="D697" s="1">
        <v>41973</v>
      </c>
      <c r="E697">
        <f>Superstore_Sales[[#This Row],[Ship Date]]-Superstore_Sales[[#This Row],[Order Date]]</f>
        <v>2</v>
      </c>
      <c r="F697" t="s">
        <v>40</v>
      </c>
      <c r="G697" t="s">
        <v>3387</v>
      </c>
      <c r="H697" t="s">
        <v>3388</v>
      </c>
      <c r="I697" t="s">
        <v>28</v>
      </c>
      <c r="K697" t="s">
        <v>3389</v>
      </c>
      <c r="L697" t="s">
        <v>404</v>
      </c>
      <c r="M697" t="s">
        <v>258</v>
      </c>
      <c r="N697" t="s">
        <v>118</v>
      </c>
      <c r="O697" t="s">
        <v>48</v>
      </c>
      <c r="P697" t="s">
        <v>119</v>
      </c>
      <c r="Q697" t="s">
        <v>50</v>
      </c>
      <c r="R697" t="s">
        <v>104</v>
      </c>
      <c r="S697" t="s">
        <v>120</v>
      </c>
      <c r="T697">
        <v>1850.46</v>
      </c>
      <c r="U697">
        <v>2</v>
      </c>
      <c r="V697">
        <v>0</v>
      </c>
      <c r="W697">
        <v>259.02</v>
      </c>
      <c r="X697">
        <v>228.37</v>
      </c>
      <c r="Y697" t="s">
        <v>38</v>
      </c>
      <c r="Z697">
        <f>Superstore_Sales[[#This Row],[Sales]]*Superstore_Sales[[#This Row],[Quantity]]</f>
        <v>3700.92</v>
      </c>
      <c r="AA697" s="3">
        <f>Superstore_Sales[[#This Row],[TotalSales]]*Superstore_Sales[[#This Row],[Discount]]/100</f>
        <v>0</v>
      </c>
      <c r="AB697" s="2">
        <f>Superstore_Sales[[#This Row],[TotalSales]]-Superstore_Sales[[#This Row],[Dis_amt]]-Superstore_Sales[[#This Row],[Shipping Cost]]</f>
        <v>3472.55</v>
      </c>
    </row>
    <row r="698" spans="1:28" x14ac:dyDescent="0.35">
      <c r="A698">
        <v>21620</v>
      </c>
      <c r="B698" t="s">
        <v>3390</v>
      </c>
      <c r="C698" s="1">
        <v>41139</v>
      </c>
      <c r="D698" s="1">
        <v>41143</v>
      </c>
      <c r="E698">
        <f>Superstore_Sales[[#This Row],[Ship Date]]-Superstore_Sales[[#This Row],[Order Date]]</f>
        <v>4</v>
      </c>
      <c r="F698" t="s">
        <v>98</v>
      </c>
      <c r="G698" t="s">
        <v>3330</v>
      </c>
      <c r="H698" t="s">
        <v>466</v>
      </c>
      <c r="I698" t="s">
        <v>43</v>
      </c>
      <c r="K698" t="s">
        <v>1312</v>
      </c>
      <c r="L698" t="s">
        <v>1970</v>
      </c>
      <c r="M698" t="s">
        <v>144</v>
      </c>
      <c r="N698" t="s">
        <v>145</v>
      </c>
      <c r="O698" t="s">
        <v>48</v>
      </c>
      <c r="P698" t="s">
        <v>691</v>
      </c>
      <c r="Q698" t="s">
        <v>50</v>
      </c>
      <c r="R698" t="s">
        <v>51</v>
      </c>
      <c r="S698" t="s">
        <v>692</v>
      </c>
      <c r="T698">
        <v>2337.15</v>
      </c>
      <c r="U698">
        <v>5</v>
      </c>
      <c r="V698">
        <v>0</v>
      </c>
      <c r="W698">
        <v>1098.45</v>
      </c>
      <c r="X698">
        <v>228.16</v>
      </c>
      <c r="Y698" t="s">
        <v>61</v>
      </c>
      <c r="Z698">
        <f>Superstore_Sales[[#This Row],[Sales]]*Superstore_Sales[[#This Row],[Quantity]]</f>
        <v>11685.75</v>
      </c>
      <c r="AA698" s="3">
        <f>Superstore_Sales[[#This Row],[TotalSales]]*Superstore_Sales[[#This Row],[Discount]]/100</f>
        <v>0</v>
      </c>
      <c r="AB698" s="2">
        <f>Superstore_Sales[[#This Row],[TotalSales]]-Superstore_Sales[[#This Row],[Dis_amt]]-Superstore_Sales[[#This Row],[Shipping Cost]]</f>
        <v>11457.59</v>
      </c>
    </row>
    <row r="699" spans="1:28" x14ac:dyDescent="0.35">
      <c r="A699">
        <v>10380</v>
      </c>
      <c r="B699" t="s">
        <v>3391</v>
      </c>
      <c r="C699" s="1">
        <v>42076</v>
      </c>
      <c r="D699" s="1">
        <v>42076</v>
      </c>
      <c r="E699">
        <f>Superstore_Sales[[#This Row],[Ship Date]]-Superstore_Sales[[#This Row],[Order Date]]</f>
        <v>0</v>
      </c>
      <c r="F699" t="s">
        <v>73</v>
      </c>
      <c r="G699" t="s">
        <v>3392</v>
      </c>
      <c r="H699" t="s">
        <v>3393</v>
      </c>
      <c r="I699" t="s">
        <v>43</v>
      </c>
      <c r="K699" t="s">
        <v>3394</v>
      </c>
      <c r="L699" t="s">
        <v>310</v>
      </c>
      <c r="M699" t="s">
        <v>210</v>
      </c>
      <c r="N699" t="s">
        <v>211</v>
      </c>
      <c r="O699" t="s">
        <v>69</v>
      </c>
      <c r="P699" t="s">
        <v>3395</v>
      </c>
      <c r="Q699" t="s">
        <v>50</v>
      </c>
      <c r="R699" t="s">
        <v>336</v>
      </c>
      <c r="S699" t="s">
        <v>3396</v>
      </c>
      <c r="T699">
        <v>788.4</v>
      </c>
      <c r="U699">
        <v>4</v>
      </c>
      <c r="V699">
        <v>0</v>
      </c>
      <c r="W699">
        <v>291.60000000000002</v>
      </c>
      <c r="X699">
        <v>228.13</v>
      </c>
      <c r="Y699" t="s">
        <v>61</v>
      </c>
      <c r="Z699">
        <f>Superstore_Sales[[#This Row],[Sales]]*Superstore_Sales[[#This Row],[Quantity]]</f>
        <v>3153.6</v>
      </c>
      <c r="AA699" s="3">
        <f>Superstore_Sales[[#This Row],[TotalSales]]*Superstore_Sales[[#This Row],[Discount]]/100</f>
        <v>0</v>
      </c>
      <c r="AB699" s="2">
        <f>Superstore_Sales[[#This Row],[TotalSales]]-Superstore_Sales[[#This Row],[Dis_amt]]-Superstore_Sales[[#This Row],[Shipping Cost]]</f>
        <v>2925.47</v>
      </c>
    </row>
    <row r="700" spans="1:28" x14ac:dyDescent="0.35">
      <c r="A700">
        <v>12887</v>
      </c>
      <c r="B700" t="s">
        <v>3397</v>
      </c>
      <c r="C700" s="1">
        <v>41733</v>
      </c>
      <c r="D700" s="1">
        <v>41736</v>
      </c>
      <c r="E700">
        <f>Superstore_Sales[[#This Row],[Ship Date]]-Superstore_Sales[[#This Row],[Order Date]]</f>
        <v>3</v>
      </c>
      <c r="F700" t="s">
        <v>25</v>
      </c>
      <c r="G700" t="s">
        <v>3398</v>
      </c>
      <c r="H700" t="s">
        <v>3399</v>
      </c>
      <c r="I700" t="s">
        <v>43</v>
      </c>
      <c r="K700" t="s">
        <v>3400</v>
      </c>
      <c r="L700" t="s">
        <v>1360</v>
      </c>
      <c r="M700" t="s">
        <v>155</v>
      </c>
      <c r="N700" t="s">
        <v>68</v>
      </c>
      <c r="O700" t="s">
        <v>69</v>
      </c>
      <c r="P700" t="s">
        <v>3401</v>
      </c>
      <c r="Q700" t="s">
        <v>35</v>
      </c>
      <c r="R700" t="s">
        <v>275</v>
      </c>
      <c r="S700" t="s">
        <v>3402</v>
      </c>
      <c r="T700">
        <v>715.53</v>
      </c>
      <c r="U700">
        <v>5</v>
      </c>
      <c r="V700">
        <v>0.15</v>
      </c>
      <c r="W700">
        <v>100.98</v>
      </c>
      <c r="X700">
        <v>227.85</v>
      </c>
      <c r="Y700" t="s">
        <v>53</v>
      </c>
      <c r="Z700">
        <f>Superstore_Sales[[#This Row],[Sales]]*Superstore_Sales[[#This Row],[Quantity]]</f>
        <v>3577.6499999999996</v>
      </c>
      <c r="AA700" s="3">
        <f>Superstore_Sales[[#This Row],[TotalSales]]*Superstore_Sales[[#This Row],[Discount]]/100</f>
        <v>5.3664749999999994</v>
      </c>
      <c r="AB700" s="2">
        <f>Superstore_Sales[[#This Row],[TotalSales]]-Superstore_Sales[[#This Row],[Dis_amt]]-Superstore_Sales[[#This Row],[Shipping Cost]]</f>
        <v>3344.4335249999999</v>
      </c>
    </row>
    <row r="701" spans="1:28" x14ac:dyDescent="0.35">
      <c r="A701">
        <v>31812</v>
      </c>
      <c r="B701" t="s">
        <v>3403</v>
      </c>
      <c r="C701" s="1">
        <v>42027</v>
      </c>
      <c r="D701" s="1">
        <v>42032</v>
      </c>
      <c r="E701">
        <f>Superstore_Sales[[#This Row],[Ship Date]]-Superstore_Sales[[#This Row],[Order Date]]</f>
        <v>5</v>
      </c>
      <c r="F701" t="s">
        <v>98</v>
      </c>
      <c r="G701" t="s">
        <v>3404</v>
      </c>
      <c r="H701" t="s">
        <v>942</v>
      </c>
      <c r="I701" t="s">
        <v>65</v>
      </c>
      <c r="J701">
        <v>59405</v>
      </c>
      <c r="K701" t="s">
        <v>3405</v>
      </c>
      <c r="L701" t="s">
        <v>3406</v>
      </c>
      <c r="M701" t="s">
        <v>31</v>
      </c>
      <c r="N701" t="s">
        <v>110</v>
      </c>
      <c r="O701" t="s">
        <v>33</v>
      </c>
      <c r="P701" t="s">
        <v>3407</v>
      </c>
      <c r="Q701" t="s">
        <v>35</v>
      </c>
      <c r="R701" t="s">
        <v>81</v>
      </c>
      <c r="S701" t="s">
        <v>3408</v>
      </c>
      <c r="T701">
        <v>2999.95</v>
      </c>
      <c r="U701">
        <v>5</v>
      </c>
      <c r="V701">
        <v>0</v>
      </c>
      <c r="W701">
        <v>1379.98</v>
      </c>
      <c r="X701">
        <v>121.36</v>
      </c>
      <c r="Y701" t="s">
        <v>61</v>
      </c>
      <c r="Z701">
        <f>Superstore_Sales[[#This Row],[Sales]]*Superstore_Sales[[#This Row],[Quantity]]</f>
        <v>14999.75</v>
      </c>
      <c r="AA701" s="3">
        <f>Superstore_Sales[[#This Row],[TotalSales]]*Superstore_Sales[[#This Row],[Discount]]/100</f>
        <v>0</v>
      </c>
      <c r="AB701" s="2">
        <f>Superstore_Sales[[#This Row],[TotalSales]]-Superstore_Sales[[#This Row],[Dis_amt]]-Superstore_Sales[[#This Row],[Shipping Cost]]</f>
        <v>14878.39</v>
      </c>
    </row>
    <row r="702" spans="1:28" x14ac:dyDescent="0.35">
      <c r="A702">
        <v>25862</v>
      </c>
      <c r="B702" t="s">
        <v>3409</v>
      </c>
      <c r="C702" s="1">
        <v>42141</v>
      </c>
      <c r="D702" s="1">
        <v>42146</v>
      </c>
      <c r="E702">
        <f>Superstore_Sales[[#This Row],[Ship Date]]-Superstore_Sales[[#This Row],[Order Date]]</f>
        <v>5</v>
      </c>
      <c r="F702" t="s">
        <v>40</v>
      </c>
      <c r="G702" t="s">
        <v>3410</v>
      </c>
      <c r="H702" t="s">
        <v>3411</v>
      </c>
      <c r="I702" t="s">
        <v>28</v>
      </c>
      <c r="K702" t="s">
        <v>3412</v>
      </c>
      <c r="L702" t="s">
        <v>3413</v>
      </c>
      <c r="M702" t="s">
        <v>258</v>
      </c>
      <c r="N702" t="s">
        <v>118</v>
      </c>
      <c r="O702" t="s">
        <v>48</v>
      </c>
      <c r="P702" t="s">
        <v>3414</v>
      </c>
      <c r="Q702" t="s">
        <v>50</v>
      </c>
      <c r="R702" t="s">
        <v>104</v>
      </c>
      <c r="S702" t="s">
        <v>3415</v>
      </c>
      <c r="T702">
        <v>3094.56</v>
      </c>
      <c r="U702">
        <v>6</v>
      </c>
      <c r="V702">
        <v>0</v>
      </c>
      <c r="W702">
        <v>1423.44</v>
      </c>
      <c r="X702">
        <v>227.67</v>
      </c>
      <c r="Y702" t="s">
        <v>61</v>
      </c>
      <c r="Z702">
        <f>Superstore_Sales[[#This Row],[Sales]]*Superstore_Sales[[#This Row],[Quantity]]</f>
        <v>18567.36</v>
      </c>
      <c r="AA702" s="3">
        <f>Superstore_Sales[[#This Row],[TotalSales]]*Superstore_Sales[[#This Row],[Discount]]/100</f>
        <v>0</v>
      </c>
      <c r="AB702" s="2">
        <f>Superstore_Sales[[#This Row],[TotalSales]]-Superstore_Sales[[#This Row],[Dis_amt]]-Superstore_Sales[[#This Row],[Shipping Cost]]</f>
        <v>18339.690000000002</v>
      </c>
    </row>
    <row r="703" spans="1:28" x14ac:dyDescent="0.35">
      <c r="A703">
        <v>622</v>
      </c>
      <c r="B703" t="s">
        <v>3416</v>
      </c>
      <c r="C703" s="1">
        <v>41752</v>
      </c>
      <c r="D703" s="1">
        <v>41754</v>
      </c>
      <c r="E703">
        <f>Superstore_Sales[[#This Row],[Ship Date]]-Superstore_Sales[[#This Row],[Order Date]]</f>
        <v>2</v>
      </c>
      <c r="F703" t="s">
        <v>40</v>
      </c>
      <c r="G703" t="s">
        <v>3417</v>
      </c>
      <c r="H703" t="s">
        <v>3418</v>
      </c>
      <c r="I703" t="s">
        <v>43</v>
      </c>
      <c r="K703" t="s">
        <v>2953</v>
      </c>
      <c r="L703" t="s">
        <v>896</v>
      </c>
      <c r="M703" t="s">
        <v>896</v>
      </c>
      <c r="N703" t="s">
        <v>220</v>
      </c>
      <c r="O703" t="s">
        <v>136</v>
      </c>
      <c r="P703" t="s">
        <v>3419</v>
      </c>
      <c r="Q703" t="s">
        <v>35</v>
      </c>
      <c r="R703" t="s">
        <v>81</v>
      </c>
      <c r="S703" t="s">
        <v>3420</v>
      </c>
      <c r="T703">
        <v>882.03</v>
      </c>
      <c r="U703">
        <v>9</v>
      </c>
      <c r="V703">
        <v>2E-3</v>
      </c>
      <c r="W703">
        <v>148.35</v>
      </c>
      <c r="X703">
        <v>227.62899999999999</v>
      </c>
      <c r="Y703" t="s">
        <v>38</v>
      </c>
      <c r="Z703">
        <f>Superstore_Sales[[#This Row],[Sales]]*Superstore_Sales[[#This Row],[Quantity]]</f>
        <v>7938.2699999999995</v>
      </c>
      <c r="AA703" s="3">
        <f>Superstore_Sales[[#This Row],[TotalSales]]*Superstore_Sales[[#This Row],[Discount]]/100</f>
        <v>0.15876539999999997</v>
      </c>
      <c r="AB703" s="2">
        <f>Superstore_Sales[[#This Row],[TotalSales]]-Superstore_Sales[[#This Row],[Dis_amt]]-Superstore_Sales[[#This Row],[Shipping Cost]]</f>
        <v>7710.4822345999992</v>
      </c>
    </row>
    <row r="704" spans="1:28" x14ac:dyDescent="0.35">
      <c r="A704">
        <v>25602</v>
      </c>
      <c r="B704" t="s">
        <v>3421</v>
      </c>
      <c r="C704" s="1">
        <v>41531</v>
      </c>
      <c r="D704" s="1">
        <v>41533</v>
      </c>
      <c r="E704">
        <f>Superstore_Sales[[#This Row],[Ship Date]]-Superstore_Sales[[#This Row],[Order Date]]</f>
        <v>2</v>
      </c>
      <c r="F704" t="s">
        <v>25</v>
      </c>
      <c r="G704" t="s">
        <v>3422</v>
      </c>
      <c r="H704" t="s">
        <v>1272</v>
      </c>
      <c r="I704" t="s">
        <v>43</v>
      </c>
      <c r="K704" t="s">
        <v>286</v>
      </c>
      <c r="L704" t="s">
        <v>58</v>
      </c>
      <c r="M704" t="s">
        <v>46</v>
      </c>
      <c r="N704" t="s">
        <v>47</v>
      </c>
      <c r="O704" t="s">
        <v>48</v>
      </c>
      <c r="P704" t="s">
        <v>2405</v>
      </c>
      <c r="Q704" t="s">
        <v>50</v>
      </c>
      <c r="R704" t="s">
        <v>104</v>
      </c>
      <c r="S704" t="s">
        <v>2406</v>
      </c>
      <c r="T704">
        <v>953.82</v>
      </c>
      <c r="U704">
        <v>3</v>
      </c>
      <c r="V704">
        <v>0.3</v>
      </c>
      <c r="W704">
        <v>-81.81</v>
      </c>
      <c r="X704">
        <v>227.19</v>
      </c>
      <c r="Y704" t="s">
        <v>38</v>
      </c>
      <c r="Z704">
        <f>Superstore_Sales[[#This Row],[Sales]]*Superstore_Sales[[#This Row],[Quantity]]</f>
        <v>2861.46</v>
      </c>
      <c r="AA704" s="3">
        <f>Superstore_Sales[[#This Row],[TotalSales]]*Superstore_Sales[[#This Row],[Discount]]/100</f>
        <v>8.5843799999999995</v>
      </c>
      <c r="AB704" s="2">
        <f>Superstore_Sales[[#This Row],[TotalSales]]-Superstore_Sales[[#This Row],[Dis_amt]]-Superstore_Sales[[#This Row],[Shipping Cost]]</f>
        <v>2625.6856200000002</v>
      </c>
    </row>
    <row r="705" spans="1:28" x14ac:dyDescent="0.35">
      <c r="A705">
        <v>26110</v>
      </c>
      <c r="B705" t="s">
        <v>3423</v>
      </c>
      <c r="C705" s="1">
        <v>41552</v>
      </c>
      <c r="D705" s="1">
        <v>41556</v>
      </c>
      <c r="E705">
        <f>Superstore_Sales[[#This Row],[Ship Date]]-Superstore_Sales[[#This Row],[Order Date]]</f>
        <v>4</v>
      </c>
      <c r="F705" t="s">
        <v>98</v>
      </c>
      <c r="G705" t="s">
        <v>3424</v>
      </c>
      <c r="H705" t="s">
        <v>3425</v>
      </c>
      <c r="I705" t="s">
        <v>65</v>
      </c>
      <c r="K705" t="s">
        <v>3426</v>
      </c>
      <c r="L705" t="s">
        <v>1418</v>
      </c>
      <c r="M705" t="s">
        <v>258</v>
      </c>
      <c r="N705" t="s">
        <v>118</v>
      </c>
      <c r="O705" t="s">
        <v>48</v>
      </c>
      <c r="P705" t="s">
        <v>87</v>
      </c>
      <c r="Q705" t="s">
        <v>35</v>
      </c>
      <c r="R705" t="s">
        <v>36</v>
      </c>
      <c r="S705" t="s">
        <v>88</v>
      </c>
      <c r="T705">
        <v>2544.6</v>
      </c>
      <c r="U705">
        <v>4</v>
      </c>
      <c r="V705">
        <v>0</v>
      </c>
      <c r="W705">
        <v>865.08</v>
      </c>
      <c r="X705">
        <v>226.81</v>
      </c>
      <c r="Y705" t="s">
        <v>61</v>
      </c>
      <c r="Z705">
        <f>Superstore_Sales[[#This Row],[Sales]]*Superstore_Sales[[#This Row],[Quantity]]</f>
        <v>10178.4</v>
      </c>
      <c r="AA705" s="3">
        <f>Superstore_Sales[[#This Row],[TotalSales]]*Superstore_Sales[[#This Row],[Discount]]/100</f>
        <v>0</v>
      </c>
      <c r="AB705" s="2">
        <f>Superstore_Sales[[#This Row],[TotalSales]]-Superstore_Sales[[#This Row],[Dis_amt]]-Superstore_Sales[[#This Row],[Shipping Cost]]</f>
        <v>9951.59</v>
      </c>
    </row>
    <row r="706" spans="1:28" x14ac:dyDescent="0.35">
      <c r="A706">
        <v>26969</v>
      </c>
      <c r="B706" t="s">
        <v>3427</v>
      </c>
      <c r="C706" s="1">
        <v>42306</v>
      </c>
      <c r="D706" s="1">
        <v>42308</v>
      </c>
      <c r="E706">
        <f>Superstore_Sales[[#This Row],[Ship Date]]-Superstore_Sales[[#This Row],[Order Date]]</f>
        <v>2</v>
      </c>
      <c r="F706" t="s">
        <v>40</v>
      </c>
      <c r="G706" t="s">
        <v>3428</v>
      </c>
      <c r="H706" t="s">
        <v>1375</v>
      </c>
      <c r="I706" t="s">
        <v>28</v>
      </c>
      <c r="K706" t="s">
        <v>3429</v>
      </c>
      <c r="L706" t="s">
        <v>573</v>
      </c>
      <c r="M706" t="s">
        <v>321</v>
      </c>
      <c r="N706" t="s">
        <v>322</v>
      </c>
      <c r="O706" t="s">
        <v>48</v>
      </c>
      <c r="P706" t="s">
        <v>3430</v>
      </c>
      <c r="Q706" t="s">
        <v>35</v>
      </c>
      <c r="R706" t="s">
        <v>275</v>
      </c>
      <c r="S706" t="s">
        <v>3431</v>
      </c>
      <c r="T706">
        <v>886.14</v>
      </c>
      <c r="U706">
        <v>4</v>
      </c>
      <c r="V706">
        <v>0.17</v>
      </c>
      <c r="W706">
        <v>106.74</v>
      </c>
      <c r="X706">
        <v>226.8</v>
      </c>
      <c r="Y706" t="s">
        <v>38</v>
      </c>
      <c r="Z706">
        <f>Superstore_Sales[[#This Row],[Sales]]*Superstore_Sales[[#This Row],[Quantity]]</f>
        <v>3544.56</v>
      </c>
      <c r="AA706" s="3">
        <f>Superstore_Sales[[#This Row],[TotalSales]]*Superstore_Sales[[#This Row],[Discount]]/100</f>
        <v>6.0257519999999998</v>
      </c>
      <c r="AB706" s="2">
        <f>Superstore_Sales[[#This Row],[TotalSales]]-Superstore_Sales[[#This Row],[Dis_amt]]-Superstore_Sales[[#This Row],[Shipping Cost]]</f>
        <v>3311.7342479999998</v>
      </c>
    </row>
    <row r="707" spans="1:28" x14ac:dyDescent="0.35">
      <c r="A707">
        <v>30241</v>
      </c>
      <c r="B707" t="s">
        <v>3432</v>
      </c>
      <c r="C707" s="1">
        <v>41235</v>
      </c>
      <c r="D707" s="1">
        <v>41237</v>
      </c>
      <c r="E707">
        <f>Superstore_Sales[[#This Row],[Ship Date]]-Superstore_Sales[[#This Row],[Order Date]]</f>
        <v>2</v>
      </c>
      <c r="F707" t="s">
        <v>25</v>
      </c>
      <c r="G707" t="s">
        <v>3433</v>
      </c>
      <c r="H707" t="s">
        <v>3434</v>
      </c>
      <c r="I707" t="s">
        <v>28</v>
      </c>
      <c r="K707" t="s">
        <v>943</v>
      </c>
      <c r="L707" t="s">
        <v>943</v>
      </c>
      <c r="M707" t="s">
        <v>321</v>
      </c>
      <c r="N707" t="s">
        <v>322</v>
      </c>
      <c r="O707" t="s">
        <v>48</v>
      </c>
      <c r="P707" t="s">
        <v>1142</v>
      </c>
      <c r="Q707" t="s">
        <v>35</v>
      </c>
      <c r="R707" t="s">
        <v>275</v>
      </c>
      <c r="S707" t="s">
        <v>1143</v>
      </c>
      <c r="T707">
        <v>473.85</v>
      </c>
      <c r="U707">
        <v>5</v>
      </c>
      <c r="V707">
        <v>0.17</v>
      </c>
      <c r="W707">
        <v>-5.85</v>
      </c>
      <c r="X707">
        <v>226.73</v>
      </c>
      <c r="Y707" t="s">
        <v>53</v>
      </c>
      <c r="Z707">
        <f>Superstore_Sales[[#This Row],[Sales]]*Superstore_Sales[[#This Row],[Quantity]]</f>
        <v>2369.25</v>
      </c>
      <c r="AA707" s="3">
        <f>Superstore_Sales[[#This Row],[TotalSales]]*Superstore_Sales[[#This Row],[Discount]]/100</f>
        <v>4.0277250000000002</v>
      </c>
      <c r="AB707" s="2">
        <f>Superstore_Sales[[#This Row],[TotalSales]]-Superstore_Sales[[#This Row],[Dis_amt]]-Superstore_Sales[[#This Row],[Shipping Cost]]</f>
        <v>2138.4922750000001</v>
      </c>
    </row>
    <row r="708" spans="1:28" x14ac:dyDescent="0.35">
      <c r="A708">
        <v>48705</v>
      </c>
      <c r="B708" t="s">
        <v>3435</v>
      </c>
      <c r="C708" s="1">
        <v>42348</v>
      </c>
      <c r="D708" s="1">
        <v>42351</v>
      </c>
      <c r="E708">
        <f>Superstore_Sales[[#This Row],[Ship Date]]-Superstore_Sales[[#This Row],[Order Date]]</f>
        <v>3</v>
      </c>
      <c r="F708" t="s">
        <v>40</v>
      </c>
      <c r="G708" t="s">
        <v>3436</v>
      </c>
      <c r="H708" t="s">
        <v>1795</v>
      </c>
      <c r="I708" t="s">
        <v>28</v>
      </c>
      <c r="K708" t="s">
        <v>3437</v>
      </c>
      <c r="L708" t="s">
        <v>3438</v>
      </c>
      <c r="M708" t="s">
        <v>3293</v>
      </c>
      <c r="N708" t="s">
        <v>78</v>
      </c>
      <c r="O708" t="s">
        <v>79</v>
      </c>
      <c r="P708" t="s">
        <v>3419</v>
      </c>
      <c r="Q708" t="s">
        <v>35</v>
      </c>
      <c r="R708" t="s">
        <v>81</v>
      </c>
      <c r="S708" t="s">
        <v>3420</v>
      </c>
      <c r="T708">
        <v>1767.6</v>
      </c>
      <c r="U708">
        <v>12</v>
      </c>
      <c r="V708">
        <v>0</v>
      </c>
      <c r="W708">
        <v>0</v>
      </c>
      <c r="X708">
        <v>226.68</v>
      </c>
      <c r="Y708" t="s">
        <v>53</v>
      </c>
      <c r="Z708">
        <f>Superstore_Sales[[#This Row],[Sales]]*Superstore_Sales[[#This Row],[Quantity]]</f>
        <v>21211.199999999997</v>
      </c>
      <c r="AA708" s="3">
        <f>Superstore_Sales[[#This Row],[TotalSales]]*Superstore_Sales[[#This Row],[Discount]]/100</f>
        <v>0</v>
      </c>
      <c r="AB708" s="2">
        <f>Superstore_Sales[[#This Row],[TotalSales]]-Superstore_Sales[[#This Row],[Dis_amt]]-Superstore_Sales[[#This Row],[Shipping Cost]]</f>
        <v>20984.519999999997</v>
      </c>
    </row>
    <row r="709" spans="1:28" x14ac:dyDescent="0.35">
      <c r="A709">
        <v>4820</v>
      </c>
      <c r="B709" t="s">
        <v>3439</v>
      </c>
      <c r="C709" s="1">
        <v>41251</v>
      </c>
      <c r="D709" s="1">
        <v>41252</v>
      </c>
      <c r="E709">
        <f>Superstore_Sales[[#This Row],[Ship Date]]-Superstore_Sales[[#This Row],[Order Date]]</f>
        <v>1</v>
      </c>
      <c r="F709" t="s">
        <v>25</v>
      </c>
      <c r="G709" t="s">
        <v>3440</v>
      </c>
      <c r="H709" t="s">
        <v>246</v>
      </c>
      <c r="I709" t="s">
        <v>43</v>
      </c>
      <c r="K709" t="s">
        <v>3441</v>
      </c>
      <c r="L709" t="s">
        <v>3442</v>
      </c>
      <c r="M709" t="s">
        <v>219</v>
      </c>
      <c r="N709" t="s">
        <v>220</v>
      </c>
      <c r="O709" t="s">
        <v>136</v>
      </c>
      <c r="P709" t="s">
        <v>2138</v>
      </c>
      <c r="Q709" t="s">
        <v>50</v>
      </c>
      <c r="R709" t="s">
        <v>336</v>
      </c>
      <c r="S709" t="s">
        <v>2139</v>
      </c>
      <c r="T709">
        <v>780.61</v>
      </c>
      <c r="U709">
        <v>4</v>
      </c>
      <c r="V709">
        <v>0.2</v>
      </c>
      <c r="W709">
        <v>-0.03</v>
      </c>
      <c r="X709">
        <v>226.62899999999999</v>
      </c>
      <c r="Y709" t="s">
        <v>38</v>
      </c>
      <c r="Z709">
        <f>Superstore_Sales[[#This Row],[Sales]]*Superstore_Sales[[#This Row],[Quantity]]</f>
        <v>3122.44</v>
      </c>
      <c r="AA709" s="3">
        <f>Superstore_Sales[[#This Row],[TotalSales]]*Superstore_Sales[[#This Row],[Discount]]/100</f>
        <v>6.2448800000000002</v>
      </c>
      <c r="AB709" s="2">
        <f>Superstore_Sales[[#This Row],[TotalSales]]-Superstore_Sales[[#This Row],[Dis_amt]]-Superstore_Sales[[#This Row],[Shipping Cost]]</f>
        <v>2889.56612</v>
      </c>
    </row>
    <row r="710" spans="1:28" x14ac:dyDescent="0.35">
      <c r="A710">
        <v>31421</v>
      </c>
      <c r="B710" t="s">
        <v>3443</v>
      </c>
      <c r="C710" s="1">
        <v>41268</v>
      </c>
      <c r="D710" s="1">
        <v>41270</v>
      </c>
      <c r="E710">
        <f>Superstore_Sales[[#This Row],[Ship Date]]-Superstore_Sales[[#This Row],[Order Date]]</f>
        <v>2</v>
      </c>
      <c r="F710" t="s">
        <v>40</v>
      </c>
      <c r="G710" t="s">
        <v>3444</v>
      </c>
      <c r="H710" t="s">
        <v>942</v>
      </c>
      <c r="I710" t="s">
        <v>65</v>
      </c>
      <c r="J710">
        <v>77041</v>
      </c>
      <c r="K710" t="s">
        <v>2104</v>
      </c>
      <c r="L710" t="s">
        <v>160</v>
      </c>
      <c r="M710" t="s">
        <v>31</v>
      </c>
      <c r="N710" t="s">
        <v>32</v>
      </c>
      <c r="O710" t="s">
        <v>33</v>
      </c>
      <c r="P710" t="s">
        <v>3445</v>
      </c>
      <c r="Q710" t="s">
        <v>50</v>
      </c>
      <c r="R710" t="s">
        <v>51</v>
      </c>
      <c r="S710" t="s">
        <v>3446</v>
      </c>
      <c r="T710">
        <v>600.55999999999995</v>
      </c>
      <c r="U710">
        <v>3</v>
      </c>
      <c r="V710">
        <v>0.3</v>
      </c>
      <c r="W710">
        <v>-8.58</v>
      </c>
      <c r="X710">
        <v>58.54</v>
      </c>
      <c r="Y710" t="s">
        <v>38</v>
      </c>
      <c r="Z710">
        <f>Superstore_Sales[[#This Row],[Sales]]*Superstore_Sales[[#This Row],[Quantity]]</f>
        <v>1801.6799999999998</v>
      </c>
      <c r="AA710" s="3">
        <f>Superstore_Sales[[#This Row],[TotalSales]]*Superstore_Sales[[#This Row],[Discount]]/100</f>
        <v>5.4050399999999987</v>
      </c>
      <c r="AB710" s="2">
        <f>Superstore_Sales[[#This Row],[TotalSales]]-Superstore_Sales[[#This Row],[Dis_amt]]-Superstore_Sales[[#This Row],[Shipping Cost]]</f>
        <v>1737.7349599999998</v>
      </c>
    </row>
    <row r="711" spans="1:28" x14ac:dyDescent="0.35">
      <c r="A711">
        <v>17274</v>
      </c>
      <c r="B711" t="s">
        <v>3447</v>
      </c>
      <c r="C711" s="1">
        <v>41990</v>
      </c>
      <c r="D711" s="1">
        <v>41990</v>
      </c>
      <c r="E711">
        <f>Superstore_Sales[[#This Row],[Ship Date]]-Superstore_Sales[[#This Row],[Order Date]]</f>
        <v>0</v>
      </c>
      <c r="F711" t="s">
        <v>73</v>
      </c>
      <c r="G711" t="s">
        <v>3448</v>
      </c>
      <c r="H711" t="s">
        <v>3449</v>
      </c>
      <c r="I711" t="s">
        <v>43</v>
      </c>
      <c r="K711" t="s">
        <v>920</v>
      </c>
      <c r="L711" t="s">
        <v>920</v>
      </c>
      <c r="M711" t="s">
        <v>463</v>
      </c>
      <c r="N711" t="s">
        <v>171</v>
      </c>
      <c r="O711" t="s">
        <v>69</v>
      </c>
      <c r="P711" t="s">
        <v>3450</v>
      </c>
      <c r="Q711" t="s">
        <v>147</v>
      </c>
      <c r="R711" t="s">
        <v>148</v>
      </c>
      <c r="S711" t="s">
        <v>3451</v>
      </c>
      <c r="T711">
        <v>2711.7</v>
      </c>
      <c r="U711">
        <v>5</v>
      </c>
      <c r="V711">
        <v>0</v>
      </c>
      <c r="W711">
        <v>1220.25</v>
      </c>
      <c r="X711">
        <v>226.25</v>
      </c>
      <c r="Y711" t="s">
        <v>38</v>
      </c>
      <c r="Z711">
        <f>Superstore_Sales[[#This Row],[Sales]]*Superstore_Sales[[#This Row],[Quantity]]</f>
        <v>13558.5</v>
      </c>
      <c r="AA711" s="3">
        <f>Superstore_Sales[[#This Row],[TotalSales]]*Superstore_Sales[[#This Row],[Discount]]/100</f>
        <v>0</v>
      </c>
      <c r="AB711" s="2">
        <f>Superstore_Sales[[#This Row],[TotalSales]]-Superstore_Sales[[#This Row],[Dis_amt]]-Superstore_Sales[[#This Row],[Shipping Cost]]</f>
        <v>13332.25</v>
      </c>
    </row>
    <row r="712" spans="1:28" x14ac:dyDescent="0.35">
      <c r="A712">
        <v>10795</v>
      </c>
      <c r="B712" t="s">
        <v>3452</v>
      </c>
      <c r="C712" s="1">
        <v>42108</v>
      </c>
      <c r="D712" s="1">
        <v>42112</v>
      </c>
      <c r="E712">
        <f>Superstore_Sales[[#This Row],[Ship Date]]-Superstore_Sales[[#This Row],[Order Date]]</f>
        <v>4</v>
      </c>
      <c r="F712" t="s">
        <v>98</v>
      </c>
      <c r="G712" t="s">
        <v>3453</v>
      </c>
      <c r="H712" t="s">
        <v>2823</v>
      </c>
      <c r="I712" t="s">
        <v>28</v>
      </c>
      <c r="K712" t="s">
        <v>3454</v>
      </c>
      <c r="L712" t="s">
        <v>310</v>
      </c>
      <c r="M712" t="s">
        <v>210</v>
      </c>
      <c r="N712" t="s">
        <v>211</v>
      </c>
      <c r="O712" t="s">
        <v>69</v>
      </c>
      <c r="P712" t="s">
        <v>1206</v>
      </c>
      <c r="Q712" t="s">
        <v>147</v>
      </c>
      <c r="R712" t="s">
        <v>148</v>
      </c>
      <c r="S712" t="s">
        <v>1207</v>
      </c>
      <c r="T712">
        <v>2111.9699999999998</v>
      </c>
      <c r="U712">
        <v>7</v>
      </c>
      <c r="V712">
        <v>0</v>
      </c>
      <c r="W712">
        <v>190.05</v>
      </c>
      <c r="X712">
        <v>225.84</v>
      </c>
      <c r="Y712" t="s">
        <v>61</v>
      </c>
      <c r="Z712">
        <f>Superstore_Sales[[#This Row],[Sales]]*Superstore_Sales[[#This Row],[Quantity]]</f>
        <v>14783.789999999999</v>
      </c>
      <c r="AA712" s="3">
        <f>Superstore_Sales[[#This Row],[TotalSales]]*Superstore_Sales[[#This Row],[Discount]]/100</f>
        <v>0</v>
      </c>
      <c r="AB712" s="2">
        <f>Superstore_Sales[[#This Row],[TotalSales]]-Superstore_Sales[[#This Row],[Dis_amt]]-Superstore_Sales[[#This Row],[Shipping Cost]]</f>
        <v>14557.949999999999</v>
      </c>
    </row>
    <row r="713" spans="1:28" x14ac:dyDescent="0.35">
      <c r="A713">
        <v>22458</v>
      </c>
      <c r="B713" t="s">
        <v>3455</v>
      </c>
      <c r="C713" s="1">
        <v>42358</v>
      </c>
      <c r="D713" s="1">
        <v>42362</v>
      </c>
      <c r="E713">
        <f>Superstore_Sales[[#This Row],[Ship Date]]-Superstore_Sales[[#This Row],[Order Date]]</f>
        <v>4</v>
      </c>
      <c r="F713" t="s">
        <v>98</v>
      </c>
      <c r="G713" t="s">
        <v>3456</v>
      </c>
      <c r="H713" t="s">
        <v>2683</v>
      </c>
      <c r="I713" t="s">
        <v>43</v>
      </c>
      <c r="K713" t="s">
        <v>3457</v>
      </c>
      <c r="L713" t="s">
        <v>3458</v>
      </c>
      <c r="M713" t="s">
        <v>611</v>
      </c>
      <c r="N713" t="s">
        <v>322</v>
      </c>
      <c r="O713" t="s">
        <v>48</v>
      </c>
      <c r="P713" t="s">
        <v>3459</v>
      </c>
      <c r="Q713" t="s">
        <v>50</v>
      </c>
      <c r="R713" t="s">
        <v>51</v>
      </c>
      <c r="S713" t="s">
        <v>3460</v>
      </c>
      <c r="T713">
        <v>1189.28</v>
      </c>
      <c r="U713">
        <v>9</v>
      </c>
      <c r="V713">
        <v>0.25</v>
      </c>
      <c r="W713">
        <v>-396.43</v>
      </c>
      <c r="X713">
        <v>225.78</v>
      </c>
      <c r="Y713" t="s">
        <v>38</v>
      </c>
      <c r="Z713">
        <f>Superstore_Sales[[#This Row],[Sales]]*Superstore_Sales[[#This Row],[Quantity]]</f>
        <v>10703.52</v>
      </c>
      <c r="AA713" s="3">
        <f>Superstore_Sales[[#This Row],[TotalSales]]*Superstore_Sales[[#This Row],[Discount]]/100</f>
        <v>26.758800000000001</v>
      </c>
      <c r="AB713" s="2">
        <f>Superstore_Sales[[#This Row],[TotalSales]]-Superstore_Sales[[#This Row],[Dis_amt]]-Superstore_Sales[[#This Row],[Shipping Cost]]</f>
        <v>10450.9812</v>
      </c>
    </row>
    <row r="714" spans="1:28" x14ac:dyDescent="0.35">
      <c r="A714">
        <v>30070</v>
      </c>
      <c r="B714" t="s">
        <v>3461</v>
      </c>
      <c r="C714" s="1">
        <v>41899</v>
      </c>
      <c r="D714" s="1">
        <v>41902</v>
      </c>
      <c r="E714">
        <f>Superstore_Sales[[#This Row],[Ship Date]]-Superstore_Sales[[#This Row],[Order Date]]</f>
        <v>3</v>
      </c>
      <c r="F714" t="s">
        <v>25</v>
      </c>
      <c r="G714" t="s">
        <v>3462</v>
      </c>
      <c r="H714" t="s">
        <v>3463</v>
      </c>
      <c r="I714" t="s">
        <v>28</v>
      </c>
      <c r="K714" t="s">
        <v>326</v>
      </c>
      <c r="L714" t="s">
        <v>327</v>
      </c>
      <c r="M714" t="s">
        <v>258</v>
      </c>
      <c r="N714" t="s">
        <v>118</v>
      </c>
      <c r="O714" t="s">
        <v>48</v>
      </c>
      <c r="P714" t="s">
        <v>1027</v>
      </c>
      <c r="Q714" t="s">
        <v>35</v>
      </c>
      <c r="R714" t="s">
        <v>36</v>
      </c>
      <c r="S714" t="s">
        <v>1028</v>
      </c>
      <c r="T714">
        <v>1908.45</v>
      </c>
      <c r="U714">
        <v>3</v>
      </c>
      <c r="V714">
        <v>0</v>
      </c>
      <c r="W714">
        <v>534.33000000000004</v>
      </c>
      <c r="X714">
        <v>225.58</v>
      </c>
      <c r="Y714" t="s">
        <v>38</v>
      </c>
      <c r="Z714">
        <f>Superstore_Sales[[#This Row],[Sales]]*Superstore_Sales[[#This Row],[Quantity]]</f>
        <v>5725.35</v>
      </c>
      <c r="AA714" s="3">
        <f>Superstore_Sales[[#This Row],[TotalSales]]*Superstore_Sales[[#This Row],[Discount]]/100</f>
        <v>0</v>
      </c>
      <c r="AB714" s="2">
        <f>Superstore_Sales[[#This Row],[TotalSales]]-Superstore_Sales[[#This Row],[Dis_amt]]-Superstore_Sales[[#This Row],[Shipping Cost]]</f>
        <v>5499.77</v>
      </c>
    </row>
    <row r="715" spans="1:28" x14ac:dyDescent="0.35">
      <c r="A715">
        <v>36225</v>
      </c>
      <c r="B715" t="s">
        <v>3464</v>
      </c>
      <c r="C715" s="1">
        <v>42340</v>
      </c>
      <c r="D715" s="1">
        <v>42345</v>
      </c>
      <c r="E715">
        <f>Superstore_Sales[[#This Row],[Ship Date]]-Superstore_Sales[[#This Row],[Order Date]]</f>
        <v>5</v>
      </c>
      <c r="F715" t="s">
        <v>98</v>
      </c>
      <c r="G715" t="s">
        <v>3465</v>
      </c>
      <c r="H715" t="s">
        <v>942</v>
      </c>
      <c r="I715" t="s">
        <v>65</v>
      </c>
      <c r="J715">
        <v>6824</v>
      </c>
      <c r="K715" t="s">
        <v>3466</v>
      </c>
      <c r="L715" t="s">
        <v>3467</v>
      </c>
      <c r="M715" t="s">
        <v>31</v>
      </c>
      <c r="N715" t="s">
        <v>249</v>
      </c>
      <c r="O715" t="s">
        <v>33</v>
      </c>
      <c r="P715" t="s">
        <v>3468</v>
      </c>
      <c r="Q715" t="s">
        <v>50</v>
      </c>
      <c r="R715" t="s">
        <v>51</v>
      </c>
      <c r="S715" t="s">
        <v>3469</v>
      </c>
      <c r="T715">
        <v>897.15</v>
      </c>
      <c r="U715">
        <v>3</v>
      </c>
      <c r="V715">
        <v>0</v>
      </c>
      <c r="W715">
        <v>251.2</v>
      </c>
      <c r="X715">
        <v>58.41</v>
      </c>
      <c r="Y715" t="s">
        <v>61</v>
      </c>
      <c r="Z715">
        <f>Superstore_Sales[[#This Row],[Sales]]*Superstore_Sales[[#This Row],[Quantity]]</f>
        <v>2691.45</v>
      </c>
      <c r="AA715" s="3">
        <f>Superstore_Sales[[#This Row],[TotalSales]]*Superstore_Sales[[#This Row],[Discount]]/100</f>
        <v>0</v>
      </c>
      <c r="AB715" s="2">
        <f>Superstore_Sales[[#This Row],[TotalSales]]-Superstore_Sales[[#This Row],[Dis_amt]]-Superstore_Sales[[#This Row],[Shipping Cost]]</f>
        <v>2633.04</v>
      </c>
    </row>
    <row r="716" spans="1:28" x14ac:dyDescent="0.35">
      <c r="A716">
        <v>36585</v>
      </c>
      <c r="B716" t="s">
        <v>3470</v>
      </c>
      <c r="C716" s="1">
        <v>42125</v>
      </c>
      <c r="D716" s="1">
        <v>42130</v>
      </c>
      <c r="E716">
        <f>Superstore_Sales[[#This Row],[Ship Date]]-Superstore_Sales[[#This Row],[Order Date]]</f>
        <v>5</v>
      </c>
      <c r="F716" t="s">
        <v>98</v>
      </c>
      <c r="G716" t="s">
        <v>3404</v>
      </c>
      <c r="H716" t="s">
        <v>942</v>
      </c>
      <c r="I716" t="s">
        <v>65</v>
      </c>
      <c r="J716">
        <v>94122</v>
      </c>
      <c r="K716" t="s">
        <v>279</v>
      </c>
      <c r="L716" t="s">
        <v>280</v>
      </c>
      <c r="M716" t="s">
        <v>31</v>
      </c>
      <c r="N716" t="s">
        <v>110</v>
      </c>
      <c r="O716" t="s">
        <v>33</v>
      </c>
      <c r="P716" t="s">
        <v>3471</v>
      </c>
      <c r="Q716" t="s">
        <v>147</v>
      </c>
      <c r="R716" t="s">
        <v>672</v>
      </c>
      <c r="S716" t="s">
        <v>3472</v>
      </c>
      <c r="T716">
        <v>163.96</v>
      </c>
      <c r="U716">
        <v>4</v>
      </c>
      <c r="V716">
        <v>0</v>
      </c>
      <c r="W716">
        <v>80.34</v>
      </c>
      <c r="X716">
        <v>7.09</v>
      </c>
      <c r="Y716" t="s">
        <v>61</v>
      </c>
      <c r="Z716">
        <f>Superstore_Sales[[#This Row],[Sales]]*Superstore_Sales[[#This Row],[Quantity]]</f>
        <v>655.84</v>
      </c>
      <c r="AA716" s="3">
        <f>Superstore_Sales[[#This Row],[TotalSales]]*Superstore_Sales[[#This Row],[Discount]]/100</f>
        <v>0</v>
      </c>
      <c r="AB716" s="2">
        <f>Superstore_Sales[[#This Row],[TotalSales]]-Superstore_Sales[[#This Row],[Dis_amt]]-Superstore_Sales[[#This Row],[Shipping Cost]]</f>
        <v>648.75</v>
      </c>
    </row>
    <row r="717" spans="1:28" x14ac:dyDescent="0.35">
      <c r="A717">
        <v>20542</v>
      </c>
      <c r="B717" t="s">
        <v>3473</v>
      </c>
      <c r="C717" s="1">
        <v>41634</v>
      </c>
      <c r="D717" s="1">
        <v>41636</v>
      </c>
      <c r="E717">
        <f>Superstore_Sales[[#This Row],[Ship Date]]-Superstore_Sales[[#This Row],[Order Date]]</f>
        <v>2</v>
      </c>
      <c r="F717" t="s">
        <v>40</v>
      </c>
      <c r="G717" t="s">
        <v>3474</v>
      </c>
      <c r="H717" t="s">
        <v>3475</v>
      </c>
      <c r="I717" t="s">
        <v>65</v>
      </c>
      <c r="K717" t="s">
        <v>801</v>
      </c>
      <c r="L717" t="s">
        <v>801</v>
      </c>
      <c r="M717" t="s">
        <v>802</v>
      </c>
      <c r="N717" t="s">
        <v>322</v>
      </c>
      <c r="O717" t="s">
        <v>48</v>
      </c>
      <c r="P717" t="s">
        <v>3476</v>
      </c>
      <c r="Q717" t="s">
        <v>50</v>
      </c>
      <c r="R717" t="s">
        <v>104</v>
      </c>
      <c r="S717" t="s">
        <v>3477</v>
      </c>
      <c r="T717">
        <v>1854.93</v>
      </c>
      <c r="U717">
        <v>9</v>
      </c>
      <c r="V717">
        <v>0.56999999999999995</v>
      </c>
      <c r="W717">
        <v>-1294.3499999999999</v>
      </c>
      <c r="X717">
        <v>225.02</v>
      </c>
      <c r="Y717" t="s">
        <v>38</v>
      </c>
      <c r="Z717">
        <f>Superstore_Sales[[#This Row],[Sales]]*Superstore_Sales[[#This Row],[Quantity]]</f>
        <v>16694.37</v>
      </c>
      <c r="AA717" s="3">
        <f>Superstore_Sales[[#This Row],[TotalSales]]*Superstore_Sales[[#This Row],[Discount]]/100</f>
        <v>95.157908999999975</v>
      </c>
      <c r="AB717" s="2">
        <f>Superstore_Sales[[#This Row],[TotalSales]]-Superstore_Sales[[#This Row],[Dis_amt]]-Superstore_Sales[[#This Row],[Shipping Cost]]</f>
        <v>16374.192090999997</v>
      </c>
    </row>
    <row r="718" spans="1:28" x14ac:dyDescent="0.35">
      <c r="A718">
        <v>28259</v>
      </c>
      <c r="B718" t="s">
        <v>3478</v>
      </c>
      <c r="C718" s="1">
        <v>41923</v>
      </c>
      <c r="D718" s="1">
        <v>41926</v>
      </c>
      <c r="E718">
        <f>Superstore_Sales[[#This Row],[Ship Date]]-Superstore_Sales[[#This Row],[Order Date]]</f>
        <v>3</v>
      </c>
      <c r="F718" t="s">
        <v>25</v>
      </c>
      <c r="G718" t="s">
        <v>3479</v>
      </c>
      <c r="H718" t="s">
        <v>3170</v>
      </c>
      <c r="I718" t="s">
        <v>65</v>
      </c>
      <c r="K718" t="s">
        <v>1539</v>
      </c>
      <c r="L718" t="s">
        <v>1539</v>
      </c>
      <c r="M718" t="s">
        <v>144</v>
      </c>
      <c r="N718" t="s">
        <v>145</v>
      </c>
      <c r="O718" t="s">
        <v>48</v>
      </c>
      <c r="P718" t="s">
        <v>3480</v>
      </c>
      <c r="Q718" t="s">
        <v>35</v>
      </c>
      <c r="R718" t="s">
        <v>275</v>
      </c>
      <c r="S718" t="s">
        <v>3481</v>
      </c>
      <c r="T718">
        <v>924.66</v>
      </c>
      <c r="U718">
        <v>3</v>
      </c>
      <c r="V718">
        <v>0</v>
      </c>
      <c r="W718">
        <v>397.53</v>
      </c>
      <c r="X718">
        <v>225</v>
      </c>
      <c r="Y718" t="s">
        <v>53</v>
      </c>
      <c r="Z718">
        <f>Superstore_Sales[[#This Row],[Sales]]*Superstore_Sales[[#This Row],[Quantity]]</f>
        <v>2773.98</v>
      </c>
      <c r="AA718" s="3">
        <f>Superstore_Sales[[#This Row],[TotalSales]]*Superstore_Sales[[#This Row],[Discount]]/100</f>
        <v>0</v>
      </c>
      <c r="AB718" s="2">
        <f>Superstore_Sales[[#This Row],[TotalSales]]-Superstore_Sales[[#This Row],[Dis_amt]]-Superstore_Sales[[#This Row],[Shipping Cost]]</f>
        <v>2548.98</v>
      </c>
    </row>
    <row r="719" spans="1:28" x14ac:dyDescent="0.35">
      <c r="A719">
        <v>27525</v>
      </c>
      <c r="B719" t="s">
        <v>3482</v>
      </c>
      <c r="C719" s="1">
        <v>41389</v>
      </c>
      <c r="D719" s="1">
        <v>41391</v>
      </c>
      <c r="E719">
        <f>Superstore_Sales[[#This Row],[Ship Date]]-Superstore_Sales[[#This Row],[Order Date]]</f>
        <v>2</v>
      </c>
      <c r="F719" t="s">
        <v>40</v>
      </c>
      <c r="G719" t="s">
        <v>3483</v>
      </c>
      <c r="H719" t="s">
        <v>3484</v>
      </c>
      <c r="I719" t="s">
        <v>28</v>
      </c>
      <c r="K719" t="s">
        <v>1903</v>
      </c>
      <c r="L719" t="s">
        <v>534</v>
      </c>
      <c r="M719" t="s">
        <v>144</v>
      </c>
      <c r="N719" t="s">
        <v>145</v>
      </c>
      <c r="O719" t="s">
        <v>48</v>
      </c>
      <c r="P719" t="s">
        <v>3485</v>
      </c>
      <c r="Q719" t="s">
        <v>50</v>
      </c>
      <c r="R719" t="s">
        <v>104</v>
      </c>
      <c r="S719" t="s">
        <v>3486</v>
      </c>
      <c r="T719">
        <v>1760.43</v>
      </c>
      <c r="U719">
        <v>5</v>
      </c>
      <c r="V719">
        <v>0.3</v>
      </c>
      <c r="W719">
        <v>-326.97000000000003</v>
      </c>
      <c r="X719">
        <v>224.8</v>
      </c>
      <c r="Y719" t="s">
        <v>38</v>
      </c>
      <c r="Z719">
        <f>Superstore_Sales[[#This Row],[Sales]]*Superstore_Sales[[#This Row],[Quantity]]</f>
        <v>8802.15</v>
      </c>
      <c r="AA719" s="3">
        <f>Superstore_Sales[[#This Row],[TotalSales]]*Superstore_Sales[[#This Row],[Discount]]/100</f>
        <v>26.40645</v>
      </c>
      <c r="AB719" s="2">
        <f>Superstore_Sales[[#This Row],[TotalSales]]-Superstore_Sales[[#This Row],[Dis_amt]]-Superstore_Sales[[#This Row],[Shipping Cost]]</f>
        <v>8550.94355</v>
      </c>
    </row>
    <row r="720" spans="1:28" x14ac:dyDescent="0.35">
      <c r="A720">
        <v>50963</v>
      </c>
      <c r="B720" t="s">
        <v>3487</v>
      </c>
      <c r="C720" s="1">
        <v>42178</v>
      </c>
      <c r="D720" s="1">
        <v>42178</v>
      </c>
      <c r="E720">
        <f>Superstore_Sales[[#This Row],[Ship Date]]-Superstore_Sales[[#This Row],[Order Date]]</f>
        <v>0</v>
      </c>
      <c r="F720" t="s">
        <v>73</v>
      </c>
      <c r="G720" t="s">
        <v>3488</v>
      </c>
      <c r="H720" t="s">
        <v>2683</v>
      </c>
      <c r="I720" t="s">
        <v>43</v>
      </c>
      <c r="K720" t="s">
        <v>3489</v>
      </c>
      <c r="L720" t="s">
        <v>3490</v>
      </c>
      <c r="M720" t="s">
        <v>1180</v>
      </c>
      <c r="N720" t="s">
        <v>195</v>
      </c>
      <c r="O720" t="s">
        <v>69</v>
      </c>
      <c r="P720" t="s">
        <v>3491</v>
      </c>
      <c r="Q720" t="s">
        <v>35</v>
      </c>
      <c r="R720" t="s">
        <v>36</v>
      </c>
      <c r="S720" t="s">
        <v>3492</v>
      </c>
      <c r="T720">
        <v>827.28</v>
      </c>
      <c r="U720">
        <v>6</v>
      </c>
      <c r="V720">
        <v>0</v>
      </c>
      <c r="W720">
        <v>397.08</v>
      </c>
      <c r="X720">
        <v>224.64</v>
      </c>
      <c r="Y720" t="s">
        <v>38</v>
      </c>
      <c r="Z720">
        <f>Superstore_Sales[[#This Row],[Sales]]*Superstore_Sales[[#This Row],[Quantity]]</f>
        <v>4963.68</v>
      </c>
      <c r="AA720" s="3">
        <f>Superstore_Sales[[#This Row],[TotalSales]]*Superstore_Sales[[#This Row],[Discount]]/100</f>
        <v>0</v>
      </c>
      <c r="AB720" s="2">
        <f>Superstore_Sales[[#This Row],[TotalSales]]-Superstore_Sales[[#This Row],[Dis_amt]]-Superstore_Sales[[#This Row],[Shipping Cost]]</f>
        <v>4739.04</v>
      </c>
    </row>
    <row r="721" spans="1:28" x14ac:dyDescent="0.35">
      <c r="A721">
        <v>3748</v>
      </c>
      <c r="B721" t="s">
        <v>3493</v>
      </c>
      <c r="C721" s="1">
        <v>41606</v>
      </c>
      <c r="D721" s="1">
        <v>41611</v>
      </c>
      <c r="E721">
        <f>Superstore_Sales[[#This Row],[Ship Date]]-Superstore_Sales[[#This Row],[Order Date]]</f>
        <v>5</v>
      </c>
      <c r="F721" t="s">
        <v>98</v>
      </c>
      <c r="G721" t="s">
        <v>3494</v>
      </c>
      <c r="H721" t="s">
        <v>3495</v>
      </c>
      <c r="I721" t="s">
        <v>28</v>
      </c>
      <c r="K721" t="s">
        <v>264</v>
      </c>
      <c r="L721" t="s">
        <v>264</v>
      </c>
      <c r="M721" t="s">
        <v>265</v>
      </c>
      <c r="N721" t="s">
        <v>266</v>
      </c>
      <c r="O721" t="s">
        <v>136</v>
      </c>
      <c r="P721" t="s">
        <v>581</v>
      </c>
      <c r="Q721" t="s">
        <v>147</v>
      </c>
      <c r="R721" t="s">
        <v>148</v>
      </c>
      <c r="S721" t="s">
        <v>582</v>
      </c>
      <c r="T721">
        <v>1510.96</v>
      </c>
      <c r="U721">
        <v>5</v>
      </c>
      <c r="V721">
        <v>0.2</v>
      </c>
      <c r="W721">
        <v>509.86</v>
      </c>
      <c r="X721">
        <v>224.28100000000001</v>
      </c>
      <c r="Y721" t="s">
        <v>38</v>
      </c>
      <c r="Z721">
        <f>Superstore_Sales[[#This Row],[Sales]]*Superstore_Sales[[#This Row],[Quantity]]</f>
        <v>7554.8</v>
      </c>
      <c r="AA721" s="3">
        <f>Superstore_Sales[[#This Row],[TotalSales]]*Superstore_Sales[[#This Row],[Discount]]/100</f>
        <v>15.1096</v>
      </c>
      <c r="AB721" s="2">
        <f>Superstore_Sales[[#This Row],[TotalSales]]-Superstore_Sales[[#This Row],[Dis_amt]]-Superstore_Sales[[#This Row],[Shipping Cost]]</f>
        <v>7315.4094000000005</v>
      </c>
    </row>
    <row r="722" spans="1:28" x14ac:dyDescent="0.35">
      <c r="A722">
        <v>23518</v>
      </c>
      <c r="B722" t="s">
        <v>3496</v>
      </c>
      <c r="C722" s="1">
        <v>42182</v>
      </c>
      <c r="D722" s="1">
        <v>42187</v>
      </c>
      <c r="E722">
        <f>Superstore_Sales[[#This Row],[Ship Date]]-Superstore_Sales[[#This Row],[Order Date]]</f>
        <v>5</v>
      </c>
      <c r="F722" t="s">
        <v>40</v>
      </c>
      <c r="G722" t="s">
        <v>1145</v>
      </c>
      <c r="H722" t="s">
        <v>1146</v>
      </c>
      <c r="I722" t="s">
        <v>43</v>
      </c>
      <c r="K722" t="s">
        <v>3497</v>
      </c>
      <c r="L722" t="s">
        <v>1418</v>
      </c>
      <c r="M722" t="s">
        <v>258</v>
      </c>
      <c r="N722" t="s">
        <v>118</v>
      </c>
      <c r="O722" t="s">
        <v>48</v>
      </c>
      <c r="P722" t="s">
        <v>3498</v>
      </c>
      <c r="Q722" t="s">
        <v>35</v>
      </c>
      <c r="R722" t="s">
        <v>81</v>
      </c>
      <c r="S722" t="s">
        <v>3499</v>
      </c>
      <c r="T722">
        <v>2098.3200000000002</v>
      </c>
      <c r="U722">
        <v>8</v>
      </c>
      <c r="V722">
        <v>0</v>
      </c>
      <c r="W722">
        <v>860.16</v>
      </c>
      <c r="X722">
        <v>224.28</v>
      </c>
      <c r="Y722" t="s">
        <v>61</v>
      </c>
      <c r="Z722">
        <f>Superstore_Sales[[#This Row],[Sales]]*Superstore_Sales[[#This Row],[Quantity]]</f>
        <v>16786.560000000001</v>
      </c>
      <c r="AA722" s="3">
        <f>Superstore_Sales[[#This Row],[TotalSales]]*Superstore_Sales[[#This Row],[Discount]]/100</f>
        <v>0</v>
      </c>
      <c r="AB722" s="2">
        <f>Superstore_Sales[[#This Row],[TotalSales]]-Superstore_Sales[[#This Row],[Dis_amt]]-Superstore_Sales[[#This Row],[Shipping Cost]]</f>
        <v>16562.280000000002</v>
      </c>
    </row>
    <row r="723" spans="1:28" x14ac:dyDescent="0.35">
      <c r="A723">
        <v>9121</v>
      </c>
      <c r="B723" t="s">
        <v>3500</v>
      </c>
      <c r="C723" s="1">
        <v>42181</v>
      </c>
      <c r="D723" s="1">
        <v>42183</v>
      </c>
      <c r="E723">
        <f>Superstore_Sales[[#This Row],[Ship Date]]-Superstore_Sales[[#This Row],[Order Date]]</f>
        <v>2</v>
      </c>
      <c r="F723" t="s">
        <v>25</v>
      </c>
      <c r="G723" t="s">
        <v>3501</v>
      </c>
      <c r="H723" t="s">
        <v>3502</v>
      </c>
      <c r="I723" t="s">
        <v>28</v>
      </c>
      <c r="K723" t="s">
        <v>3503</v>
      </c>
      <c r="L723" t="s">
        <v>3504</v>
      </c>
      <c r="M723" t="s">
        <v>134</v>
      </c>
      <c r="N723" t="s">
        <v>135</v>
      </c>
      <c r="O723" t="s">
        <v>136</v>
      </c>
      <c r="P723" t="s">
        <v>1042</v>
      </c>
      <c r="Q723" t="s">
        <v>50</v>
      </c>
      <c r="R723" t="s">
        <v>104</v>
      </c>
      <c r="S723" t="s">
        <v>1043</v>
      </c>
      <c r="T723">
        <v>1938.24</v>
      </c>
      <c r="U723">
        <v>4</v>
      </c>
      <c r="V723">
        <v>0.2</v>
      </c>
      <c r="W723">
        <v>-96.96</v>
      </c>
      <c r="X723">
        <v>223.80500000000001</v>
      </c>
      <c r="Y723" t="s">
        <v>61</v>
      </c>
      <c r="Z723">
        <f>Superstore_Sales[[#This Row],[Sales]]*Superstore_Sales[[#This Row],[Quantity]]</f>
        <v>7752.96</v>
      </c>
      <c r="AA723" s="3">
        <f>Superstore_Sales[[#This Row],[TotalSales]]*Superstore_Sales[[#This Row],[Discount]]/100</f>
        <v>15.505920000000001</v>
      </c>
      <c r="AB723" s="2">
        <f>Superstore_Sales[[#This Row],[TotalSales]]-Superstore_Sales[[#This Row],[Dis_amt]]-Superstore_Sales[[#This Row],[Shipping Cost]]</f>
        <v>7513.6490800000001</v>
      </c>
    </row>
    <row r="724" spans="1:28" x14ac:dyDescent="0.35">
      <c r="A724">
        <v>13967</v>
      </c>
      <c r="B724" t="s">
        <v>3505</v>
      </c>
      <c r="C724" s="1">
        <v>41534</v>
      </c>
      <c r="D724" s="1">
        <v>41536</v>
      </c>
      <c r="E724">
        <f>Superstore_Sales[[#This Row],[Ship Date]]-Superstore_Sales[[#This Row],[Order Date]]</f>
        <v>2</v>
      </c>
      <c r="F724" t="s">
        <v>25</v>
      </c>
      <c r="G724" t="s">
        <v>3506</v>
      </c>
      <c r="H724" t="s">
        <v>3507</v>
      </c>
      <c r="I724" t="s">
        <v>28</v>
      </c>
      <c r="K724" t="s">
        <v>3508</v>
      </c>
      <c r="L724" t="s">
        <v>169</v>
      </c>
      <c r="M724" t="s">
        <v>170</v>
      </c>
      <c r="N724" t="s">
        <v>171</v>
      </c>
      <c r="O724" t="s">
        <v>69</v>
      </c>
      <c r="P724" t="s">
        <v>1354</v>
      </c>
      <c r="Q724" t="s">
        <v>35</v>
      </c>
      <c r="R724" t="s">
        <v>275</v>
      </c>
      <c r="S724" t="s">
        <v>1355</v>
      </c>
      <c r="T724">
        <v>803.52</v>
      </c>
      <c r="U724">
        <v>5</v>
      </c>
      <c r="V724">
        <v>0.4</v>
      </c>
      <c r="W724">
        <v>-495.63</v>
      </c>
      <c r="X724">
        <v>223.78</v>
      </c>
      <c r="Y724" t="s">
        <v>38</v>
      </c>
      <c r="Z724">
        <f>Superstore_Sales[[#This Row],[Sales]]*Superstore_Sales[[#This Row],[Quantity]]</f>
        <v>4017.6</v>
      </c>
      <c r="AA724" s="3">
        <f>Superstore_Sales[[#This Row],[TotalSales]]*Superstore_Sales[[#This Row],[Discount]]/100</f>
        <v>16.070399999999999</v>
      </c>
      <c r="AB724" s="2">
        <f>Superstore_Sales[[#This Row],[TotalSales]]-Superstore_Sales[[#This Row],[Dis_amt]]-Superstore_Sales[[#This Row],[Shipping Cost]]</f>
        <v>3777.7495999999996</v>
      </c>
    </row>
    <row r="725" spans="1:28" x14ac:dyDescent="0.35">
      <c r="A725">
        <v>30001</v>
      </c>
      <c r="B725" t="s">
        <v>3509</v>
      </c>
      <c r="C725" s="1">
        <v>41971</v>
      </c>
      <c r="D725" s="1">
        <v>41975</v>
      </c>
      <c r="E725">
        <f>Superstore_Sales[[#This Row],[Ship Date]]-Superstore_Sales[[#This Row],[Order Date]]</f>
        <v>4</v>
      </c>
      <c r="F725" t="s">
        <v>98</v>
      </c>
      <c r="G725" t="s">
        <v>3510</v>
      </c>
      <c r="H725" t="s">
        <v>3314</v>
      </c>
      <c r="I725" t="s">
        <v>43</v>
      </c>
      <c r="K725" t="s">
        <v>1868</v>
      </c>
      <c r="L725" t="s">
        <v>1852</v>
      </c>
      <c r="M725" t="s">
        <v>258</v>
      </c>
      <c r="N725" t="s">
        <v>118</v>
      </c>
      <c r="O725" t="s">
        <v>48</v>
      </c>
      <c r="P725" t="s">
        <v>2075</v>
      </c>
      <c r="Q725" t="s">
        <v>50</v>
      </c>
      <c r="R725" t="s">
        <v>51</v>
      </c>
      <c r="S725" t="s">
        <v>2076</v>
      </c>
      <c r="T725">
        <v>1391.76</v>
      </c>
      <c r="U725">
        <v>3</v>
      </c>
      <c r="V725">
        <v>0</v>
      </c>
      <c r="W725">
        <v>97.38</v>
      </c>
      <c r="X725">
        <v>223.52</v>
      </c>
      <c r="Y725" t="s">
        <v>38</v>
      </c>
      <c r="Z725">
        <f>Superstore_Sales[[#This Row],[Sales]]*Superstore_Sales[[#This Row],[Quantity]]</f>
        <v>4175.28</v>
      </c>
      <c r="AA725" s="3">
        <f>Superstore_Sales[[#This Row],[TotalSales]]*Superstore_Sales[[#This Row],[Discount]]/100</f>
        <v>0</v>
      </c>
      <c r="AB725" s="2">
        <f>Superstore_Sales[[#This Row],[TotalSales]]-Superstore_Sales[[#This Row],[Dis_amt]]-Superstore_Sales[[#This Row],[Shipping Cost]]</f>
        <v>3951.7599999999998</v>
      </c>
    </row>
    <row r="726" spans="1:28" x14ac:dyDescent="0.35">
      <c r="A726">
        <v>34996</v>
      </c>
      <c r="B726" t="s">
        <v>3511</v>
      </c>
      <c r="C726" s="1">
        <v>42322</v>
      </c>
      <c r="D726" s="1">
        <v>42327</v>
      </c>
      <c r="E726">
        <f>Superstore_Sales[[#This Row],[Ship Date]]-Superstore_Sales[[#This Row],[Order Date]]</f>
        <v>5</v>
      </c>
      <c r="F726" t="s">
        <v>40</v>
      </c>
      <c r="G726" t="s">
        <v>3465</v>
      </c>
      <c r="H726" t="s">
        <v>942</v>
      </c>
      <c r="I726" t="s">
        <v>65</v>
      </c>
      <c r="J726">
        <v>10701</v>
      </c>
      <c r="K726" t="s">
        <v>2909</v>
      </c>
      <c r="L726" t="s">
        <v>248</v>
      </c>
      <c r="M726" t="s">
        <v>31</v>
      </c>
      <c r="N726" t="s">
        <v>249</v>
      </c>
      <c r="O726" t="s">
        <v>33</v>
      </c>
      <c r="P726" t="s">
        <v>3512</v>
      </c>
      <c r="Q726" t="s">
        <v>35</v>
      </c>
      <c r="R726" t="s">
        <v>304</v>
      </c>
      <c r="S726" t="s">
        <v>3513</v>
      </c>
      <c r="T726">
        <v>163.96</v>
      </c>
      <c r="U726">
        <v>4</v>
      </c>
      <c r="V726">
        <v>0</v>
      </c>
      <c r="W726">
        <v>70.5</v>
      </c>
      <c r="X726">
        <v>4.96</v>
      </c>
      <c r="Y726" t="s">
        <v>61</v>
      </c>
      <c r="Z726">
        <f>Superstore_Sales[[#This Row],[Sales]]*Superstore_Sales[[#This Row],[Quantity]]</f>
        <v>655.84</v>
      </c>
      <c r="AA726" s="3">
        <f>Superstore_Sales[[#This Row],[TotalSales]]*Superstore_Sales[[#This Row],[Discount]]/100</f>
        <v>0</v>
      </c>
      <c r="AB726" s="2">
        <f>Superstore_Sales[[#This Row],[TotalSales]]-Superstore_Sales[[#This Row],[Dis_amt]]-Superstore_Sales[[#This Row],[Shipping Cost]]</f>
        <v>650.88</v>
      </c>
    </row>
    <row r="727" spans="1:28" x14ac:dyDescent="0.35">
      <c r="A727">
        <v>25943</v>
      </c>
      <c r="B727" t="s">
        <v>3514</v>
      </c>
      <c r="C727" s="1">
        <v>42208</v>
      </c>
      <c r="D727" s="1">
        <v>42210</v>
      </c>
      <c r="E727">
        <f>Superstore_Sales[[#This Row],[Ship Date]]-Superstore_Sales[[#This Row],[Order Date]]</f>
        <v>2</v>
      </c>
      <c r="F727" t="s">
        <v>40</v>
      </c>
      <c r="G727" t="s">
        <v>3515</v>
      </c>
      <c r="H727" t="s">
        <v>3516</v>
      </c>
      <c r="I727" t="s">
        <v>28</v>
      </c>
      <c r="K727" t="s">
        <v>741</v>
      </c>
      <c r="L727" t="s">
        <v>742</v>
      </c>
      <c r="M727" t="s">
        <v>46</v>
      </c>
      <c r="N727" t="s">
        <v>47</v>
      </c>
      <c r="O727" t="s">
        <v>48</v>
      </c>
      <c r="P727" t="s">
        <v>1673</v>
      </c>
      <c r="Q727" t="s">
        <v>147</v>
      </c>
      <c r="R727" t="s">
        <v>162</v>
      </c>
      <c r="S727" t="s">
        <v>1674</v>
      </c>
      <c r="T727">
        <v>952.29</v>
      </c>
      <c r="U727">
        <v>5</v>
      </c>
      <c r="V727">
        <v>0.1</v>
      </c>
      <c r="W727">
        <v>-53.01</v>
      </c>
      <c r="X727">
        <v>223.43</v>
      </c>
      <c r="Y727" t="s">
        <v>38</v>
      </c>
      <c r="Z727">
        <f>Superstore_Sales[[#This Row],[Sales]]*Superstore_Sales[[#This Row],[Quantity]]</f>
        <v>4761.45</v>
      </c>
      <c r="AA727" s="3">
        <f>Superstore_Sales[[#This Row],[TotalSales]]*Superstore_Sales[[#This Row],[Discount]]/100</f>
        <v>4.76145</v>
      </c>
      <c r="AB727" s="2">
        <f>Superstore_Sales[[#This Row],[TotalSales]]-Superstore_Sales[[#This Row],[Dis_amt]]-Superstore_Sales[[#This Row],[Shipping Cost]]</f>
        <v>4533.2585499999996</v>
      </c>
    </row>
    <row r="728" spans="1:28" x14ac:dyDescent="0.35">
      <c r="A728">
        <v>13228</v>
      </c>
      <c r="B728" t="s">
        <v>3517</v>
      </c>
      <c r="C728" s="1">
        <v>42251</v>
      </c>
      <c r="D728" s="1">
        <v>42255</v>
      </c>
      <c r="E728">
        <f>Superstore_Sales[[#This Row],[Ship Date]]-Superstore_Sales[[#This Row],[Order Date]]</f>
        <v>4</v>
      </c>
      <c r="F728" t="s">
        <v>98</v>
      </c>
      <c r="G728" t="s">
        <v>3518</v>
      </c>
      <c r="H728" t="s">
        <v>1777</v>
      </c>
      <c r="I728" t="s">
        <v>28</v>
      </c>
      <c r="K728" t="s">
        <v>3519</v>
      </c>
      <c r="L728" t="s">
        <v>3520</v>
      </c>
      <c r="M728" t="s">
        <v>170</v>
      </c>
      <c r="N728" t="s">
        <v>171</v>
      </c>
      <c r="O728" t="s">
        <v>69</v>
      </c>
      <c r="P728" t="s">
        <v>2138</v>
      </c>
      <c r="Q728" t="s">
        <v>50</v>
      </c>
      <c r="R728" t="s">
        <v>336</v>
      </c>
      <c r="S728" t="s">
        <v>2139</v>
      </c>
      <c r="T728">
        <v>2927.28</v>
      </c>
      <c r="U728">
        <v>8</v>
      </c>
      <c r="V728">
        <v>0</v>
      </c>
      <c r="W728">
        <v>146.16</v>
      </c>
      <c r="X728">
        <v>223.41</v>
      </c>
      <c r="Y728" t="s">
        <v>61</v>
      </c>
      <c r="Z728">
        <f>Superstore_Sales[[#This Row],[Sales]]*Superstore_Sales[[#This Row],[Quantity]]</f>
        <v>23418.240000000002</v>
      </c>
      <c r="AA728" s="3">
        <f>Superstore_Sales[[#This Row],[TotalSales]]*Superstore_Sales[[#This Row],[Discount]]/100</f>
        <v>0</v>
      </c>
      <c r="AB728" s="2">
        <f>Superstore_Sales[[#This Row],[TotalSales]]-Superstore_Sales[[#This Row],[Dis_amt]]-Superstore_Sales[[#This Row],[Shipping Cost]]</f>
        <v>23194.83</v>
      </c>
    </row>
    <row r="729" spans="1:28" x14ac:dyDescent="0.35">
      <c r="A729">
        <v>32623</v>
      </c>
      <c r="B729" t="s">
        <v>3521</v>
      </c>
      <c r="C729" s="1">
        <v>41439</v>
      </c>
      <c r="D729" s="1">
        <v>41443</v>
      </c>
      <c r="E729">
        <f>Superstore_Sales[[#This Row],[Ship Date]]-Superstore_Sales[[#This Row],[Order Date]]</f>
        <v>4</v>
      </c>
      <c r="F729" t="s">
        <v>98</v>
      </c>
      <c r="G729" t="s">
        <v>3465</v>
      </c>
      <c r="H729" t="s">
        <v>942</v>
      </c>
      <c r="I729" t="s">
        <v>65</v>
      </c>
      <c r="J729">
        <v>19120</v>
      </c>
      <c r="K729" t="s">
        <v>428</v>
      </c>
      <c r="L729" t="s">
        <v>429</v>
      </c>
      <c r="M729" t="s">
        <v>31</v>
      </c>
      <c r="N729" t="s">
        <v>249</v>
      </c>
      <c r="O729" t="s">
        <v>33</v>
      </c>
      <c r="P729" t="s">
        <v>3522</v>
      </c>
      <c r="Q729" t="s">
        <v>50</v>
      </c>
      <c r="R729" t="s">
        <v>353</v>
      </c>
      <c r="S729" t="s">
        <v>3523</v>
      </c>
      <c r="T729">
        <v>51.07</v>
      </c>
      <c r="U729">
        <v>6</v>
      </c>
      <c r="V729">
        <v>0.2</v>
      </c>
      <c r="W729">
        <v>5.1100000000000003</v>
      </c>
      <c r="X729">
        <v>1.94</v>
      </c>
      <c r="Y729" t="s">
        <v>38</v>
      </c>
      <c r="Z729">
        <f>Superstore_Sales[[#This Row],[Sales]]*Superstore_Sales[[#This Row],[Quantity]]</f>
        <v>306.42</v>
      </c>
      <c r="AA729" s="3">
        <f>Superstore_Sales[[#This Row],[TotalSales]]*Superstore_Sales[[#This Row],[Discount]]/100</f>
        <v>0.61284000000000005</v>
      </c>
      <c r="AB729" s="2">
        <f>Superstore_Sales[[#This Row],[TotalSales]]-Superstore_Sales[[#This Row],[Dis_amt]]-Superstore_Sales[[#This Row],[Shipping Cost]]</f>
        <v>303.86716000000001</v>
      </c>
    </row>
    <row r="730" spans="1:28" x14ac:dyDescent="0.35">
      <c r="A730">
        <v>25705</v>
      </c>
      <c r="B730" t="s">
        <v>3524</v>
      </c>
      <c r="C730" s="1">
        <v>42022</v>
      </c>
      <c r="D730" s="1">
        <v>42026</v>
      </c>
      <c r="E730">
        <f>Superstore_Sales[[#This Row],[Ship Date]]-Superstore_Sales[[#This Row],[Order Date]]</f>
        <v>4</v>
      </c>
      <c r="F730" t="s">
        <v>98</v>
      </c>
      <c r="G730" t="s">
        <v>3525</v>
      </c>
      <c r="H730" t="s">
        <v>3526</v>
      </c>
      <c r="I730" t="s">
        <v>65</v>
      </c>
      <c r="K730" t="s">
        <v>1761</v>
      </c>
      <c r="L730" t="s">
        <v>1762</v>
      </c>
      <c r="M730" t="s">
        <v>1763</v>
      </c>
      <c r="N730" t="s">
        <v>118</v>
      </c>
      <c r="O730" t="s">
        <v>48</v>
      </c>
      <c r="P730" t="s">
        <v>3527</v>
      </c>
      <c r="Q730" t="s">
        <v>147</v>
      </c>
      <c r="R730" t="s">
        <v>148</v>
      </c>
      <c r="S730" t="s">
        <v>3528</v>
      </c>
      <c r="T730">
        <v>2117.2199999999998</v>
      </c>
      <c r="U730">
        <v>14</v>
      </c>
      <c r="V730">
        <v>0.5</v>
      </c>
      <c r="W730">
        <v>-1736.28</v>
      </c>
      <c r="X730">
        <v>223.13</v>
      </c>
      <c r="Y730" t="s">
        <v>38</v>
      </c>
      <c r="Z730">
        <f>Superstore_Sales[[#This Row],[Sales]]*Superstore_Sales[[#This Row],[Quantity]]</f>
        <v>29641.079999999998</v>
      </c>
      <c r="AA730" s="3">
        <f>Superstore_Sales[[#This Row],[TotalSales]]*Superstore_Sales[[#This Row],[Discount]]/100</f>
        <v>148.2054</v>
      </c>
      <c r="AB730" s="2">
        <f>Superstore_Sales[[#This Row],[TotalSales]]-Superstore_Sales[[#This Row],[Dis_amt]]-Superstore_Sales[[#This Row],[Shipping Cost]]</f>
        <v>29269.744599999998</v>
      </c>
    </row>
    <row r="731" spans="1:28" x14ac:dyDescent="0.35">
      <c r="A731">
        <v>30218</v>
      </c>
      <c r="B731" t="s">
        <v>3529</v>
      </c>
      <c r="C731" s="1">
        <v>42181</v>
      </c>
      <c r="D731" s="1">
        <v>42186</v>
      </c>
      <c r="E731">
        <f>Superstore_Sales[[#This Row],[Ship Date]]-Superstore_Sales[[#This Row],[Order Date]]</f>
        <v>5</v>
      </c>
      <c r="F731" t="s">
        <v>98</v>
      </c>
      <c r="G731" t="s">
        <v>3530</v>
      </c>
      <c r="H731" t="s">
        <v>123</v>
      </c>
      <c r="I731" t="s">
        <v>28</v>
      </c>
      <c r="K731" t="s">
        <v>1176</v>
      </c>
      <c r="L731" t="s">
        <v>1176</v>
      </c>
      <c r="M731" t="s">
        <v>767</v>
      </c>
      <c r="N731" t="s">
        <v>322</v>
      </c>
      <c r="O731" t="s">
        <v>48</v>
      </c>
      <c r="P731" t="s">
        <v>49</v>
      </c>
      <c r="Q731" t="s">
        <v>50</v>
      </c>
      <c r="R731" t="s">
        <v>51</v>
      </c>
      <c r="S731" t="s">
        <v>52</v>
      </c>
      <c r="T731">
        <v>2747.7</v>
      </c>
      <c r="U731">
        <v>6</v>
      </c>
      <c r="V731">
        <v>0</v>
      </c>
      <c r="W731">
        <v>82.26</v>
      </c>
      <c r="X731">
        <v>222.78</v>
      </c>
      <c r="Y731" t="s">
        <v>61</v>
      </c>
      <c r="Z731">
        <f>Superstore_Sales[[#This Row],[Sales]]*Superstore_Sales[[#This Row],[Quantity]]</f>
        <v>16486.199999999997</v>
      </c>
      <c r="AA731" s="3">
        <f>Superstore_Sales[[#This Row],[TotalSales]]*Superstore_Sales[[#This Row],[Discount]]/100</f>
        <v>0</v>
      </c>
      <c r="AB731" s="2">
        <f>Superstore_Sales[[#This Row],[TotalSales]]-Superstore_Sales[[#This Row],[Dis_amt]]-Superstore_Sales[[#This Row],[Shipping Cost]]</f>
        <v>16263.419999999996</v>
      </c>
    </row>
    <row r="732" spans="1:28" x14ac:dyDescent="0.35">
      <c r="A732">
        <v>21435</v>
      </c>
      <c r="B732" t="s">
        <v>3531</v>
      </c>
      <c r="C732" s="1">
        <v>41299</v>
      </c>
      <c r="D732" s="1">
        <v>41299</v>
      </c>
      <c r="E732">
        <f>Superstore_Sales[[#This Row],[Ship Date]]-Superstore_Sales[[#This Row],[Order Date]]</f>
        <v>0</v>
      </c>
      <c r="F732" t="s">
        <v>73</v>
      </c>
      <c r="G732" t="s">
        <v>3532</v>
      </c>
      <c r="H732" t="s">
        <v>388</v>
      </c>
      <c r="I732" t="s">
        <v>28</v>
      </c>
      <c r="K732" t="s">
        <v>765</v>
      </c>
      <c r="L732" t="s">
        <v>766</v>
      </c>
      <c r="M732" t="s">
        <v>767</v>
      </c>
      <c r="N732" t="s">
        <v>322</v>
      </c>
      <c r="O732" t="s">
        <v>48</v>
      </c>
      <c r="P732" t="s">
        <v>3533</v>
      </c>
      <c r="Q732" t="s">
        <v>50</v>
      </c>
      <c r="R732" t="s">
        <v>336</v>
      </c>
      <c r="S732" t="s">
        <v>3534</v>
      </c>
      <c r="T732">
        <v>1014.72</v>
      </c>
      <c r="U732">
        <v>7</v>
      </c>
      <c r="V732">
        <v>0</v>
      </c>
      <c r="W732">
        <v>141.96</v>
      </c>
      <c r="X732">
        <v>222.52</v>
      </c>
      <c r="Y732" t="s">
        <v>38</v>
      </c>
      <c r="Z732">
        <f>Superstore_Sales[[#This Row],[Sales]]*Superstore_Sales[[#This Row],[Quantity]]</f>
        <v>7103.04</v>
      </c>
      <c r="AA732" s="3">
        <f>Superstore_Sales[[#This Row],[TotalSales]]*Superstore_Sales[[#This Row],[Discount]]/100</f>
        <v>0</v>
      </c>
      <c r="AB732" s="2">
        <f>Superstore_Sales[[#This Row],[TotalSales]]-Superstore_Sales[[#This Row],[Dis_amt]]-Superstore_Sales[[#This Row],[Shipping Cost]]</f>
        <v>6880.5199999999995</v>
      </c>
    </row>
    <row r="733" spans="1:28" x14ac:dyDescent="0.35">
      <c r="A733">
        <v>28012</v>
      </c>
      <c r="B733" t="s">
        <v>3535</v>
      </c>
      <c r="C733" s="1">
        <v>41462</v>
      </c>
      <c r="D733" s="1">
        <v>41467</v>
      </c>
      <c r="E733">
        <f>Superstore_Sales[[#This Row],[Ship Date]]-Superstore_Sales[[#This Row],[Order Date]]</f>
        <v>5</v>
      </c>
      <c r="F733" t="s">
        <v>40</v>
      </c>
      <c r="G733" t="s">
        <v>3536</v>
      </c>
      <c r="H733" t="s">
        <v>1405</v>
      </c>
      <c r="I733" t="s">
        <v>28</v>
      </c>
      <c r="K733" t="s">
        <v>3537</v>
      </c>
      <c r="L733" t="s">
        <v>3537</v>
      </c>
      <c r="M733" t="s">
        <v>424</v>
      </c>
      <c r="N733" t="s">
        <v>118</v>
      </c>
      <c r="O733" t="s">
        <v>48</v>
      </c>
      <c r="P733" t="s">
        <v>3538</v>
      </c>
      <c r="Q733" t="s">
        <v>35</v>
      </c>
      <c r="R733" t="s">
        <v>36</v>
      </c>
      <c r="S733" t="s">
        <v>3539</v>
      </c>
      <c r="T733">
        <v>1591.56</v>
      </c>
      <c r="U733">
        <v>12</v>
      </c>
      <c r="V733">
        <v>0</v>
      </c>
      <c r="W733">
        <v>79.56</v>
      </c>
      <c r="X733">
        <v>222.4</v>
      </c>
      <c r="Y733" t="s">
        <v>61</v>
      </c>
      <c r="Z733">
        <f>Superstore_Sales[[#This Row],[Sales]]*Superstore_Sales[[#This Row],[Quantity]]</f>
        <v>19098.72</v>
      </c>
      <c r="AA733" s="3">
        <f>Superstore_Sales[[#This Row],[TotalSales]]*Superstore_Sales[[#This Row],[Discount]]/100</f>
        <v>0</v>
      </c>
      <c r="AB733" s="2">
        <f>Superstore_Sales[[#This Row],[TotalSales]]-Superstore_Sales[[#This Row],[Dis_amt]]-Superstore_Sales[[#This Row],[Shipping Cost]]</f>
        <v>18876.32</v>
      </c>
    </row>
    <row r="734" spans="1:28" x14ac:dyDescent="0.35">
      <c r="A734">
        <v>5917</v>
      </c>
      <c r="B734" t="s">
        <v>3540</v>
      </c>
      <c r="C734" s="1">
        <v>41240</v>
      </c>
      <c r="D734" s="1">
        <v>41242</v>
      </c>
      <c r="E734">
        <f>Superstore_Sales[[#This Row],[Ship Date]]-Superstore_Sales[[#This Row],[Order Date]]</f>
        <v>2</v>
      </c>
      <c r="F734" t="s">
        <v>25</v>
      </c>
      <c r="G734" t="s">
        <v>3541</v>
      </c>
      <c r="H734" t="s">
        <v>1381</v>
      </c>
      <c r="I734" t="s">
        <v>28</v>
      </c>
      <c r="K734" t="s">
        <v>3542</v>
      </c>
      <c r="L734" t="s">
        <v>3442</v>
      </c>
      <c r="M734" t="s">
        <v>219</v>
      </c>
      <c r="N734" t="s">
        <v>220</v>
      </c>
      <c r="O734" t="s">
        <v>136</v>
      </c>
      <c r="P734" t="s">
        <v>3543</v>
      </c>
      <c r="Q734" t="s">
        <v>35</v>
      </c>
      <c r="R734" t="s">
        <v>275</v>
      </c>
      <c r="S734" t="s">
        <v>3544</v>
      </c>
      <c r="T734">
        <v>533.22</v>
      </c>
      <c r="U734">
        <v>3</v>
      </c>
      <c r="V734">
        <v>0</v>
      </c>
      <c r="W734">
        <v>69.3</v>
      </c>
      <c r="X734">
        <v>222.04499999999999</v>
      </c>
      <c r="Y734" t="s">
        <v>53</v>
      </c>
      <c r="Z734">
        <f>Superstore_Sales[[#This Row],[Sales]]*Superstore_Sales[[#This Row],[Quantity]]</f>
        <v>1599.66</v>
      </c>
      <c r="AA734" s="3">
        <f>Superstore_Sales[[#This Row],[TotalSales]]*Superstore_Sales[[#This Row],[Discount]]/100</f>
        <v>0</v>
      </c>
      <c r="AB734" s="2">
        <f>Superstore_Sales[[#This Row],[TotalSales]]-Superstore_Sales[[#This Row],[Dis_amt]]-Superstore_Sales[[#This Row],[Shipping Cost]]</f>
        <v>1377.615</v>
      </c>
    </row>
    <row r="735" spans="1:28" x14ac:dyDescent="0.35">
      <c r="A735">
        <v>8480</v>
      </c>
      <c r="B735" t="s">
        <v>3545</v>
      </c>
      <c r="C735" s="1">
        <v>42335</v>
      </c>
      <c r="D735" s="1">
        <v>42339</v>
      </c>
      <c r="E735">
        <f>Superstore_Sales[[#This Row],[Ship Date]]-Superstore_Sales[[#This Row],[Order Date]]</f>
        <v>4</v>
      </c>
      <c r="F735" t="s">
        <v>40</v>
      </c>
      <c r="G735" t="s">
        <v>3546</v>
      </c>
      <c r="H735" t="s">
        <v>1986</v>
      </c>
      <c r="I735" t="s">
        <v>65</v>
      </c>
      <c r="K735" t="s">
        <v>831</v>
      </c>
      <c r="L735" t="s">
        <v>831</v>
      </c>
      <c r="M735" t="s">
        <v>134</v>
      </c>
      <c r="N735" t="s">
        <v>135</v>
      </c>
      <c r="O735" t="s">
        <v>136</v>
      </c>
      <c r="P735" t="s">
        <v>510</v>
      </c>
      <c r="Q735" t="s">
        <v>35</v>
      </c>
      <c r="R735" t="s">
        <v>36</v>
      </c>
      <c r="S735" t="s">
        <v>511</v>
      </c>
      <c r="T735">
        <v>2124.5</v>
      </c>
      <c r="U735">
        <v>5</v>
      </c>
      <c r="V735">
        <v>0</v>
      </c>
      <c r="W735">
        <v>488.6</v>
      </c>
      <c r="X735">
        <v>221.92</v>
      </c>
      <c r="Y735" t="s">
        <v>38</v>
      </c>
      <c r="Z735">
        <f>Superstore_Sales[[#This Row],[Sales]]*Superstore_Sales[[#This Row],[Quantity]]</f>
        <v>10622.5</v>
      </c>
      <c r="AA735" s="3">
        <f>Superstore_Sales[[#This Row],[TotalSales]]*Superstore_Sales[[#This Row],[Discount]]/100</f>
        <v>0</v>
      </c>
      <c r="AB735" s="2">
        <f>Superstore_Sales[[#This Row],[TotalSales]]-Superstore_Sales[[#This Row],[Dis_amt]]-Superstore_Sales[[#This Row],[Shipping Cost]]</f>
        <v>10400.58</v>
      </c>
    </row>
    <row r="736" spans="1:28" x14ac:dyDescent="0.35">
      <c r="A736">
        <v>26695</v>
      </c>
      <c r="B736" t="s">
        <v>3547</v>
      </c>
      <c r="C736" s="1">
        <v>41615</v>
      </c>
      <c r="D736" s="1">
        <v>41617</v>
      </c>
      <c r="E736">
        <f>Superstore_Sales[[#This Row],[Ship Date]]-Superstore_Sales[[#This Row],[Order Date]]</f>
        <v>2</v>
      </c>
      <c r="F736" t="s">
        <v>25</v>
      </c>
      <c r="G736" t="s">
        <v>3548</v>
      </c>
      <c r="H736" t="s">
        <v>2192</v>
      </c>
      <c r="I736" t="s">
        <v>28</v>
      </c>
      <c r="K736" t="s">
        <v>943</v>
      </c>
      <c r="L736" t="s">
        <v>943</v>
      </c>
      <c r="M736" t="s">
        <v>321</v>
      </c>
      <c r="N736" t="s">
        <v>322</v>
      </c>
      <c r="O736" t="s">
        <v>48</v>
      </c>
      <c r="P736" t="s">
        <v>1673</v>
      </c>
      <c r="Q736" t="s">
        <v>147</v>
      </c>
      <c r="R736" t="s">
        <v>162</v>
      </c>
      <c r="S736" t="s">
        <v>1674</v>
      </c>
      <c r="T736">
        <v>1053.8699999999999</v>
      </c>
      <c r="U736">
        <v>6</v>
      </c>
      <c r="V736">
        <v>0.17</v>
      </c>
      <c r="W736">
        <v>-152.49</v>
      </c>
      <c r="X736">
        <v>221.64</v>
      </c>
      <c r="Y736" t="s">
        <v>38</v>
      </c>
      <c r="Z736">
        <f>Superstore_Sales[[#This Row],[Sales]]*Superstore_Sales[[#This Row],[Quantity]]</f>
        <v>6323.2199999999993</v>
      </c>
      <c r="AA736" s="3">
        <f>Superstore_Sales[[#This Row],[TotalSales]]*Superstore_Sales[[#This Row],[Discount]]/100</f>
        <v>10.749473999999999</v>
      </c>
      <c r="AB736" s="2">
        <f>Superstore_Sales[[#This Row],[TotalSales]]-Superstore_Sales[[#This Row],[Dis_amt]]-Superstore_Sales[[#This Row],[Shipping Cost]]</f>
        <v>6090.8305259999988</v>
      </c>
    </row>
    <row r="737" spans="1:28" x14ac:dyDescent="0.35">
      <c r="A737">
        <v>41032</v>
      </c>
      <c r="B737" t="s">
        <v>3549</v>
      </c>
      <c r="C737" s="1">
        <v>41231</v>
      </c>
      <c r="D737" s="1">
        <v>41234</v>
      </c>
      <c r="E737">
        <f>Superstore_Sales[[#This Row],[Ship Date]]-Superstore_Sales[[#This Row],[Order Date]]</f>
        <v>3</v>
      </c>
      <c r="F737" t="s">
        <v>40</v>
      </c>
      <c r="G737" t="s">
        <v>3465</v>
      </c>
      <c r="H737" t="s">
        <v>942</v>
      </c>
      <c r="I737" t="s">
        <v>65</v>
      </c>
      <c r="J737">
        <v>19134</v>
      </c>
      <c r="K737" t="s">
        <v>428</v>
      </c>
      <c r="L737" t="s">
        <v>429</v>
      </c>
      <c r="M737" t="s">
        <v>31</v>
      </c>
      <c r="N737" t="s">
        <v>249</v>
      </c>
      <c r="O737" t="s">
        <v>33</v>
      </c>
      <c r="P737" t="s">
        <v>3550</v>
      </c>
      <c r="Q737" t="s">
        <v>147</v>
      </c>
      <c r="R737" t="s">
        <v>672</v>
      </c>
      <c r="S737" t="s">
        <v>3551</v>
      </c>
      <c r="T737">
        <v>5.88</v>
      </c>
      <c r="U737">
        <v>1</v>
      </c>
      <c r="V737">
        <v>0.2</v>
      </c>
      <c r="W737">
        <v>1.98</v>
      </c>
      <c r="X737">
        <v>1.76</v>
      </c>
      <c r="Y737" t="s">
        <v>61</v>
      </c>
      <c r="Z737">
        <f>Superstore_Sales[[#This Row],[Sales]]*Superstore_Sales[[#This Row],[Quantity]]</f>
        <v>5.88</v>
      </c>
      <c r="AA737" s="3">
        <f>Superstore_Sales[[#This Row],[TotalSales]]*Superstore_Sales[[#This Row],[Discount]]/100</f>
        <v>1.176E-2</v>
      </c>
      <c r="AB737" s="2">
        <f>Superstore_Sales[[#This Row],[TotalSales]]-Superstore_Sales[[#This Row],[Dis_amt]]-Superstore_Sales[[#This Row],[Shipping Cost]]</f>
        <v>4.1082400000000003</v>
      </c>
    </row>
    <row r="738" spans="1:28" x14ac:dyDescent="0.35">
      <c r="A738">
        <v>12600</v>
      </c>
      <c r="B738" t="s">
        <v>3552</v>
      </c>
      <c r="C738" s="1">
        <v>41625</v>
      </c>
      <c r="D738" s="1">
        <v>41629</v>
      </c>
      <c r="E738">
        <f>Superstore_Sales[[#This Row],[Ship Date]]-Superstore_Sales[[#This Row],[Order Date]]</f>
        <v>4</v>
      </c>
      <c r="F738" t="s">
        <v>98</v>
      </c>
      <c r="G738" t="s">
        <v>3553</v>
      </c>
      <c r="H738" t="s">
        <v>3554</v>
      </c>
      <c r="I738" t="s">
        <v>43</v>
      </c>
      <c r="K738" t="s">
        <v>3555</v>
      </c>
      <c r="L738" t="s">
        <v>310</v>
      </c>
      <c r="M738" t="s">
        <v>210</v>
      </c>
      <c r="N738" t="s">
        <v>211</v>
      </c>
      <c r="O738" t="s">
        <v>69</v>
      </c>
      <c r="P738" t="s">
        <v>2851</v>
      </c>
      <c r="Q738" t="s">
        <v>35</v>
      </c>
      <c r="R738" t="s">
        <v>275</v>
      </c>
      <c r="S738" t="s">
        <v>2852</v>
      </c>
      <c r="T738">
        <v>1248.8399999999999</v>
      </c>
      <c r="U738">
        <v>4</v>
      </c>
      <c r="V738">
        <v>0</v>
      </c>
      <c r="W738">
        <v>249.72</v>
      </c>
      <c r="X738">
        <v>221.58</v>
      </c>
      <c r="Y738" t="s">
        <v>38</v>
      </c>
      <c r="Z738">
        <f>Superstore_Sales[[#This Row],[Sales]]*Superstore_Sales[[#This Row],[Quantity]]</f>
        <v>4995.3599999999997</v>
      </c>
      <c r="AA738" s="3">
        <f>Superstore_Sales[[#This Row],[TotalSales]]*Superstore_Sales[[#This Row],[Discount]]/100</f>
        <v>0</v>
      </c>
      <c r="AB738" s="2">
        <f>Superstore_Sales[[#This Row],[TotalSales]]-Superstore_Sales[[#This Row],[Dis_amt]]-Superstore_Sales[[#This Row],[Shipping Cost]]</f>
        <v>4773.78</v>
      </c>
    </row>
    <row r="739" spans="1:28" x14ac:dyDescent="0.35">
      <c r="A739">
        <v>4486</v>
      </c>
      <c r="B739" t="s">
        <v>3556</v>
      </c>
      <c r="C739" s="1">
        <v>41962</v>
      </c>
      <c r="D739" s="1">
        <v>41968</v>
      </c>
      <c r="E739">
        <f>Superstore_Sales[[#This Row],[Ship Date]]-Superstore_Sales[[#This Row],[Order Date]]</f>
        <v>6</v>
      </c>
      <c r="F739" t="s">
        <v>98</v>
      </c>
      <c r="G739" t="s">
        <v>3557</v>
      </c>
      <c r="H739" t="s">
        <v>1728</v>
      </c>
      <c r="I739" t="s">
        <v>28</v>
      </c>
      <c r="K739" t="s">
        <v>895</v>
      </c>
      <c r="L739" t="s">
        <v>896</v>
      </c>
      <c r="M739" t="s">
        <v>896</v>
      </c>
      <c r="N739" t="s">
        <v>220</v>
      </c>
      <c r="O739" t="s">
        <v>136</v>
      </c>
      <c r="P739" t="s">
        <v>1181</v>
      </c>
      <c r="Q739" t="s">
        <v>50</v>
      </c>
      <c r="R739" t="s">
        <v>336</v>
      </c>
      <c r="S739" t="s">
        <v>1182</v>
      </c>
      <c r="T739">
        <v>2040.92</v>
      </c>
      <c r="U739">
        <v>7</v>
      </c>
      <c r="V739">
        <v>0</v>
      </c>
      <c r="W739">
        <v>959.14</v>
      </c>
      <c r="X739">
        <v>221.048</v>
      </c>
      <c r="Y739" t="s">
        <v>164</v>
      </c>
      <c r="Z739">
        <f>Superstore_Sales[[#This Row],[Sales]]*Superstore_Sales[[#This Row],[Quantity]]</f>
        <v>14286.44</v>
      </c>
      <c r="AA739" s="3">
        <f>Superstore_Sales[[#This Row],[TotalSales]]*Superstore_Sales[[#This Row],[Discount]]/100</f>
        <v>0</v>
      </c>
      <c r="AB739" s="2">
        <f>Superstore_Sales[[#This Row],[TotalSales]]-Superstore_Sales[[#This Row],[Dis_amt]]-Superstore_Sales[[#This Row],[Shipping Cost]]</f>
        <v>14065.392</v>
      </c>
    </row>
    <row r="740" spans="1:28" x14ac:dyDescent="0.35">
      <c r="A740">
        <v>10828</v>
      </c>
      <c r="B740" t="s">
        <v>3558</v>
      </c>
      <c r="C740" s="1">
        <v>42249</v>
      </c>
      <c r="D740" s="1">
        <v>42251</v>
      </c>
      <c r="E740">
        <f>Superstore_Sales[[#This Row],[Ship Date]]-Superstore_Sales[[#This Row],[Order Date]]</f>
        <v>2</v>
      </c>
      <c r="F740" t="s">
        <v>40</v>
      </c>
      <c r="G740" t="s">
        <v>3559</v>
      </c>
      <c r="H740" t="s">
        <v>3388</v>
      </c>
      <c r="I740" t="s">
        <v>28</v>
      </c>
      <c r="K740" t="s">
        <v>153</v>
      </c>
      <c r="L740" t="s">
        <v>154</v>
      </c>
      <c r="M740" t="s">
        <v>155</v>
      </c>
      <c r="N740" t="s">
        <v>68</v>
      </c>
      <c r="O740" t="s">
        <v>69</v>
      </c>
      <c r="P740" t="s">
        <v>3560</v>
      </c>
      <c r="Q740" t="s">
        <v>147</v>
      </c>
      <c r="R740" t="s">
        <v>162</v>
      </c>
      <c r="S740" t="s">
        <v>3561</v>
      </c>
      <c r="T740">
        <v>1068.71</v>
      </c>
      <c r="U740">
        <v>6</v>
      </c>
      <c r="V740">
        <v>0.1</v>
      </c>
      <c r="W740">
        <v>-0.13</v>
      </c>
      <c r="X740">
        <v>220.97</v>
      </c>
      <c r="Y740" t="s">
        <v>38</v>
      </c>
      <c r="Z740">
        <f>Superstore_Sales[[#This Row],[Sales]]*Superstore_Sales[[#This Row],[Quantity]]</f>
        <v>6412.26</v>
      </c>
      <c r="AA740" s="3">
        <f>Superstore_Sales[[#This Row],[TotalSales]]*Superstore_Sales[[#This Row],[Discount]]/100</f>
        <v>6.4122600000000007</v>
      </c>
      <c r="AB740" s="2">
        <f>Superstore_Sales[[#This Row],[TotalSales]]-Superstore_Sales[[#This Row],[Dis_amt]]-Superstore_Sales[[#This Row],[Shipping Cost]]</f>
        <v>6184.8777399999999</v>
      </c>
    </row>
    <row r="741" spans="1:28" x14ac:dyDescent="0.35">
      <c r="A741">
        <v>62</v>
      </c>
      <c r="B741" t="s">
        <v>3562</v>
      </c>
      <c r="C741" s="1">
        <v>42140</v>
      </c>
      <c r="D741" s="1">
        <v>42140</v>
      </c>
      <c r="E741">
        <f>Superstore_Sales[[#This Row],[Ship Date]]-Superstore_Sales[[#This Row],[Order Date]]</f>
        <v>0</v>
      </c>
      <c r="F741" t="s">
        <v>73</v>
      </c>
      <c r="G741" t="s">
        <v>3563</v>
      </c>
      <c r="H741" t="s">
        <v>1944</v>
      </c>
      <c r="I741" t="s">
        <v>43</v>
      </c>
      <c r="K741" t="s">
        <v>3564</v>
      </c>
      <c r="L741" t="s">
        <v>831</v>
      </c>
      <c r="M741" t="s">
        <v>134</v>
      </c>
      <c r="N741" t="s">
        <v>135</v>
      </c>
      <c r="O741" t="s">
        <v>136</v>
      </c>
      <c r="P741" t="s">
        <v>425</v>
      </c>
      <c r="Q741" t="s">
        <v>50</v>
      </c>
      <c r="R741" t="s">
        <v>336</v>
      </c>
      <c r="S741" t="s">
        <v>426</v>
      </c>
      <c r="T741">
        <v>875.22</v>
      </c>
      <c r="U741">
        <v>3</v>
      </c>
      <c r="V741">
        <v>0</v>
      </c>
      <c r="W741">
        <v>139.97999999999999</v>
      </c>
      <c r="X741">
        <v>220.767</v>
      </c>
      <c r="Y741" t="s">
        <v>38</v>
      </c>
      <c r="Z741">
        <f>Superstore_Sales[[#This Row],[Sales]]*Superstore_Sales[[#This Row],[Quantity]]</f>
        <v>2625.66</v>
      </c>
      <c r="AA741" s="3">
        <f>Superstore_Sales[[#This Row],[TotalSales]]*Superstore_Sales[[#This Row],[Discount]]/100</f>
        <v>0</v>
      </c>
      <c r="AB741" s="2">
        <f>Superstore_Sales[[#This Row],[TotalSales]]-Superstore_Sales[[#This Row],[Dis_amt]]-Superstore_Sales[[#This Row],[Shipping Cost]]</f>
        <v>2404.893</v>
      </c>
    </row>
    <row r="742" spans="1:28" x14ac:dyDescent="0.35">
      <c r="A742">
        <v>24380</v>
      </c>
      <c r="B742" t="s">
        <v>3565</v>
      </c>
      <c r="C742" s="1">
        <v>41948</v>
      </c>
      <c r="D742" s="1">
        <v>41952</v>
      </c>
      <c r="E742">
        <f>Superstore_Sales[[#This Row],[Ship Date]]-Superstore_Sales[[#This Row],[Order Date]]</f>
        <v>4</v>
      </c>
      <c r="F742" t="s">
        <v>98</v>
      </c>
      <c r="G742" t="s">
        <v>3566</v>
      </c>
      <c r="H742" t="s">
        <v>3567</v>
      </c>
      <c r="I742" t="s">
        <v>28</v>
      </c>
      <c r="K742" t="s">
        <v>3568</v>
      </c>
      <c r="L742" t="s">
        <v>45</v>
      </c>
      <c r="M742" t="s">
        <v>46</v>
      </c>
      <c r="N742" t="s">
        <v>47</v>
      </c>
      <c r="O742" t="s">
        <v>48</v>
      </c>
      <c r="P742" t="s">
        <v>3569</v>
      </c>
      <c r="Q742" t="s">
        <v>35</v>
      </c>
      <c r="R742" t="s">
        <v>304</v>
      </c>
      <c r="S742" t="s">
        <v>3570</v>
      </c>
      <c r="T742">
        <v>1403.08</v>
      </c>
      <c r="U742">
        <v>6</v>
      </c>
      <c r="V742">
        <v>0.1</v>
      </c>
      <c r="W742">
        <v>296.08</v>
      </c>
      <c r="X742">
        <v>220.54</v>
      </c>
      <c r="Y742" t="s">
        <v>38</v>
      </c>
      <c r="Z742">
        <f>Superstore_Sales[[#This Row],[Sales]]*Superstore_Sales[[#This Row],[Quantity]]</f>
        <v>8418.48</v>
      </c>
      <c r="AA742" s="3">
        <f>Superstore_Sales[[#This Row],[TotalSales]]*Superstore_Sales[[#This Row],[Discount]]/100</f>
        <v>8.4184799999999989</v>
      </c>
      <c r="AB742" s="2">
        <f>Superstore_Sales[[#This Row],[TotalSales]]-Superstore_Sales[[#This Row],[Dis_amt]]-Superstore_Sales[[#This Row],[Shipping Cost]]</f>
        <v>8189.5215199999993</v>
      </c>
    </row>
    <row r="743" spans="1:28" x14ac:dyDescent="0.35">
      <c r="A743">
        <v>43958</v>
      </c>
      <c r="B743" t="s">
        <v>3571</v>
      </c>
      <c r="C743" s="1">
        <v>41219</v>
      </c>
      <c r="D743" s="1">
        <v>41225</v>
      </c>
      <c r="E743">
        <f>Superstore_Sales[[#This Row],[Ship Date]]-Superstore_Sales[[#This Row],[Order Date]]</f>
        <v>6</v>
      </c>
      <c r="F743" t="s">
        <v>98</v>
      </c>
      <c r="G743" t="s">
        <v>3572</v>
      </c>
      <c r="H743" t="s">
        <v>3573</v>
      </c>
      <c r="I743" t="s">
        <v>43</v>
      </c>
      <c r="K743" t="s">
        <v>2193</v>
      </c>
      <c r="L743" t="s">
        <v>2193</v>
      </c>
      <c r="M743" t="s">
        <v>194</v>
      </c>
      <c r="N743" t="s">
        <v>195</v>
      </c>
      <c r="O743" t="s">
        <v>69</v>
      </c>
      <c r="P743" t="s">
        <v>335</v>
      </c>
      <c r="Q743" t="s">
        <v>50</v>
      </c>
      <c r="R743" t="s">
        <v>336</v>
      </c>
      <c r="S743" t="s">
        <v>337</v>
      </c>
      <c r="T743">
        <v>1743.96</v>
      </c>
      <c r="U743">
        <v>4</v>
      </c>
      <c r="V743">
        <v>0</v>
      </c>
      <c r="W743">
        <v>714.96</v>
      </c>
      <c r="X743">
        <v>220.39</v>
      </c>
      <c r="Y743" t="s">
        <v>61</v>
      </c>
      <c r="Z743">
        <f>Superstore_Sales[[#This Row],[Sales]]*Superstore_Sales[[#This Row],[Quantity]]</f>
        <v>6975.84</v>
      </c>
      <c r="AA743" s="3">
        <f>Superstore_Sales[[#This Row],[TotalSales]]*Superstore_Sales[[#This Row],[Discount]]/100</f>
        <v>0</v>
      </c>
      <c r="AB743" s="2">
        <f>Superstore_Sales[[#This Row],[TotalSales]]-Superstore_Sales[[#This Row],[Dis_amt]]-Superstore_Sales[[#This Row],[Shipping Cost]]</f>
        <v>6755.45</v>
      </c>
    </row>
    <row r="744" spans="1:28" x14ac:dyDescent="0.35">
      <c r="A744">
        <v>45785</v>
      </c>
      <c r="B744" t="s">
        <v>3574</v>
      </c>
      <c r="C744" s="1">
        <v>41738</v>
      </c>
      <c r="D744" s="1">
        <v>41740</v>
      </c>
      <c r="E744">
        <f>Superstore_Sales[[#This Row],[Ship Date]]-Superstore_Sales[[#This Row],[Order Date]]</f>
        <v>2</v>
      </c>
      <c r="F744" t="s">
        <v>40</v>
      </c>
      <c r="G744" t="s">
        <v>3575</v>
      </c>
      <c r="H744" t="s">
        <v>3149</v>
      </c>
      <c r="I744" t="s">
        <v>43</v>
      </c>
      <c r="K744" t="s">
        <v>3576</v>
      </c>
      <c r="L744" t="s">
        <v>3576</v>
      </c>
      <c r="M744" t="s">
        <v>2090</v>
      </c>
      <c r="N744" t="s">
        <v>126</v>
      </c>
      <c r="O744" t="s">
        <v>48</v>
      </c>
      <c r="P744" t="s">
        <v>2380</v>
      </c>
      <c r="Q744" t="s">
        <v>35</v>
      </c>
      <c r="R744" t="s">
        <v>275</v>
      </c>
      <c r="S744" t="s">
        <v>2381</v>
      </c>
      <c r="T744">
        <v>1071.8399999999999</v>
      </c>
      <c r="U744">
        <v>4</v>
      </c>
      <c r="V744">
        <v>0</v>
      </c>
      <c r="W744">
        <v>310.8</v>
      </c>
      <c r="X744">
        <v>220.3</v>
      </c>
      <c r="Y744" t="s">
        <v>38</v>
      </c>
      <c r="Z744">
        <f>Superstore_Sales[[#This Row],[Sales]]*Superstore_Sales[[#This Row],[Quantity]]</f>
        <v>4287.3599999999997</v>
      </c>
      <c r="AA744" s="3">
        <f>Superstore_Sales[[#This Row],[TotalSales]]*Superstore_Sales[[#This Row],[Discount]]/100</f>
        <v>0</v>
      </c>
      <c r="AB744" s="2">
        <f>Superstore_Sales[[#This Row],[TotalSales]]-Superstore_Sales[[#This Row],[Dis_amt]]-Superstore_Sales[[#This Row],[Shipping Cost]]</f>
        <v>4067.0599999999995</v>
      </c>
    </row>
    <row r="745" spans="1:28" x14ac:dyDescent="0.35">
      <c r="A745">
        <v>13730</v>
      </c>
      <c r="B745" t="s">
        <v>3577</v>
      </c>
      <c r="C745" s="1">
        <v>42167</v>
      </c>
      <c r="D745" s="1">
        <v>42168</v>
      </c>
      <c r="E745">
        <f>Superstore_Sales[[#This Row],[Ship Date]]-Superstore_Sales[[#This Row],[Order Date]]</f>
        <v>1</v>
      </c>
      <c r="F745" t="s">
        <v>25</v>
      </c>
      <c r="G745" t="s">
        <v>3578</v>
      </c>
      <c r="H745" t="s">
        <v>3579</v>
      </c>
      <c r="I745" t="s">
        <v>28</v>
      </c>
      <c r="K745" t="s">
        <v>3580</v>
      </c>
      <c r="L745" t="s">
        <v>1875</v>
      </c>
      <c r="M745" t="s">
        <v>170</v>
      </c>
      <c r="N745" t="s">
        <v>171</v>
      </c>
      <c r="O745" t="s">
        <v>69</v>
      </c>
      <c r="P745" t="s">
        <v>3480</v>
      </c>
      <c r="Q745" t="s">
        <v>35</v>
      </c>
      <c r="R745" t="s">
        <v>275</v>
      </c>
      <c r="S745" t="s">
        <v>3481</v>
      </c>
      <c r="T745">
        <v>925.02</v>
      </c>
      <c r="U745">
        <v>5</v>
      </c>
      <c r="V745">
        <v>0.4</v>
      </c>
      <c r="W745">
        <v>-447.18</v>
      </c>
      <c r="X745">
        <v>219.98</v>
      </c>
      <c r="Y745" t="s">
        <v>38</v>
      </c>
      <c r="Z745">
        <f>Superstore_Sales[[#This Row],[Sales]]*Superstore_Sales[[#This Row],[Quantity]]</f>
        <v>4625.1000000000004</v>
      </c>
      <c r="AA745" s="3">
        <f>Superstore_Sales[[#This Row],[TotalSales]]*Superstore_Sales[[#This Row],[Discount]]/100</f>
        <v>18.500400000000003</v>
      </c>
      <c r="AB745" s="2">
        <f>Superstore_Sales[[#This Row],[TotalSales]]-Superstore_Sales[[#This Row],[Dis_amt]]-Superstore_Sales[[#This Row],[Shipping Cost]]</f>
        <v>4386.6196000000009</v>
      </c>
    </row>
    <row r="746" spans="1:28" x14ac:dyDescent="0.35">
      <c r="A746">
        <v>2026</v>
      </c>
      <c r="B746" t="s">
        <v>3581</v>
      </c>
      <c r="C746" s="1">
        <v>41800</v>
      </c>
      <c r="D746" s="1">
        <v>41805</v>
      </c>
      <c r="E746">
        <f>Superstore_Sales[[#This Row],[Ship Date]]-Superstore_Sales[[#This Row],[Order Date]]</f>
        <v>5</v>
      </c>
      <c r="F746" t="s">
        <v>98</v>
      </c>
      <c r="G746" t="s">
        <v>3582</v>
      </c>
      <c r="H746" t="s">
        <v>3583</v>
      </c>
      <c r="I746" t="s">
        <v>28</v>
      </c>
      <c r="K746" t="s">
        <v>3584</v>
      </c>
      <c r="L746" t="s">
        <v>3584</v>
      </c>
      <c r="M746" t="s">
        <v>1289</v>
      </c>
      <c r="N746" t="s">
        <v>135</v>
      </c>
      <c r="O746" t="s">
        <v>136</v>
      </c>
      <c r="P746" t="s">
        <v>691</v>
      </c>
      <c r="Q746" t="s">
        <v>50</v>
      </c>
      <c r="R746" t="s">
        <v>51</v>
      </c>
      <c r="S746" t="s">
        <v>692</v>
      </c>
      <c r="T746">
        <v>1682.75</v>
      </c>
      <c r="U746">
        <v>9</v>
      </c>
      <c r="V746">
        <v>0.4</v>
      </c>
      <c r="W746">
        <v>-813.49</v>
      </c>
      <c r="X746">
        <v>219.84200000000001</v>
      </c>
      <c r="Y746" t="s">
        <v>38</v>
      </c>
      <c r="Z746">
        <f>Superstore_Sales[[#This Row],[Sales]]*Superstore_Sales[[#This Row],[Quantity]]</f>
        <v>15144.75</v>
      </c>
      <c r="AA746" s="3">
        <f>Superstore_Sales[[#This Row],[TotalSales]]*Superstore_Sales[[#This Row],[Discount]]/100</f>
        <v>60.579000000000008</v>
      </c>
      <c r="AB746" s="2">
        <f>Superstore_Sales[[#This Row],[TotalSales]]-Superstore_Sales[[#This Row],[Dis_amt]]-Superstore_Sales[[#This Row],[Shipping Cost]]</f>
        <v>14864.329</v>
      </c>
    </row>
    <row r="747" spans="1:28" x14ac:dyDescent="0.35">
      <c r="A747">
        <v>25053</v>
      </c>
      <c r="B747" t="s">
        <v>3585</v>
      </c>
      <c r="C747" s="1">
        <v>42190</v>
      </c>
      <c r="D747" s="1">
        <v>42194</v>
      </c>
      <c r="E747">
        <f>Superstore_Sales[[#This Row],[Ship Date]]-Superstore_Sales[[#This Row],[Order Date]]</f>
        <v>4</v>
      </c>
      <c r="F747" t="s">
        <v>98</v>
      </c>
      <c r="G747" t="s">
        <v>3586</v>
      </c>
      <c r="H747" t="s">
        <v>2896</v>
      </c>
      <c r="I747" t="s">
        <v>28</v>
      </c>
      <c r="K747" t="s">
        <v>3587</v>
      </c>
      <c r="L747" t="s">
        <v>1077</v>
      </c>
      <c r="M747" t="s">
        <v>144</v>
      </c>
      <c r="N747" t="s">
        <v>145</v>
      </c>
      <c r="O747" t="s">
        <v>48</v>
      </c>
      <c r="P747" t="s">
        <v>1954</v>
      </c>
      <c r="Q747" t="s">
        <v>50</v>
      </c>
      <c r="R747" t="s">
        <v>336</v>
      </c>
      <c r="S747" t="s">
        <v>1955</v>
      </c>
      <c r="T747">
        <v>1944.9</v>
      </c>
      <c r="U747">
        <v>5</v>
      </c>
      <c r="V747">
        <v>0</v>
      </c>
      <c r="W747">
        <v>291.60000000000002</v>
      </c>
      <c r="X747">
        <v>219.83</v>
      </c>
      <c r="Y747" t="s">
        <v>61</v>
      </c>
      <c r="Z747">
        <f>Superstore_Sales[[#This Row],[Sales]]*Superstore_Sales[[#This Row],[Quantity]]</f>
        <v>9724.5</v>
      </c>
      <c r="AA747" s="3">
        <f>Superstore_Sales[[#This Row],[TotalSales]]*Superstore_Sales[[#This Row],[Discount]]/100</f>
        <v>0</v>
      </c>
      <c r="AB747" s="2">
        <f>Superstore_Sales[[#This Row],[TotalSales]]-Superstore_Sales[[#This Row],[Dis_amt]]-Superstore_Sales[[#This Row],[Shipping Cost]]</f>
        <v>9504.67</v>
      </c>
    </row>
    <row r="748" spans="1:28" x14ac:dyDescent="0.35">
      <c r="A748">
        <v>25116</v>
      </c>
      <c r="B748" t="s">
        <v>3588</v>
      </c>
      <c r="C748" s="1">
        <v>41760</v>
      </c>
      <c r="D748" s="1">
        <v>41764</v>
      </c>
      <c r="E748">
        <f>Superstore_Sales[[#This Row],[Ship Date]]-Superstore_Sales[[#This Row],[Order Date]]</f>
        <v>4</v>
      </c>
      <c r="F748" t="s">
        <v>98</v>
      </c>
      <c r="G748" t="s">
        <v>3589</v>
      </c>
      <c r="H748" t="s">
        <v>344</v>
      </c>
      <c r="I748" t="s">
        <v>28</v>
      </c>
      <c r="K748" t="s">
        <v>3590</v>
      </c>
      <c r="L748" t="s">
        <v>1852</v>
      </c>
      <c r="M748" t="s">
        <v>258</v>
      </c>
      <c r="N748" t="s">
        <v>118</v>
      </c>
      <c r="O748" t="s">
        <v>48</v>
      </c>
      <c r="P748" t="s">
        <v>2330</v>
      </c>
      <c r="Q748" t="s">
        <v>35</v>
      </c>
      <c r="R748" t="s">
        <v>81</v>
      </c>
      <c r="S748" t="s">
        <v>2331</v>
      </c>
      <c r="T748">
        <v>3040.8</v>
      </c>
      <c r="U748">
        <v>8</v>
      </c>
      <c r="V748">
        <v>0</v>
      </c>
      <c r="W748">
        <v>1155.3599999999999</v>
      </c>
      <c r="X748">
        <v>219.74</v>
      </c>
      <c r="Y748" t="s">
        <v>61</v>
      </c>
      <c r="Z748">
        <f>Superstore_Sales[[#This Row],[Sales]]*Superstore_Sales[[#This Row],[Quantity]]</f>
        <v>24326.400000000001</v>
      </c>
      <c r="AA748" s="3">
        <f>Superstore_Sales[[#This Row],[TotalSales]]*Superstore_Sales[[#This Row],[Discount]]/100</f>
        <v>0</v>
      </c>
      <c r="AB748" s="2">
        <f>Superstore_Sales[[#This Row],[TotalSales]]-Superstore_Sales[[#This Row],[Dis_amt]]-Superstore_Sales[[#This Row],[Shipping Cost]]</f>
        <v>24106.66</v>
      </c>
    </row>
    <row r="749" spans="1:28" x14ac:dyDescent="0.35">
      <c r="A749">
        <v>32583</v>
      </c>
      <c r="B749" t="s">
        <v>3591</v>
      </c>
      <c r="C749" s="1">
        <v>41459</v>
      </c>
      <c r="D749" s="1">
        <v>41463</v>
      </c>
      <c r="E749">
        <f>Superstore_Sales[[#This Row],[Ship Date]]-Superstore_Sales[[#This Row],[Order Date]]</f>
        <v>4</v>
      </c>
      <c r="F749" t="s">
        <v>98</v>
      </c>
      <c r="G749" t="s">
        <v>3465</v>
      </c>
      <c r="H749" t="s">
        <v>942</v>
      </c>
      <c r="I749" t="s">
        <v>65</v>
      </c>
      <c r="J749">
        <v>10035</v>
      </c>
      <c r="K749" t="s">
        <v>302</v>
      </c>
      <c r="L749" t="s">
        <v>248</v>
      </c>
      <c r="M749" t="s">
        <v>31</v>
      </c>
      <c r="N749" t="s">
        <v>249</v>
      </c>
      <c r="O749" t="s">
        <v>33</v>
      </c>
      <c r="P749" t="s">
        <v>3592</v>
      </c>
      <c r="Q749" t="s">
        <v>147</v>
      </c>
      <c r="R749" t="s">
        <v>431</v>
      </c>
      <c r="S749" t="s">
        <v>3593</v>
      </c>
      <c r="T749">
        <v>15.48</v>
      </c>
      <c r="U749">
        <v>3</v>
      </c>
      <c r="V749">
        <v>0</v>
      </c>
      <c r="W749">
        <v>4.49</v>
      </c>
      <c r="X749">
        <v>1.68</v>
      </c>
      <c r="Y749" t="s">
        <v>61</v>
      </c>
      <c r="Z749">
        <f>Superstore_Sales[[#This Row],[Sales]]*Superstore_Sales[[#This Row],[Quantity]]</f>
        <v>46.44</v>
      </c>
      <c r="AA749" s="3">
        <f>Superstore_Sales[[#This Row],[TotalSales]]*Superstore_Sales[[#This Row],[Discount]]/100</f>
        <v>0</v>
      </c>
      <c r="AB749" s="2">
        <f>Superstore_Sales[[#This Row],[TotalSales]]-Superstore_Sales[[#This Row],[Dis_amt]]-Superstore_Sales[[#This Row],[Shipping Cost]]</f>
        <v>44.76</v>
      </c>
    </row>
    <row r="750" spans="1:28" x14ac:dyDescent="0.35">
      <c r="A750">
        <v>9525</v>
      </c>
      <c r="B750" t="s">
        <v>3594</v>
      </c>
      <c r="C750" s="1">
        <v>41584</v>
      </c>
      <c r="D750" s="1">
        <v>41586</v>
      </c>
      <c r="E750">
        <f>Superstore_Sales[[#This Row],[Ship Date]]-Superstore_Sales[[#This Row],[Order Date]]</f>
        <v>2</v>
      </c>
      <c r="F750" t="s">
        <v>25</v>
      </c>
      <c r="G750" t="s">
        <v>3595</v>
      </c>
      <c r="H750" t="s">
        <v>3596</v>
      </c>
      <c r="I750" t="s">
        <v>28</v>
      </c>
      <c r="K750" t="s">
        <v>3597</v>
      </c>
      <c r="L750" t="s">
        <v>3597</v>
      </c>
      <c r="M750" t="s">
        <v>219</v>
      </c>
      <c r="N750" t="s">
        <v>220</v>
      </c>
      <c r="O750" t="s">
        <v>136</v>
      </c>
      <c r="P750" t="s">
        <v>3598</v>
      </c>
      <c r="Q750" t="s">
        <v>35</v>
      </c>
      <c r="R750" t="s">
        <v>81</v>
      </c>
      <c r="S750" t="s">
        <v>3599</v>
      </c>
      <c r="T750">
        <v>1003.35</v>
      </c>
      <c r="U750">
        <v>4</v>
      </c>
      <c r="V750">
        <v>2E-3</v>
      </c>
      <c r="W750">
        <v>178.95</v>
      </c>
      <c r="X750">
        <v>219.53299999999999</v>
      </c>
      <c r="Y750" t="s">
        <v>53</v>
      </c>
      <c r="Z750">
        <f>Superstore_Sales[[#This Row],[Sales]]*Superstore_Sales[[#This Row],[Quantity]]</f>
        <v>4013.4</v>
      </c>
      <c r="AA750" s="3">
        <f>Superstore_Sales[[#This Row],[TotalSales]]*Superstore_Sales[[#This Row],[Discount]]/100</f>
        <v>8.0267999999999992E-2</v>
      </c>
      <c r="AB750" s="2">
        <f>Superstore_Sales[[#This Row],[TotalSales]]-Superstore_Sales[[#This Row],[Dis_amt]]-Superstore_Sales[[#This Row],[Shipping Cost]]</f>
        <v>3793.786732</v>
      </c>
    </row>
    <row r="751" spans="1:28" x14ac:dyDescent="0.35">
      <c r="A751">
        <v>25463</v>
      </c>
      <c r="B751" t="s">
        <v>3600</v>
      </c>
      <c r="C751" s="1">
        <v>41166</v>
      </c>
      <c r="D751" s="1">
        <v>41169</v>
      </c>
      <c r="E751">
        <f>Superstore_Sales[[#This Row],[Ship Date]]-Superstore_Sales[[#This Row],[Order Date]]</f>
        <v>3</v>
      </c>
      <c r="F751" t="s">
        <v>40</v>
      </c>
      <c r="G751" t="s">
        <v>3601</v>
      </c>
      <c r="H751" t="s">
        <v>3602</v>
      </c>
      <c r="I751" t="s">
        <v>65</v>
      </c>
      <c r="K751" t="s">
        <v>57</v>
      </c>
      <c r="L751" t="s">
        <v>58</v>
      </c>
      <c r="M751" t="s">
        <v>46</v>
      </c>
      <c r="N751" t="s">
        <v>47</v>
      </c>
      <c r="O751" t="s">
        <v>48</v>
      </c>
      <c r="P751" t="s">
        <v>1847</v>
      </c>
      <c r="Q751" t="s">
        <v>147</v>
      </c>
      <c r="R751" t="s">
        <v>162</v>
      </c>
      <c r="S751" t="s">
        <v>1848</v>
      </c>
      <c r="T751">
        <v>808.73</v>
      </c>
      <c r="U751">
        <v>7</v>
      </c>
      <c r="V751">
        <v>0.1</v>
      </c>
      <c r="W751">
        <v>-0.19</v>
      </c>
      <c r="X751">
        <v>219.26</v>
      </c>
      <c r="Y751" t="s">
        <v>53</v>
      </c>
      <c r="Z751">
        <f>Superstore_Sales[[#This Row],[Sales]]*Superstore_Sales[[#This Row],[Quantity]]</f>
        <v>5661.1100000000006</v>
      </c>
      <c r="AA751" s="3">
        <f>Superstore_Sales[[#This Row],[TotalSales]]*Superstore_Sales[[#This Row],[Discount]]/100</f>
        <v>5.6611100000000008</v>
      </c>
      <c r="AB751" s="2">
        <f>Superstore_Sales[[#This Row],[TotalSales]]-Superstore_Sales[[#This Row],[Dis_amt]]-Superstore_Sales[[#This Row],[Shipping Cost]]</f>
        <v>5436.1888900000004</v>
      </c>
    </row>
    <row r="752" spans="1:28" x14ac:dyDescent="0.35">
      <c r="A752">
        <v>18392</v>
      </c>
      <c r="B752" t="s">
        <v>3603</v>
      </c>
      <c r="C752" s="1">
        <v>41999</v>
      </c>
      <c r="D752" s="1">
        <v>42005</v>
      </c>
      <c r="E752">
        <f>Superstore_Sales[[#This Row],[Ship Date]]-Superstore_Sales[[#This Row],[Order Date]]</f>
        <v>6</v>
      </c>
      <c r="F752" t="s">
        <v>98</v>
      </c>
      <c r="G752" t="s">
        <v>3604</v>
      </c>
      <c r="H752" t="s">
        <v>3605</v>
      </c>
      <c r="I752" t="s">
        <v>28</v>
      </c>
      <c r="K752" t="s">
        <v>3606</v>
      </c>
      <c r="L752" t="s">
        <v>154</v>
      </c>
      <c r="M752" t="s">
        <v>155</v>
      </c>
      <c r="N752" t="s">
        <v>68</v>
      </c>
      <c r="O752" t="s">
        <v>69</v>
      </c>
      <c r="P752" t="s">
        <v>3150</v>
      </c>
      <c r="Q752" t="s">
        <v>35</v>
      </c>
      <c r="R752" t="s">
        <v>81</v>
      </c>
      <c r="S752" t="s">
        <v>3151</v>
      </c>
      <c r="T752">
        <v>2764.33</v>
      </c>
      <c r="U752">
        <v>11</v>
      </c>
      <c r="V752">
        <v>0.15</v>
      </c>
      <c r="W752">
        <v>-195.44</v>
      </c>
      <c r="X752">
        <v>219.19</v>
      </c>
      <c r="Y752" t="s">
        <v>61</v>
      </c>
      <c r="Z752">
        <f>Superstore_Sales[[#This Row],[Sales]]*Superstore_Sales[[#This Row],[Quantity]]</f>
        <v>30407.629999999997</v>
      </c>
      <c r="AA752" s="3">
        <f>Superstore_Sales[[#This Row],[TotalSales]]*Superstore_Sales[[#This Row],[Discount]]/100</f>
        <v>45.611444999999996</v>
      </c>
      <c r="AB752" s="2">
        <f>Superstore_Sales[[#This Row],[TotalSales]]-Superstore_Sales[[#This Row],[Dis_amt]]-Superstore_Sales[[#This Row],[Shipping Cost]]</f>
        <v>30142.828555</v>
      </c>
    </row>
    <row r="753" spans="1:28" x14ac:dyDescent="0.35">
      <c r="A753">
        <v>31585</v>
      </c>
      <c r="B753" t="s">
        <v>3607</v>
      </c>
      <c r="C753" s="1">
        <v>41992</v>
      </c>
      <c r="D753" s="1">
        <v>41994</v>
      </c>
      <c r="E753">
        <f>Superstore_Sales[[#This Row],[Ship Date]]-Superstore_Sales[[#This Row],[Order Date]]</f>
        <v>2</v>
      </c>
      <c r="F753" t="s">
        <v>40</v>
      </c>
      <c r="G753" t="s">
        <v>3608</v>
      </c>
      <c r="H753" t="s">
        <v>3609</v>
      </c>
      <c r="I753" t="s">
        <v>43</v>
      </c>
      <c r="J753">
        <v>33319</v>
      </c>
      <c r="K753" t="s">
        <v>3610</v>
      </c>
      <c r="L753" t="s">
        <v>3611</v>
      </c>
      <c r="M753" t="s">
        <v>31</v>
      </c>
      <c r="N753" t="s">
        <v>351</v>
      </c>
      <c r="O753" t="s">
        <v>33</v>
      </c>
      <c r="P753" t="s">
        <v>3612</v>
      </c>
      <c r="Q753" t="s">
        <v>147</v>
      </c>
      <c r="R753" t="s">
        <v>903</v>
      </c>
      <c r="S753" t="s">
        <v>3613</v>
      </c>
      <c r="T753">
        <v>961.48</v>
      </c>
      <c r="U753">
        <v>5</v>
      </c>
      <c r="V753">
        <v>0.2</v>
      </c>
      <c r="W753">
        <v>-204.31</v>
      </c>
      <c r="X753">
        <v>89.23</v>
      </c>
      <c r="Y753" t="s">
        <v>61</v>
      </c>
      <c r="Z753">
        <f>Superstore_Sales[[#This Row],[Sales]]*Superstore_Sales[[#This Row],[Quantity]]</f>
        <v>4807.3999999999996</v>
      </c>
      <c r="AA753" s="3">
        <f>Superstore_Sales[[#This Row],[TotalSales]]*Superstore_Sales[[#This Row],[Discount]]/100</f>
        <v>9.6148000000000007</v>
      </c>
      <c r="AB753" s="2">
        <f>Superstore_Sales[[#This Row],[TotalSales]]-Superstore_Sales[[#This Row],[Dis_amt]]-Superstore_Sales[[#This Row],[Shipping Cost]]</f>
        <v>4708.5551999999998</v>
      </c>
    </row>
    <row r="754" spans="1:28" x14ac:dyDescent="0.35">
      <c r="A754">
        <v>42555</v>
      </c>
      <c r="B754" t="s">
        <v>3614</v>
      </c>
      <c r="C754" s="1">
        <v>42249</v>
      </c>
      <c r="D754" s="1">
        <v>42251</v>
      </c>
      <c r="E754">
        <f>Superstore_Sales[[#This Row],[Ship Date]]-Superstore_Sales[[#This Row],[Order Date]]</f>
        <v>2</v>
      </c>
      <c r="F754" t="s">
        <v>25</v>
      </c>
      <c r="G754" t="s">
        <v>3615</v>
      </c>
      <c r="H754" t="s">
        <v>3616</v>
      </c>
      <c r="I754" t="s">
        <v>28</v>
      </c>
      <c r="K754" t="s">
        <v>3617</v>
      </c>
      <c r="L754" t="s">
        <v>3617</v>
      </c>
      <c r="M754" t="s">
        <v>3618</v>
      </c>
      <c r="N754" t="s">
        <v>195</v>
      </c>
      <c r="O754" t="s">
        <v>69</v>
      </c>
      <c r="P754" t="s">
        <v>1573</v>
      </c>
      <c r="Q754" t="s">
        <v>50</v>
      </c>
      <c r="R754" t="s">
        <v>51</v>
      </c>
      <c r="S754" t="s">
        <v>1574</v>
      </c>
      <c r="T754">
        <v>457.14</v>
      </c>
      <c r="U754">
        <v>1</v>
      </c>
      <c r="V754">
        <v>0</v>
      </c>
      <c r="W754">
        <v>169.14</v>
      </c>
      <c r="X754">
        <v>218.96</v>
      </c>
      <c r="Y754" t="s">
        <v>53</v>
      </c>
      <c r="Z754">
        <f>Superstore_Sales[[#This Row],[Sales]]*Superstore_Sales[[#This Row],[Quantity]]</f>
        <v>457.14</v>
      </c>
      <c r="AA754" s="3">
        <f>Superstore_Sales[[#This Row],[TotalSales]]*Superstore_Sales[[#This Row],[Discount]]/100</f>
        <v>0</v>
      </c>
      <c r="AB754" s="2">
        <f>Superstore_Sales[[#This Row],[TotalSales]]-Superstore_Sales[[#This Row],[Dis_amt]]-Superstore_Sales[[#This Row],[Shipping Cost]]</f>
        <v>238.17999999999998</v>
      </c>
    </row>
    <row r="755" spans="1:28" x14ac:dyDescent="0.35">
      <c r="A755">
        <v>12333</v>
      </c>
      <c r="B755" t="s">
        <v>3619</v>
      </c>
      <c r="C755" s="1">
        <v>41085</v>
      </c>
      <c r="D755" s="1">
        <v>41087</v>
      </c>
      <c r="E755">
        <f>Superstore_Sales[[#This Row],[Ship Date]]-Superstore_Sales[[#This Row],[Order Date]]</f>
        <v>2</v>
      </c>
      <c r="F755" t="s">
        <v>25</v>
      </c>
      <c r="G755" t="s">
        <v>3620</v>
      </c>
      <c r="H755" t="s">
        <v>3621</v>
      </c>
      <c r="I755" t="s">
        <v>28</v>
      </c>
      <c r="K755" t="s">
        <v>3622</v>
      </c>
      <c r="L755" t="s">
        <v>878</v>
      </c>
      <c r="M755" t="s">
        <v>155</v>
      </c>
      <c r="N755" t="s">
        <v>68</v>
      </c>
      <c r="O755" t="s">
        <v>69</v>
      </c>
      <c r="P755" t="s">
        <v>812</v>
      </c>
      <c r="Q755" t="s">
        <v>50</v>
      </c>
      <c r="R755" t="s">
        <v>336</v>
      </c>
      <c r="S755" t="s">
        <v>813</v>
      </c>
      <c r="T755">
        <v>704.05</v>
      </c>
      <c r="U755">
        <v>2</v>
      </c>
      <c r="V755">
        <v>0.1</v>
      </c>
      <c r="W755">
        <v>312.91000000000003</v>
      </c>
      <c r="X755">
        <v>218.81</v>
      </c>
      <c r="Y755" t="s">
        <v>53</v>
      </c>
      <c r="Z755">
        <f>Superstore_Sales[[#This Row],[Sales]]*Superstore_Sales[[#This Row],[Quantity]]</f>
        <v>1408.1</v>
      </c>
      <c r="AA755" s="3">
        <f>Superstore_Sales[[#This Row],[TotalSales]]*Superstore_Sales[[#This Row],[Discount]]/100</f>
        <v>1.4081000000000001</v>
      </c>
      <c r="AB755" s="2">
        <f>Superstore_Sales[[#This Row],[TotalSales]]-Superstore_Sales[[#This Row],[Dis_amt]]-Superstore_Sales[[#This Row],[Shipping Cost]]</f>
        <v>1187.8818999999999</v>
      </c>
    </row>
    <row r="756" spans="1:28" x14ac:dyDescent="0.35">
      <c r="A756">
        <v>12989</v>
      </c>
      <c r="B756" t="s">
        <v>3623</v>
      </c>
      <c r="C756" s="1">
        <v>42271</v>
      </c>
      <c r="D756" s="1">
        <v>42273</v>
      </c>
      <c r="E756">
        <f>Superstore_Sales[[#This Row],[Ship Date]]-Superstore_Sales[[#This Row],[Order Date]]</f>
        <v>2</v>
      </c>
      <c r="F756" t="s">
        <v>40</v>
      </c>
      <c r="G756" t="s">
        <v>3624</v>
      </c>
      <c r="H756" t="s">
        <v>1582</v>
      </c>
      <c r="I756" t="s">
        <v>43</v>
      </c>
      <c r="K756" t="s">
        <v>3625</v>
      </c>
      <c r="L756" t="s">
        <v>668</v>
      </c>
      <c r="M756" t="s">
        <v>155</v>
      </c>
      <c r="N756" t="s">
        <v>68</v>
      </c>
      <c r="O756" t="s">
        <v>69</v>
      </c>
      <c r="P756" t="s">
        <v>2401</v>
      </c>
      <c r="Q756" t="s">
        <v>147</v>
      </c>
      <c r="R756" t="s">
        <v>148</v>
      </c>
      <c r="S756" t="s">
        <v>2402</v>
      </c>
      <c r="T756">
        <v>1355.13</v>
      </c>
      <c r="U756">
        <v>5</v>
      </c>
      <c r="V756">
        <v>0.1</v>
      </c>
      <c r="W756">
        <v>-60.27</v>
      </c>
      <c r="X756">
        <v>218.75</v>
      </c>
      <c r="Y756" t="s">
        <v>38</v>
      </c>
      <c r="Z756">
        <f>Superstore_Sales[[#This Row],[Sales]]*Superstore_Sales[[#This Row],[Quantity]]</f>
        <v>6775.6500000000005</v>
      </c>
      <c r="AA756" s="3">
        <f>Superstore_Sales[[#This Row],[TotalSales]]*Superstore_Sales[[#This Row],[Discount]]/100</f>
        <v>6.7756500000000006</v>
      </c>
      <c r="AB756" s="2">
        <f>Superstore_Sales[[#This Row],[TotalSales]]-Superstore_Sales[[#This Row],[Dis_amt]]-Superstore_Sales[[#This Row],[Shipping Cost]]</f>
        <v>6550.124350000001</v>
      </c>
    </row>
    <row r="757" spans="1:28" x14ac:dyDescent="0.35">
      <c r="A757">
        <v>36551</v>
      </c>
      <c r="B757" t="s">
        <v>3626</v>
      </c>
      <c r="C757" s="1">
        <v>41338</v>
      </c>
      <c r="D757" s="1">
        <v>41340</v>
      </c>
      <c r="E757">
        <f>Superstore_Sales[[#This Row],[Ship Date]]-Superstore_Sales[[#This Row],[Order Date]]</f>
        <v>2</v>
      </c>
      <c r="F757" t="s">
        <v>40</v>
      </c>
      <c r="G757" t="s">
        <v>3627</v>
      </c>
      <c r="H757" t="s">
        <v>3609</v>
      </c>
      <c r="I757" t="s">
        <v>43</v>
      </c>
      <c r="J757">
        <v>18018</v>
      </c>
      <c r="K757" t="s">
        <v>3628</v>
      </c>
      <c r="L757" t="s">
        <v>429</v>
      </c>
      <c r="M757" t="s">
        <v>31</v>
      </c>
      <c r="N757" t="s">
        <v>249</v>
      </c>
      <c r="O757" t="s">
        <v>33</v>
      </c>
      <c r="P757" t="s">
        <v>3629</v>
      </c>
      <c r="Q757" t="s">
        <v>50</v>
      </c>
      <c r="R757" t="s">
        <v>51</v>
      </c>
      <c r="S757" t="s">
        <v>3630</v>
      </c>
      <c r="T757">
        <v>99.37</v>
      </c>
      <c r="U757">
        <v>2</v>
      </c>
      <c r="V757">
        <v>0.3</v>
      </c>
      <c r="W757">
        <v>-7.1</v>
      </c>
      <c r="X757">
        <v>10.79</v>
      </c>
      <c r="Y757" t="s">
        <v>38</v>
      </c>
      <c r="Z757">
        <f>Superstore_Sales[[#This Row],[Sales]]*Superstore_Sales[[#This Row],[Quantity]]</f>
        <v>198.74</v>
      </c>
      <c r="AA757" s="3">
        <f>Superstore_Sales[[#This Row],[TotalSales]]*Superstore_Sales[[#This Row],[Discount]]/100</f>
        <v>0.59621999999999997</v>
      </c>
      <c r="AB757" s="2">
        <f>Superstore_Sales[[#This Row],[TotalSales]]-Superstore_Sales[[#This Row],[Dis_amt]]-Superstore_Sales[[#This Row],[Shipping Cost]]</f>
        <v>187.35378000000003</v>
      </c>
    </row>
    <row r="758" spans="1:28" x14ac:dyDescent="0.35">
      <c r="A758">
        <v>25575</v>
      </c>
      <c r="B758" t="s">
        <v>3631</v>
      </c>
      <c r="C758" s="1">
        <v>41916</v>
      </c>
      <c r="D758" s="1">
        <v>41920</v>
      </c>
      <c r="E758">
        <f>Superstore_Sales[[#This Row],[Ship Date]]-Superstore_Sales[[#This Row],[Order Date]]</f>
        <v>4</v>
      </c>
      <c r="F758" t="s">
        <v>98</v>
      </c>
      <c r="G758" t="s">
        <v>140</v>
      </c>
      <c r="H758" t="s">
        <v>141</v>
      </c>
      <c r="I758" t="s">
        <v>28</v>
      </c>
      <c r="K758" t="s">
        <v>3632</v>
      </c>
      <c r="L758" t="s">
        <v>143</v>
      </c>
      <c r="M758" t="s">
        <v>144</v>
      </c>
      <c r="N758" t="s">
        <v>145</v>
      </c>
      <c r="O758" t="s">
        <v>48</v>
      </c>
      <c r="P758" t="s">
        <v>359</v>
      </c>
      <c r="Q758" t="s">
        <v>50</v>
      </c>
      <c r="R758" t="s">
        <v>51</v>
      </c>
      <c r="S758" t="s">
        <v>360</v>
      </c>
      <c r="T758">
        <v>2819.52</v>
      </c>
      <c r="U758">
        <v>6</v>
      </c>
      <c r="V758">
        <v>0</v>
      </c>
      <c r="W758">
        <v>338.22</v>
      </c>
      <c r="X758">
        <v>218.16</v>
      </c>
      <c r="Y758" t="s">
        <v>61</v>
      </c>
      <c r="Z758">
        <f>Superstore_Sales[[#This Row],[Sales]]*Superstore_Sales[[#This Row],[Quantity]]</f>
        <v>16917.12</v>
      </c>
      <c r="AA758" s="3">
        <f>Superstore_Sales[[#This Row],[TotalSales]]*Superstore_Sales[[#This Row],[Discount]]/100</f>
        <v>0</v>
      </c>
      <c r="AB758" s="2">
        <f>Superstore_Sales[[#This Row],[TotalSales]]-Superstore_Sales[[#This Row],[Dis_amt]]-Superstore_Sales[[#This Row],[Shipping Cost]]</f>
        <v>16698.96</v>
      </c>
    </row>
    <row r="759" spans="1:28" x14ac:dyDescent="0.35">
      <c r="A759">
        <v>23248</v>
      </c>
      <c r="B759" t="s">
        <v>3633</v>
      </c>
      <c r="C759" s="1">
        <v>41586</v>
      </c>
      <c r="D759" s="1">
        <v>41593</v>
      </c>
      <c r="E759">
        <f>Superstore_Sales[[#This Row],[Ship Date]]-Superstore_Sales[[#This Row],[Order Date]]</f>
        <v>7</v>
      </c>
      <c r="F759" t="s">
        <v>98</v>
      </c>
      <c r="G759" t="s">
        <v>3634</v>
      </c>
      <c r="H759" t="s">
        <v>1595</v>
      </c>
      <c r="I759" t="s">
        <v>65</v>
      </c>
      <c r="K759" t="s">
        <v>1076</v>
      </c>
      <c r="L759" t="s">
        <v>1077</v>
      </c>
      <c r="M759" t="s">
        <v>144</v>
      </c>
      <c r="N759" t="s">
        <v>145</v>
      </c>
      <c r="O759" t="s">
        <v>48</v>
      </c>
      <c r="P759" t="s">
        <v>70</v>
      </c>
      <c r="Q759" t="s">
        <v>35</v>
      </c>
      <c r="R759" t="s">
        <v>36</v>
      </c>
      <c r="S759" t="s">
        <v>71</v>
      </c>
      <c r="T759">
        <v>2571.12</v>
      </c>
      <c r="U759">
        <v>4</v>
      </c>
      <c r="V759">
        <v>0</v>
      </c>
      <c r="W759">
        <v>102.84</v>
      </c>
      <c r="X759">
        <v>217.64</v>
      </c>
      <c r="Y759" t="s">
        <v>164</v>
      </c>
      <c r="Z759">
        <f>Superstore_Sales[[#This Row],[Sales]]*Superstore_Sales[[#This Row],[Quantity]]</f>
        <v>10284.48</v>
      </c>
      <c r="AA759" s="3">
        <f>Superstore_Sales[[#This Row],[TotalSales]]*Superstore_Sales[[#This Row],[Discount]]/100</f>
        <v>0</v>
      </c>
      <c r="AB759" s="2">
        <f>Superstore_Sales[[#This Row],[TotalSales]]-Superstore_Sales[[#This Row],[Dis_amt]]-Superstore_Sales[[#This Row],[Shipping Cost]]</f>
        <v>10066.84</v>
      </c>
    </row>
    <row r="760" spans="1:28" x14ac:dyDescent="0.35">
      <c r="A760">
        <v>42735</v>
      </c>
      <c r="B760" t="s">
        <v>3635</v>
      </c>
      <c r="C760" s="1">
        <v>41301</v>
      </c>
      <c r="D760" s="1">
        <v>41303</v>
      </c>
      <c r="E760">
        <f>Superstore_Sales[[#This Row],[Ship Date]]-Superstore_Sales[[#This Row],[Order Date]]</f>
        <v>2</v>
      </c>
      <c r="F760" t="s">
        <v>40</v>
      </c>
      <c r="G760" t="s">
        <v>3636</v>
      </c>
      <c r="H760" t="s">
        <v>3637</v>
      </c>
      <c r="I760" t="s">
        <v>28</v>
      </c>
      <c r="K760" t="s">
        <v>3638</v>
      </c>
      <c r="L760" t="s">
        <v>3638</v>
      </c>
      <c r="M760" t="s">
        <v>3639</v>
      </c>
      <c r="N760" t="s">
        <v>294</v>
      </c>
      <c r="O760" t="s">
        <v>79</v>
      </c>
      <c r="P760" t="s">
        <v>2310</v>
      </c>
      <c r="Q760" t="s">
        <v>35</v>
      </c>
      <c r="R760" t="s">
        <v>304</v>
      </c>
      <c r="S760" t="s">
        <v>2311</v>
      </c>
      <c r="T760">
        <v>976.08</v>
      </c>
      <c r="U760">
        <v>4</v>
      </c>
      <c r="V760">
        <v>0</v>
      </c>
      <c r="W760">
        <v>292.8</v>
      </c>
      <c r="X760">
        <v>217.62</v>
      </c>
      <c r="Y760" t="s">
        <v>53</v>
      </c>
      <c r="Z760">
        <f>Superstore_Sales[[#This Row],[Sales]]*Superstore_Sales[[#This Row],[Quantity]]</f>
        <v>3904.32</v>
      </c>
      <c r="AA760" s="3">
        <f>Superstore_Sales[[#This Row],[TotalSales]]*Superstore_Sales[[#This Row],[Discount]]/100</f>
        <v>0</v>
      </c>
      <c r="AB760" s="2">
        <f>Superstore_Sales[[#This Row],[TotalSales]]-Superstore_Sales[[#This Row],[Dis_amt]]-Superstore_Sales[[#This Row],[Shipping Cost]]</f>
        <v>3686.7000000000003</v>
      </c>
    </row>
    <row r="761" spans="1:28" x14ac:dyDescent="0.35">
      <c r="A761">
        <v>30649</v>
      </c>
      <c r="B761" t="s">
        <v>3640</v>
      </c>
      <c r="C761" s="1">
        <v>41627</v>
      </c>
      <c r="D761" s="1">
        <v>41630</v>
      </c>
      <c r="E761">
        <f>Superstore_Sales[[#This Row],[Ship Date]]-Superstore_Sales[[#This Row],[Order Date]]</f>
        <v>3</v>
      </c>
      <c r="F761" t="s">
        <v>40</v>
      </c>
      <c r="G761" t="s">
        <v>3641</v>
      </c>
      <c r="H761" t="s">
        <v>2841</v>
      </c>
      <c r="I761" t="s">
        <v>28</v>
      </c>
      <c r="K761" t="s">
        <v>3642</v>
      </c>
      <c r="L761" t="s">
        <v>3643</v>
      </c>
      <c r="M761" t="s">
        <v>94</v>
      </c>
      <c r="N761" t="s">
        <v>47</v>
      </c>
      <c r="O761" t="s">
        <v>48</v>
      </c>
      <c r="P761" t="s">
        <v>3644</v>
      </c>
      <c r="Q761" t="s">
        <v>35</v>
      </c>
      <c r="R761" t="s">
        <v>36</v>
      </c>
      <c r="S761" t="s">
        <v>3645</v>
      </c>
      <c r="T761">
        <v>607.32000000000005</v>
      </c>
      <c r="U761">
        <v>4</v>
      </c>
      <c r="V761">
        <v>0</v>
      </c>
      <c r="W761">
        <v>115.32</v>
      </c>
      <c r="X761">
        <v>217.39</v>
      </c>
      <c r="Y761" t="s">
        <v>53</v>
      </c>
      <c r="Z761">
        <f>Superstore_Sales[[#This Row],[Sales]]*Superstore_Sales[[#This Row],[Quantity]]</f>
        <v>2429.2800000000002</v>
      </c>
      <c r="AA761" s="3">
        <f>Superstore_Sales[[#This Row],[TotalSales]]*Superstore_Sales[[#This Row],[Discount]]/100</f>
        <v>0</v>
      </c>
      <c r="AB761" s="2">
        <f>Superstore_Sales[[#This Row],[TotalSales]]-Superstore_Sales[[#This Row],[Dis_amt]]-Superstore_Sales[[#This Row],[Shipping Cost]]</f>
        <v>2211.8900000000003</v>
      </c>
    </row>
    <row r="762" spans="1:28" x14ac:dyDescent="0.35">
      <c r="A762">
        <v>42998</v>
      </c>
      <c r="B762" t="s">
        <v>3646</v>
      </c>
      <c r="C762" s="1">
        <v>41129</v>
      </c>
      <c r="D762" s="1">
        <v>41133</v>
      </c>
      <c r="E762">
        <f>Superstore_Sales[[#This Row],[Ship Date]]-Superstore_Sales[[#This Row],[Order Date]]</f>
        <v>4</v>
      </c>
      <c r="F762" t="s">
        <v>98</v>
      </c>
      <c r="G762" t="s">
        <v>3647</v>
      </c>
      <c r="H762" t="s">
        <v>3609</v>
      </c>
      <c r="I762" t="s">
        <v>43</v>
      </c>
      <c r="K762" t="s">
        <v>3648</v>
      </c>
      <c r="L762" t="s">
        <v>1133</v>
      </c>
      <c r="M762" t="s">
        <v>1134</v>
      </c>
      <c r="N762" t="s">
        <v>1134</v>
      </c>
      <c r="O762" t="s">
        <v>33</v>
      </c>
      <c r="P762" t="s">
        <v>3649</v>
      </c>
      <c r="Q762" t="s">
        <v>147</v>
      </c>
      <c r="R762" t="s">
        <v>3650</v>
      </c>
      <c r="S762" t="s">
        <v>3651</v>
      </c>
      <c r="T762">
        <v>87.84</v>
      </c>
      <c r="U762">
        <v>6</v>
      </c>
      <c r="V762">
        <v>0</v>
      </c>
      <c r="W762">
        <v>29.7</v>
      </c>
      <c r="X762">
        <v>7.97</v>
      </c>
      <c r="Y762" t="s">
        <v>61</v>
      </c>
      <c r="Z762">
        <f>Superstore_Sales[[#This Row],[Sales]]*Superstore_Sales[[#This Row],[Quantity]]</f>
        <v>527.04</v>
      </c>
      <c r="AA762" s="3">
        <f>Superstore_Sales[[#This Row],[TotalSales]]*Superstore_Sales[[#This Row],[Discount]]/100</f>
        <v>0</v>
      </c>
      <c r="AB762" s="2">
        <f>Superstore_Sales[[#This Row],[TotalSales]]-Superstore_Sales[[#This Row],[Dis_amt]]-Superstore_Sales[[#This Row],[Shipping Cost]]</f>
        <v>519.06999999999994</v>
      </c>
    </row>
    <row r="763" spans="1:28" x14ac:dyDescent="0.35">
      <c r="A763">
        <v>8348</v>
      </c>
      <c r="B763" t="s">
        <v>3652</v>
      </c>
      <c r="C763" s="1">
        <v>42355</v>
      </c>
      <c r="D763" s="1">
        <v>42359</v>
      </c>
      <c r="E763">
        <f>Superstore_Sales[[#This Row],[Ship Date]]-Superstore_Sales[[#This Row],[Order Date]]</f>
        <v>4</v>
      </c>
      <c r="F763" t="s">
        <v>98</v>
      </c>
      <c r="G763" t="s">
        <v>3653</v>
      </c>
      <c r="H763" t="s">
        <v>3120</v>
      </c>
      <c r="I763" t="s">
        <v>43</v>
      </c>
      <c r="K763" t="s">
        <v>3654</v>
      </c>
      <c r="L763" t="s">
        <v>1463</v>
      </c>
      <c r="M763" t="s">
        <v>219</v>
      </c>
      <c r="N763" t="s">
        <v>220</v>
      </c>
      <c r="O763" t="s">
        <v>136</v>
      </c>
      <c r="P763" t="s">
        <v>547</v>
      </c>
      <c r="Q763" t="s">
        <v>50</v>
      </c>
      <c r="R763" t="s">
        <v>51</v>
      </c>
      <c r="S763" t="s">
        <v>548</v>
      </c>
      <c r="T763">
        <v>1697.58</v>
      </c>
      <c r="U763">
        <v>7</v>
      </c>
      <c r="V763">
        <v>0.2</v>
      </c>
      <c r="W763">
        <v>-63.76</v>
      </c>
      <c r="X763">
        <v>217.02799999999999</v>
      </c>
      <c r="Y763" t="s">
        <v>38</v>
      </c>
      <c r="Z763">
        <f>Superstore_Sales[[#This Row],[Sales]]*Superstore_Sales[[#This Row],[Quantity]]</f>
        <v>11883.06</v>
      </c>
      <c r="AA763" s="3">
        <f>Superstore_Sales[[#This Row],[TotalSales]]*Superstore_Sales[[#This Row],[Discount]]/100</f>
        <v>23.766120000000001</v>
      </c>
      <c r="AB763" s="2">
        <f>Superstore_Sales[[#This Row],[TotalSales]]-Superstore_Sales[[#This Row],[Dis_amt]]-Superstore_Sales[[#This Row],[Shipping Cost]]</f>
        <v>11642.265879999999</v>
      </c>
    </row>
    <row r="764" spans="1:28" x14ac:dyDescent="0.35">
      <c r="A764">
        <v>25630</v>
      </c>
      <c r="B764" t="s">
        <v>3655</v>
      </c>
      <c r="C764" s="1">
        <v>41228</v>
      </c>
      <c r="D764" s="1">
        <v>41234</v>
      </c>
      <c r="E764">
        <f>Superstore_Sales[[#This Row],[Ship Date]]-Superstore_Sales[[#This Row],[Order Date]]</f>
        <v>6</v>
      </c>
      <c r="F764" t="s">
        <v>98</v>
      </c>
      <c r="G764" t="s">
        <v>3656</v>
      </c>
      <c r="H764" t="s">
        <v>2678</v>
      </c>
      <c r="I764" t="s">
        <v>65</v>
      </c>
      <c r="K764" t="s">
        <v>3657</v>
      </c>
      <c r="L764" t="s">
        <v>1077</v>
      </c>
      <c r="M764" t="s">
        <v>144</v>
      </c>
      <c r="N764" t="s">
        <v>145</v>
      </c>
      <c r="O764" t="s">
        <v>48</v>
      </c>
      <c r="P764" t="s">
        <v>1361</v>
      </c>
      <c r="Q764" t="s">
        <v>50</v>
      </c>
      <c r="R764" t="s">
        <v>336</v>
      </c>
      <c r="S764" t="s">
        <v>1362</v>
      </c>
      <c r="T764">
        <v>2063.4</v>
      </c>
      <c r="U764">
        <v>5</v>
      </c>
      <c r="V764">
        <v>0</v>
      </c>
      <c r="W764">
        <v>123.75</v>
      </c>
      <c r="X764">
        <v>216.99</v>
      </c>
      <c r="Y764" t="s">
        <v>164</v>
      </c>
      <c r="Z764">
        <f>Superstore_Sales[[#This Row],[Sales]]*Superstore_Sales[[#This Row],[Quantity]]</f>
        <v>10317</v>
      </c>
      <c r="AA764" s="3">
        <f>Superstore_Sales[[#This Row],[TotalSales]]*Superstore_Sales[[#This Row],[Discount]]/100</f>
        <v>0</v>
      </c>
      <c r="AB764" s="2">
        <f>Superstore_Sales[[#This Row],[TotalSales]]-Superstore_Sales[[#This Row],[Dis_amt]]-Superstore_Sales[[#This Row],[Shipping Cost]]</f>
        <v>10100.01</v>
      </c>
    </row>
    <row r="765" spans="1:28" x14ac:dyDescent="0.35">
      <c r="A765">
        <v>18948</v>
      </c>
      <c r="B765" t="s">
        <v>3658</v>
      </c>
      <c r="C765" s="1">
        <v>41930</v>
      </c>
      <c r="D765" s="1">
        <v>41932</v>
      </c>
      <c r="E765">
        <f>Superstore_Sales[[#This Row],[Ship Date]]-Superstore_Sales[[#This Row],[Order Date]]</f>
        <v>2</v>
      </c>
      <c r="F765" t="s">
        <v>40</v>
      </c>
      <c r="G765" t="s">
        <v>3659</v>
      </c>
      <c r="H765" t="s">
        <v>27</v>
      </c>
      <c r="I765" t="s">
        <v>28</v>
      </c>
      <c r="K765" t="s">
        <v>1753</v>
      </c>
      <c r="L765" t="s">
        <v>668</v>
      </c>
      <c r="M765" t="s">
        <v>155</v>
      </c>
      <c r="N765" t="s">
        <v>68</v>
      </c>
      <c r="O765" t="s">
        <v>69</v>
      </c>
      <c r="P765" t="s">
        <v>3660</v>
      </c>
      <c r="Q765" t="s">
        <v>35</v>
      </c>
      <c r="R765" t="s">
        <v>81</v>
      </c>
      <c r="S765" t="s">
        <v>3661</v>
      </c>
      <c r="T765">
        <v>632.04</v>
      </c>
      <c r="U765">
        <v>6</v>
      </c>
      <c r="V765">
        <v>0.15</v>
      </c>
      <c r="W765">
        <v>7.26</v>
      </c>
      <c r="X765">
        <v>216.8</v>
      </c>
      <c r="Y765" t="s">
        <v>53</v>
      </c>
      <c r="Z765">
        <f>Superstore_Sales[[#This Row],[Sales]]*Superstore_Sales[[#This Row],[Quantity]]</f>
        <v>3792.24</v>
      </c>
      <c r="AA765" s="3">
        <f>Superstore_Sales[[#This Row],[TotalSales]]*Superstore_Sales[[#This Row],[Discount]]/100</f>
        <v>5.6883599999999994</v>
      </c>
      <c r="AB765" s="2">
        <f>Superstore_Sales[[#This Row],[TotalSales]]-Superstore_Sales[[#This Row],[Dis_amt]]-Superstore_Sales[[#This Row],[Shipping Cost]]</f>
        <v>3569.7516399999995</v>
      </c>
    </row>
    <row r="766" spans="1:28" x14ac:dyDescent="0.35">
      <c r="A766">
        <v>28056</v>
      </c>
      <c r="B766" t="s">
        <v>3662</v>
      </c>
      <c r="C766" s="1">
        <v>42286</v>
      </c>
      <c r="D766" s="1">
        <v>42290</v>
      </c>
      <c r="E766">
        <f>Superstore_Sales[[#This Row],[Ship Date]]-Superstore_Sales[[#This Row],[Order Date]]</f>
        <v>4</v>
      </c>
      <c r="F766" t="s">
        <v>98</v>
      </c>
      <c r="G766" t="s">
        <v>3663</v>
      </c>
      <c r="H766" t="s">
        <v>2452</v>
      </c>
      <c r="I766" t="s">
        <v>28</v>
      </c>
      <c r="K766" t="s">
        <v>965</v>
      </c>
      <c r="L766" t="s">
        <v>965</v>
      </c>
      <c r="M766" t="s">
        <v>144</v>
      </c>
      <c r="N766" t="s">
        <v>145</v>
      </c>
      <c r="O766" t="s">
        <v>48</v>
      </c>
      <c r="P766" t="s">
        <v>3018</v>
      </c>
      <c r="Q766" t="s">
        <v>50</v>
      </c>
      <c r="R766" t="s">
        <v>336</v>
      </c>
      <c r="S766" t="s">
        <v>3019</v>
      </c>
      <c r="T766">
        <v>2906.4</v>
      </c>
      <c r="U766">
        <v>7</v>
      </c>
      <c r="V766">
        <v>0</v>
      </c>
      <c r="W766">
        <v>1220.52</v>
      </c>
      <c r="X766">
        <v>216.07</v>
      </c>
      <c r="Y766" t="s">
        <v>38</v>
      </c>
      <c r="Z766">
        <f>Superstore_Sales[[#This Row],[Sales]]*Superstore_Sales[[#This Row],[Quantity]]</f>
        <v>20344.8</v>
      </c>
      <c r="AA766" s="3">
        <f>Superstore_Sales[[#This Row],[TotalSales]]*Superstore_Sales[[#This Row],[Discount]]/100</f>
        <v>0</v>
      </c>
      <c r="AB766" s="2">
        <f>Superstore_Sales[[#This Row],[TotalSales]]-Superstore_Sales[[#This Row],[Dis_amt]]-Superstore_Sales[[#This Row],[Shipping Cost]]</f>
        <v>20128.73</v>
      </c>
    </row>
    <row r="767" spans="1:28" x14ac:dyDescent="0.35">
      <c r="A767">
        <v>22551</v>
      </c>
      <c r="B767" t="s">
        <v>3664</v>
      </c>
      <c r="C767" s="1">
        <v>42087</v>
      </c>
      <c r="D767" s="1">
        <v>42093</v>
      </c>
      <c r="E767">
        <f>Superstore_Sales[[#This Row],[Ship Date]]-Superstore_Sales[[#This Row],[Order Date]]</f>
        <v>6</v>
      </c>
      <c r="F767" t="s">
        <v>98</v>
      </c>
      <c r="G767" t="s">
        <v>3665</v>
      </c>
      <c r="H767" t="s">
        <v>2024</v>
      </c>
      <c r="I767" t="s">
        <v>28</v>
      </c>
      <c r="K767" t="s">
        <v>3666</v>
      </c>
      <c r="L767" t="s">
        <v>2009</v>
      </c>
      <c r="M767" t="s">
        <v>258</v>
      </c>
      <c r="N767" t="s">
        <v>118</v>
      </c>
      <c r="O767" t="s">
        <v>48</v>
      </c>
      <c r="P767" t="s">
        <v>237</v>
      </c>
      <c r="Q767" t="s">
        <v>50</v>
      </c>
      <c r="R767" t="s">
        <v>104</v>
      </c>
      <c r="S767" t="s">
        <v>238</v>
      </c>
      <c r="T767">
        <v>2572.7399999999998</v>
      </c>
      <c r="U767">
        <v>3</v>
      </c>
      <c r="V767">
        <v>0</v>
      </c>
      <c r="W767">
        <v>1080.54</v>
      </c>
      <c r="X767">
        <v>216.06</v>
      </c>
      <c r="Y767" t="s">
        <v>61</v>
      </c>
      <c r="Z767">
        <f>Superstore_Sales[[#This Row],[Sales]]*Superstore_Sales[[#This Row],[Quantity]]</f>
        <v>7718.2199999999993</v>
      </c>
      <c r="AA767" s="3">
        <f>Superstore_Sales[[#This Row],[TotalSales]]*Superstore_Sales[[#This Row],[Discount]]/100</f>
        <v>0</v>
      </c>
      <c r="AB767" s="2">
        <f>Superstore_Sales[[#This Row],[TotalSales]]-Superstore_Sales[[#This Row],[Dis_amt]]-Superstore_Sales[[#This Row],[Shipping Cost]]</f>
        <v>7502.1599999999989</v>
      </c>
    </row>
    <row r="768" spans="1:28" x14ac:dyDescent="0.35">
      <c r="A768">
        <v>34645</v>
      </c>
      <c r="B768" t="s">
        <v>3667</v>
      </c>
      <c r="C768" s="1">
        <v>42314</v>
      </c>
      <c r="D768" s="1">
        <v>42316</v>
      </c>
      <c r="E768">
        <f>Superstore_Sales[[#This Row],[Ship Date]]-Superstore_Sales[[#This Row],[Order Date]]</f>
        <v>2</v>
      </c>
      <c r="F768" t="s">
        <v>25</v>
      </c>
      <c r="G768" t="s">
        <v>3668</v>
      </c>
      <c r="H768" t="s">
        <v>3609</v>
      </c>
      <c r="I768" t="s">
        <v>43</v>
      </c>
      <c r="J768">
        <v>60623</v>
      </c>
      <c r="K768" t="s">
        <v>1719</v>
      </c>
      <c r="L768" t="s">
        <v>1720</v>
      </c>
      <c r="M768" t="s">
        <v>31</v>
      </c>
      <c r="N768" t="s">
        <v>32</v>
      </c>
      <c r="O768" t="s">
        <v>33</v>
      </c>
      <c r="P768" t="s">
        <v>3669</v>
      </c>
      <c r="Q768" t="s">
        <v>147</v>
      </c>
      <c r="R768" t="s">
        <v>384</v>
      </c>
      <c r="S768" t="s">
        <v>3670</v>
      </c>
      <c r="T768">
        <v>16.03</v>
      </c>
      <c r="U768">
        <v>5</v>
      </c>
      <c r="V768">
        <v>0.8</v>
      </c>
      <c r="W768">
        <v>-25.65</v>
      </c>
      <c r="X768">
        <v>2.16</v>
      </c>
      <c r="Y768" t="s">
        <v>53</v>
      </c>
      <c r="Z768">
        <f>Superstore_Sales[[#This Row],[Sales]]*Superstore_Sales[[#This Row],[Quantity]]</f>
        <v>80.150000000000006</v>
      </c>
      <c r="AA768" s="3">
        <f>Superstore_Sales[[#This Row],[TotalSales]]*Superstore_Sales[[#This Row],[Discount]]/100</f>
        <v>0.64119999999999999</v>
      </c>
      <c r="AB768" s="2">
        <f>Superstore_Sales[[#This Row],[TotalSales]]-Superstore_Sales[[#This Row],[Dis_amt]]-Superstore_Sales[[#This Row],[Shipping Cost]]</f>
        <v>77.348800000000011</v>
      </c>
    </row>
    <row r="769" spans="1:28" x14ac:dyDescent="0.35">
      <c r="A769">
        <v>18825</v>
      </c>
      <c r="B769" t="s">
        <v>3671</v>
      </c>
      <c r="C769" s="1">
        <v>41639</v>
      </c>
      <c r="D769" s="1">
        <v>41642</v>
      </c>
      <c r="E769">
        <f>Superstore_Sales[[#This Row],[Ship Date]]-Superstore_Sales[[#This Row],[Order Date]]</f>
        <v>3</v>
      </c>
      <c r="F769" t="s">
        <v>40</v>
      </c>
      <c r="G769" t="s">
        <v>3672</v>
      </c>
      <c r="H769" t="s">
        <v>2579</v>
      </c>
      <c r="I769" t="s">
        <v>28</v>
      </c>
      <c r="K769" t="s">
        <v>3673</v>
      </c>
      <c r="L769" t="s">
        <v>3673</v>
      </c>
      <c r="M769" t="s">
        <v>1748</v>
      </c>
      <c r="N769" t="s">
        <v>68</v>
      </c>
      <c r="O769" t="s">
        <v>69</v>
      </c>
      <c r="P769" t="s">
        <v>1500</v>
      </c>
      <c r="Q769" t="s">
        <v>147</v>
      </c>
      <c r="R769" t="s">
        <v>148</v>
      </c>
      <c r="S769" t="s">
        <v>1501</v>
      </c>
      <c r="T769">
        <v>1583.82</v>
      </c>
      <c r="U769">
        <v>3</v>
      </c>
      <c r="V769">
        <v>0</v>
      </c>
      <c r="W769">
        <v>126.63</v>
      </c>
      <c r="X769">
        <v>215.73</v>
      </c>
      <c r="Y769" t="s">
        <v>61</v>
      </c>
      <c r="Z769">
        <f>Superstore_Sales[[#This Row],[Sales]]*Superstore_Sales[[#This Row],[Quantity]]</f>
        <v>4751.46</v>
      </c>
      <c r="AA769" s="3">
        <f>Superstore_Sales[[#This Row],[TotalSales]]*Superstore_Sales[[#This Row],[Discount]]/100</f>
        <v>0</v>
      </c>
      <c r="AB769" s="2">
        <f>Superstore_Sales[[#This Row],[TotalSales]]-Superstore_Sales[[#This Row],[Dis_amt]]-Superstore_Sales[[#This Row],[Shipping Cost]]</f>
        <v>4535.7300000000005</v>
      </c>
    </row>
    <row r="770" spans="1:28" x14ac:dyDescent="0.35">
      <c r="A770">
        <v>36699</v>
      </c>
      <c r="B770" t="s">
        <v>3674</v>
      </c>
      <c r="C770" s="1">
        <v>42241</v>
      </c>
      <c r="D770" s="1">
        <v>42246</v>
      </c>
      <c r="E770">
        <f>Superstore_Sales[[#This Row],[Ship Date]]-Superstore_Sales[[#This Row],[Order Date]]</f>
        <v>5</v>
      </c>
      <c r="F770" t="s">
        <v>98</v>
      </c>
      <c r="G770" t="s">
        <v>3627</v>
      </c>
      <c r="H770" t="s">
        <v>3609</v>
      </c>
      <c r="I770" t="s">
        <v>43</v>
      </c>
      <c r="J770">
        <v>10024</v>
      </c>
      <c r="K770" t="s">
        <v>302</v>
      </c>
      <c r="L770" t="s">
        <v>248</v>
      </c>
      <c r="M770" t="s">
        <v>31</v>
      </c>
      <c r="N770" t="s">
        <v>249</v>
      </c>
      <c r="O770" t="s">
        <v>33</v>
      </c>
      <c r="P770" t="s">
        <v>3675</v>
      </c>
      <c r="Q770" t="s">
        <v>147</v>
      </c>
      <c r="R770" t="s">
        <v>384</v>
      </c>
      <c r="S770" t="s">
        <v>3676</v>
      </c>
      <c r="T770">
        <v>24.67</v>
      </c>
      <c r="U770">
        <v>4</v>
      </c>
      <c r="V770">
        <v>0.2</v>
      </c>
      <c r="W770">
        <v>7.71</v>
      </c>
      <c r="X770">
        <v>1.62</v>
      </c>
      <c r="Y770" t="s">
        <v>61</v>
      </c>
      <c r="Z770">
        <f>Superstore_Sales[[#This Row],[Sales]]*Superstore_Sales[[#This Row],[Quantity]]</f>
        <v>98.68</v>
      </c>
      <c r="AA770" s="3">
        <f>Superstore_Sales[[#This Row],[TotalSales]]*Superstore_Sales[[#This Row],[Discount]]/100</f>
        <v>0.19736000000000004</v>
      </c>
      <c r="AB770" s="2">
        <f>Superstore_Sales[[#This Row],[TotalSales]]-Superstore_Sales[[#This Row],[Dis_amt]]-Superstore_Sales[[#This Row],[Shipping Cost]]</f>
        <v>96.862639999999999</v>
      </c>
    </row>
    <row r="771" spans="1:28" x14ac:dyDescent="0.35">
      <c r="A771">
        <v>30148</v>
      </c>
      <c r="B771" t="s">
        <v>3677</v>
      </c>
      <c r="C771" s="1">
        <v>42103</v>
      </c>
      <c r="D771" s="1">
        <v>42107</v>
      </c>
      <c r="E771">
        <f>Superstore_Sales[[#This Row],[Ship Date]]-Superstore_Sales[[#This Row],[Order Date]]</f>
        <v>4</v>
      </c>
      <c r="F771" t="s">
        <v>98</v>
      </c>
      <c r="G771" t="s">
        <v>3678</v>
      </c>
      <c r="H771" t="s">
        <v>3679</v>
      </c>
      <c r="I771" t="s">
        <v>28</v>
      </c>
      <c r="K771" t="s">
        <v>615</v>
      </c>
      <c r="L771" t="s">
        <v>45</v>
      </c>
      <c r="M771" t="s">
        <v>46</v>
      </c>
      <c r="N771" t="s">
        <v>47</v>
      </c>
      <c r="O771" t="s">
        <v>48</v>
      </c>
      <c r="P771" t="s">
        <v>366</v>
      </c>
      <c r="Q771" t="s">
        <v>50</v>
      </c>
      <c r="R771" t="s">
        <v>51</v>
      </c>
      <c r="S771" t="s">
        <v>367</v>
      </c>
      <c r="T771">
        <v>1656.72</v>
      </c>
      <c r="U771">
        <v>4</v>
      </c>
      <c r="V771">
        <v>0.1</v>
      </c>
      <c r="W771">
        <v>-110.52</v>
      </c>
      <c r="X771">
        <v>215.54</v>
      </c>
      <c r="Y771" t="s">
        <v>38</v>
      </c>
      <c r="Z771">
        <f>Superstore_Sales[[#This Row],[Sales]]*Superstore_Sales[[#This Row],[Quantity]]</f>
        <v>6626.88</v>
      </c>
      <c r="AA771" s="3">
        <f>Superstore_Sales[[#This Row],[TotalSales]]*Superstore_Sales[[#This Row],[Discount]]/100</f>
        <v>6.6268800000000008</v>
      </c>
      <c r="AB771" s="2">
        <f>Superstore_Sales[[#This Row],[TotalSales]]-Superstore_Sales[[#This Row],[Dis_amt]]-Superstore_Sales[[#This Row],[Shipping Cost]]</f>
        <v>6404.7131200000003</v>
      </c>
    </row>
    <row r="772" spans="1:28" x14ac:dyDescent="0.35">
      <c r="A772">
        <v>23432</v>
      </c>
      <c r="B772" t="s">
        <v>3680</v>
      </c>
      <c r="C772" s="1">
        <v>42281</v>
      </c>
      <c r="D772" s="1">
        <v>42282</v>
      </c>
      <c r="E772">
        <f>Superstore_Sales[[#This Row],[Ship Date]]-Superstore_Sales[[#This Row],[Order Date]]</f>
        <v>1</v>
      </c>
      <c r="F772" t="s">
        <v>25</v>
      </c>
      <c r="G772" t="s">
        <v>3681</v>
      </c>
      <c r="H772" t="s">
        <v>3682</v>
      </c>
      <c r="I772" t="s">
        <v>28</v>
      </c>
      <c r="K772" t="s">
        <v>3683</v>
      </c>
      <c r="L772" t="s">
        <v>45</v>
      </c>
      <c r="M772" t="s">
        <v>46</v>
      </c>
      <c r="N772" t="s">
        <v>47</v>
      </c>
      <c r="O772" t="s">
        <v>48</v>
      </c>
      <c r="P772" t="s">
        <v>1648</v>
      </c>
      <c r="Q772" t="s">
        <v>35</v>
      </c>
      <c r="R772" t="s">
        <v>81</v>
      </c>
      <c r="S772" t="s">
        <v>1649</v>
      </c>
      <c r="T772">
        <v>2015.5</v>
      </c>
      <c r="U772">
        <v>7</v>
      </c>
      <c r="V772">
        <v>0.1</v>
      </c>
      <c r="W772">
        <v>850.84</v>
      </c>
      <c r="X772">
        <v>215.4</v>
      </c>
      <c r="Y772" t="s">
        <v>61</v>
      </c>
      <c r="Z772">
        <f>Superstore_Sales[[#This Row],[Sales]]*Superstore_Sales[[#This Row],[Quantity]]</f>
        <v>14108.5</v>
      </c>
      <c r="AA772" s="3">
        <f>Superstore_Sales[[#This Row],[TotalSales]]*Superstore_Sales[[#This Row],[Discount]]/100</f>
        <v>14.108500000000001</v>
      </c>
      <c r="AB772" s="2">
        <f>Superstore_Sales[[#This Row],[TotalSales]]-Superstore_Sales[[#This Row],[Dis_amt]]-Superstore_Sales[[#This Row],[Shipping Cost]]</f>
        <v>13878.9915</v>
      </c>
    </row>
    <row r="773" spans="1:28" x14ac:dyDescent="0.35">
      <c r="A773">
        <v>18041</v>
      </c>
      <c r="B773" t="s">
        <v>3684</v>
      </c>
      <c r="C773" s="1">
        <v>41588</v>
      </c>
      <c r="D773" s="1">
        <v>41595</v>
      </c>
      <c r="E773">
        <f>Superstore_Sales[[#This Row],[Ship Date]]-Superstore_Sales[[#This Row],[Order Date]]</f>
        <v>7</v>
      </c>
      <c r="F773" t="s">
        <v>98</v>
      </c>
      <c r="G773" t="s">
        <v>3685</v>
      </c>
      <c r="H773" t="s">
        <v>508</v>
      </c>
      <c r="I773" t="s">
        <v>28</v>
      </c>
      <c r="K773" t="s">
        <v>1672</v>
      </c>
      <c r="L773" t="s">
        <v>1425</v>
      </c>
      <c r="M773" t="s">
        <v>463</v>
      </c>
      <c r="N773" t="s">
        <v>171</v>
      </c>
      <c r="O773" t="s">
        <v>69</v>
      </c>
      <c r="P773" t="s">
        <v>3480</v>
      </c>
      <c r="Q773" t="s">
        <v>35</v>
      </c>
      <c r="R773" t="s">
        <v>275</v>
      </c>
      <c r="S773" t="s">
        <v>3481</v>
      </c>
      <c r="T773">
        <v>2219.1799999999998</v>
      </c>
      <c r="U773">
        <v>8</v>
      </c>
      <c r="V773">
        <v>0.1</v>
      </c>
      <c r="W773">
        <v>24.62</v>
      </c>
      <c r="X773">
        <v>215.35</v>
      </c>
      <c r="Y773" t="s">
        <v>61</v>
      </c>
      <c r="Z773">
        <f>Superstore_Sales[[#This Row],[Sales]]*Superstore_Sales[[#This Row],[Quantity]]</f>
        <v>17753.439999999999</v>
      </c>
      <c r="AA773" s="3">
        <f>Superstore_Sales[[#This Row],[TotalSales]]*Superstore_Sales[[#This Row],[Discount]]/100</f>
        <v>17.753440000000001</v>
      </c>
      <c r="AB773" s="2">
        <f>Superstore_Sales[[#This Row],[TotalSales]]-Superstore_Sales[[#This Row],[Dis_amt]]-Superstore_Sales[[#This Row],[Shipping Cost]]</f>
        <v>17520.33656</v>
      </c>
    </row>
    <row r="774" spans="1:28" x14ac:dyDescent="0.35">
      <c r="A774">
        <v>31072</v>
      </c>
      <c r="B774" t="s">
        <v>3686</v>
      </c>
      <c r="C774" s="1">
        <v>42294</v>
      </c>
      <c r="D774" s="1">
        <v>42297</v>
      </c>
      <c r="E774">
        <f>Superstore_Sales[[#This Row],[Ship Date]]-Superstore_Sales[[#This Row],[Order Date]]</f>
        <v>3</v>
      </c>
      <c r="F774" t="s">
        <v>40</v>
      </c>
      <c r="G774" t="s">
        <v>3687</v>
      </c>
      <c r="H774" t="s">
        <v>3688</v>
      </c>
      <c r="I774" t="s">
        <v>43</v>
      </c>
      <c r="K774" t="s">
        <v>3689</v>
      </c>
      <c r="L774" t="s">
        <v>3643</v>
      </c>
      <c r="M774" t="s">
        <v>94</v>
      </c>
      <c r="N774" t="s">
        <v>47</v>
      </c>
      <c r="O774" t="s">
        <v>48</v>
      </c>
      <c r="P774" t="s">
        <v>178</v>
      </c>
      <c r="Q774" t="s">
        <v>35</v>
      </c>
      <c r="R774" t="s">
        <v>81</v>
      </c>
      <c r="S774" t="s">
        <v>179</v>
      </c>
      <c r="T774">
        <v>2533.92</v>
      </c>
      <c r="U774">
        <v>8</v>
      </c>
      <c r="V774">
        <v>0</v>
      </c>
      <c r="W774">
        <v>278.64</v>
      </c>
      <c r="X774">
        <v>215.33</v>
      </c>
      <c r="Y774" t="s">
        <v>61</v>
      </c>
      <c r="Z774">
        <f>Superstore_Sales[[#This Row],[Sales]]*Superstore_Sales[[#This Row],[Quantity]]</f>
        <v>20271.36</v>
      </c>
      <c r="AA774" s="3">
        <f>Superstore_Sales[[#This Row],[TotalSales]]*Superstore_Sales[[#This Row],[Discount]]/100</f>
        <v>0</v>
      </c>
      <c r="AB774" s="2">
        <f>Superstore_Sales[[#This Row],[TotalSales]]-Superstore_Sales[[#This Row],[Dis_amt]]-Superstore_Sales[[#This Row],[Shipping Cost]]</f>
        <v>20056.03</v>
      </c>
    </row>
    <row r="775" spans="1:28" x14ac:dyDescent="0.35">
      <c r="A775">
        <v>4203</v>
      </c>
      <c r="B775" t="s">
        <v>3690</v>
      </c>
      <c r="C775" s="1">
        <v>42342</v>
      </c>
      <c r="D775" s="1">
        <v>42345</v>
      </c>
      <c r="E775">
        <f>Superstore_Sales[[#This Row],[Ship Date]]-Superstore_Sales[[#This Row],[Order Date]]</f>
        <v>3</v>
      </c>
      <c r="F775" t="s">
        <v>40</v>
      </c>
      <c r="G775" t="s">
        <v>3691</v>
      </c>
      <c r="H775" t="s">
        <v>3692</v>
      </c>
      <c r="I775" t="s">
        <v>28</v>
      </c>
      <c r="K775" t="s">
        <v>3693</v>
      </c>
      <c r="L775" t="s">
        <v>3442</v>
      </c>
      <c r="M775" t="s">
        <v>219</v>
      </c>
      <c r="N775" t="s">
        <v>220</v>
      </c>
      <c r="O775" t="s">
        <v>136</v>
      </c>
      <c r="P775" t="s">
        <v>2150</v>
      </c>
      <c r="Q775" t="s">
        <v>50</v>
      </c>
      <c r="R775" t="s">
        <v>104</v>
      </c>
      <c r="S775" t="s">
        <v>2151</v>
      </c>
      <c r="T775">
        <v>1410.4</v>
      </c>
      <c r="U775">
        <v>5</v>
      </c>
      <c r="V775">
        <v>0.2</v>
      </c>
      <c r="W775">
        <v>-88.2</v>
      </c>
      <c r="X775">
        <v>215.12799999999999</v>
      </c>
      <c r="Y775" t="s">
        <v>53</v>
      </c>
      <c r="Z775">
        <f>Superstore_Sales[[#This Row],[Sales]]*Superstore_Sales[[#This Row],[Quantity]]</f>
        <v>7052</v>
      </c>
      <c r="AA775" s="3">
        <f>Superstore_Sales[[#This Row],[TotalSales]]*Superstore_Sales[[#This Row],[Discount]]/100</f>
        <v>14.104000000000001</v>
      </c>
      <c r="AB775" s="2">
        <f>Superstore_Sales[[#This Row],[TotalSales]]-Superstore_Sales[[#This Row],[Dis_amt]]-Superstore_Sales[[#This Row],[Shipping Cost]]</f>
        <v>6822.768</v>
      </c>
    </row>
    <row r="776" spans="1:28" x14ac:dyDescent="0.35">
      <c r="A776">
        <v>24711</v>
      </c>
      <c r="B776" t="s">
        <v>3694</v>
      </c>
      <c r="C776" s="1">
        <v>41572</v>
      </c>
      <c r="D776" s="1">
        <v>41572</v>
      </c>
      <c r="E776">
        <f>Superstore_Sales[[#This Row],[Ship Date]]-Superstore_Sales[[#This Row],[Order Date]]</f>
        <v>0</v>
      </c>
      <c r="F776" t="s">
        <v>73</v>
      </c>
      <c r="G776" t="s">
        <v>3695</v>
      </c>
      <c r="H776" t="s">
        <v>2109</v>
      </c>
      <c r="I776" t="s">
        <v>28</v>
      </c>
      <c r="K776" t="s">
        <v>3696</v>
      </c>
      <c r="L776" t="s">
        <v>3697</v>
      </c>
      <c r="M776" t="s">
        <v>1155</v>
      </c>
      <c r="N776" t="s">
        <v>145</v>
      </c>
      <c r="O776" t="s">
        <v>48</v>
      </c>
      <c r="P776" t="s">
        <v>3698</v>
      </c>
      <c r="Q776" t="s">
        <v>50</v>
      </c>
      <c r="R776" t="s">
        <v>104</v>
      </c>
      <c r="S776" t="s">
        <v>3699</v>
      </c>
      <c r="T776">
        <v>1773.72</v>
      </c>
      <c r="U776">
        <v>5</v>
      </c>
      <c r="V776">
        <v>0.2</v>
      </c>
      <c r="W776">
        <v>44.22</v>
      </c>
      <c r="X776">
        <v>215</v>
      </c>
      <c r="Y776" t="s">
        <v>38</v>
      </c>
      <c r="Z776">
        <f>Superstore_Sales[[#This Row],[Sales]]*Superstore_Sales[[#This Row],[Quantity]]</f>
        <v>8868.6</v>
      </c>
      <c r="AA776" s="3">
        <f>Superstore_Sales[[#This Row],[TotalSales]]*Superstore_Sales[[#This Row],[Discount]]/100</f>
        <v>17.737200000000001</v>
      </c>
      <c r="AB776" s="2">
        <f>Superstore_Sales[[#This Row],[TotalSales]]-Superstore_Sales[[#This Row],[Dis_amt]]-Superstore_Sales[[#This Row],[Shipping Cost]]</f>
        <v>8635.8628000000008</v>
      </c>
    </row>
    <row r="777" spans="1:28" x14ac:dyDescent="0.35">
      <c r="A777">
        <v>50607</v>
      </c>
      <c r="B777" t="s">
        <v>3700</v>
      </c>
      <c r="C777" s="1">
        <v>41172</v>
      </c>
      <c r="D777" s="1">
        <v>41177</v>
      </c>
      <c r="E777">
        <f>Superstore_Sales[[#This Row],[Ship Date]]-Superstore_Sales[[#This Row],[Order Date]]</f>
        <v>5</v>
      </c>
      <c r="F777" t="s">
        <v>98</v>
      </c>
      <c r="G777" t="s">
        <v>3701</v>
      </c>
      <c r="H777" t="s">
        <v>3411</v>
      </c>
      <c r="I777" t="s">
        <v>28</v>
      </c>
      <c r="K777" t="s">
        <v>3702</v>
      </c>
      <c r="L777" t="s">
        <v>3703</v>
      </c>
      <c r="M777" t="s">
        <v>3704</v>
      </c>
      <c r="N777" t="s">
        <v>78</v>
      </c>
      <c r="O777" t="s">
        <v>79</v>
      </c>
      <c r="P777" t="s">
        <v>3705</v>
      </c>
      <c r="Q777" t="s">
        <v>35</v>
      </c>
      <c r="R777" t="s">
        <v>36</v>
      </c>
      <c r="S777" t="s">
        <v>3706</v>
      </c>
      <c r="T777">
        <v>1377.9</v>
      </c>
      <c r="U777">
        <v>10</v>
      </c>
      <c r="V777">
        <v>0</v>
      </c>
      <c r="W777">
        <v>289.2</v>
      </c>
      <c r="X777">
        <v>214.97</v>
      </c>
      <c r="Y777" t="s">
        <v>38</v>
      </c>
      <c r="Z777">
        <f>Superstore_Sales[[#This Row],[Sales]]*Superstore_Sales[[#This Row],[Quantity]]</f>
        <v>13779</v>
      </c>
      <c r="AA777" s="3">
        <f>Superstore_Sales[[#This Row],[TotalSales]]*Superstore_Sales[[#This Row],[Discount]]/100</f>
        <v>0</v>
      </c>
      <c r="AB777" s="2">
        <f>Superstore_Sales[[#This Row],[TotalSales]]-Superstore_Sales[[#This Row],[Dis_amt]]-Superstore_Sales[[#This Row],[Shipping Cost]]</f>
        <v>13564.03</v>
      </c>
    </row>
    <row r="778" spans="1:28" x14ac:dyDescent="0.35">
      <c r="A778">
        <v>1815</v>
      </c>
      <c r="B778" t="s">
        <v>3707</v>
      </c>
      <c r="C778" s="1">
        <v>41223</v>
      </c>
      <c r="D778" s="1">
        <v>41230</v>
      </c>
      <c r="E778">
        <f>Superstore_Sales[[#This Row],[Ship Date]]-Superstore_Sales[[#This Row],[Order Date]]</f>
        <v>7</v>
      </c>
      <c r="F778" t="s">
        <v>98</v>
      </c>
      <c r="G778" t="s">
        <v>3708</v>
      </c>
      <c r="H778" t="s">
        <v>1814</v>
      </c>
      <c r="I778" t="s">
        <v>28</v>
      </c>
      <c r="K778" t="s">
        <v>657</v>
      </c>
      <c r="L778" t="s">
        <v>657</v>
      </c>
      <c r="M778" t="s">
        <v>219</v>
      </c>
      <c r="N778" t="s">
        <v>220</v>
      </c>
      <c r="O778" t="s">
        <v>136</v>
      </c>
      <c r="P778" t="s">
        <v>328</v>
      </c>
      <c r="Q778" t="s">
        <v>35</v>
      </c>
      <c r="R778" t="s">
        <v>36</v>
      </c>
      <c r="S778" t="s">
        <v>329</v>
      </c>
      <c r="T778">
        <v>2582.16</v>
      </c>
      <c r="U778">
        <v>6</v>
      </c>
      <c r="V778">
        <v>0</v>
      </c>
      <c r="W778">
        <v>516.36</v>
      </c>
      <c r="X778">
        <v>214.88300000000001</v>
      </c>
      <c r="Y778" t="s">
        <v>61</v>
      </c>
      <c r="Z778">
        <f>Superstore_Sales[[#This Row],[Sales]]*Superstore_Sales[[#This Row],[Quantity]]</f>
        <v>15492.96</v>
      </c>
      <c r="AA778" s="3">
        <f>Superstore_Sales[[#This Row],[TotalSales]]*Superstore_Sales[[#This Row],[Discount]]/100</f>
        <v>0</v>
      </c>
      <c r="AB778" s="2">
        <f>Superstore_Sales[[#This Row],[TotalSales]]-Superstore_Sales[[#This Row],[Dis_amt]]-Superstore_Sales[[#This Row],[Shipping Cost]]</f>
        <v>15278.076999999999</v>
      </c>
    </row>
    <row r="779" spans="1:28" x14ac:dyDescent="0.35">
      <c r="A779">
        <v>36275</v>
      </c>
      <c r="B779" t="s">
        <v>3709</v>
      </c>
      <c r="C779" s="1">
        <v>41615</v>
      </c>
      <c r="D779" s="1">
        <v>41617</v>
      </c>
      <c r="E779">
        <f>Superstore_Sales[[#This Row],[Ship Date]]-Superstore_Sales[[#This Row],[Order Date]]</f>
        <v>2</v>
      </c>
      <c r="F779" t="s">
        <v>25</v>
      </c>
      <c r="G779" t="s">
        <v>3710</v>
      </c>
      <c r="H779" t="s">
        <v>2927</v>
      </c>
      <c r="I779" t="s">
        <v>28</v>
      </c>
      <c r="J779">
        <v>10024</v>
      </c>
      <c r="K779" t="s">
        <v>302</v>
      </c>
      <c r="L779" t="s">
        <v>248</v>
      </c>
      <c r="M779" t="s">
        <v>31</v>
      </c>
      <c r="N779" t="s">
        <v>249</v>
      </c>
      <c r="O779" t="s">
        <v>33</v>
      </c>
      <c r="P779" t="s">
        <v>3711</v>
      </c>
      <c r="Q779" t="s">
        <v>35</v>
      </c>
      <c r="R779" t="s">
        <v>36</v>
      </c>
      <c r="S779" t="s">
        <v>3712</v>
      </c>
      <c r="T779">
        <v>773.94</v>
      </c>
      <c r="U779">
        <v>6</v>
      </c>
      <c r="V779">
        <v>0</v>
      </c>
      <c r="W779">
        <v>224.44</v>
      </c>
      <c r="X779">
        <v>121.91</v>
      </c>
      <c r="Y779" t="s">
        <v>61</v>
      </c>
      <c r="Z779">
        <f>Superstore_Sales[[#This Row],[Sales]]*Superstore_Sales[[#This Row],[Quantity]]</f>
        <v>4643.6400000000003</v>
      </c>
      <c r="AA779" s="3">
        <f>Superstore_Sales[[#This Row],[TotalSales]]*Superstore_Sales[[#This Row],[Discount]]/100</f>
        <v>0</v>
      </c>
      <c r="AB779" s="2">
        <f>Superstore_Sales[[#This Row],[TotalSales]]-Superstore_Sales[[#This Row],[Dis_amt]]-Superstore_Sales[[#This Row],[Shipping Cost]]</f>
        <v>4521.7300000000005</v>
      </c>
    </row>
    <row r="780" spans="1:28" x14ac:dyDescent="0.35">
      <c r="A780">
        <v>16407</v>
      </c>
      <c r="B780" t="s">
        <v>3713</v>
      </c>
      <c r="C780" s="1">
        <v>41346</v>
      </c>
      <c r="D780" s="1">
        <v>41348</v>
      </c>
      <c r="E780">
        <f>Superstore_Sales[[#This Row],[Ship Date]]-Superstore_Sales[[#This Row],[Order Date]]</f>
        <v>2</v>
      </c>
      <c r="F780" t="s">
        <v>40</v>
      </c>
      <c r="G780" t="s">
        <v>3714</v>
      </c>
      <c r="H780" t="s">
        <v>2275</v>
      </c>
      <c r="I780" t="s">
        <v>43</v>
      </c>
      <c r="K780" t="s">
        <v>3715</v>
      </c>
      <c r="L780" t="s">
        <v>546</v>
      </c>
      <c r="M780" t="s">
        <v>155</v>
      </c>
      <c r="N780" t="s">
        <v>68</v>
      </c>
      <c r="O780" t="s">
        <v>69</v>
      </c>
      <c r="P780" t="s">
        <v>3333</v>
      </c>
      <c r="Q780" t="s">
        <v>35</v>
      </c>
      <c r="R780" t="s">
        <v>36</v>
      </c>
      <c r="S780" t="s">
        <v>3334</v>
      </c>
      <c r="T780">
        <v>1257.46</v>
      </c>
      <c r="U780">
        <v>8</v>
      </c>
      <c r="V780">
        <v>0.15</v>
      </c>
      <c r="W780">
        <v>-29.66</v>
      </c>
      <c r="X780">
        <v>214.54</v>
      </c>
      <c r="Y780" t="s">
        <v>38</v>
      </c>
      <c r="Z780">
        <f>Superstore_Sales[[#This Row],[Sales]]*Superstore_Sales[[#This Row],[Quantity]]</f>
        <v>10059.68</v>
      </c>
      <c r="AA780" s="3">
        <f>Superstore_Sales[[#This Row],[TotalSales]]*Superstore_Sales[[#This Row],[Discount]]/100</f>
        <v>15.08952</v>
      </c>
      <c r="AB780" s="2">
        <f>Superstore_Sales[[#This Row],[TotalSales]]-Superstore_Sales[[#This Row],[Dis_amt]]-Superstore_Sales[[#This Row],[Shipping Cost]]</f>
        <v>9830.0504799999999</v>
      </c>
    </row>
    <row r="781" spans="1:28" x14ac:dyDescent="0.35">
      <c r="A781">
        <v>33778</v>
      </c>
      <c r="B781" t="s">
        <v>3716</v>
      </c>
      <c r="C781" s="1">
        <v>42363</v>
      </c>
      <c r="D781" s="1">
        <v>42370</v>
      </c>
      <c r="E781">
        <f>Superstore_Sales[[#This Row],[Ship Date]]-Superstore_Sales[[#This Row],[Order Date]]</f>
        <v>7</v>
      </c>
      <c r="F781" t="s">
        <v>98</v>
      </c>
      <c r="G781" t="s">
        <v>3717</v>
      </c>
      <c r="H781" t="s">
        <v>2927</v>
      </c>
      <c r="I781" t="s">
        <v>28</v>
      </c>
      <c r="J781">
        <v>98105</v>
      </c>
      <c r="K781" t="s">
        <v>108</v>
      </c>
      <c r="L781" t="s">
        <v>109</v>
      </c>
      <c r="M781" t="s">
        <v>31</v>
      </c>
      <c r="N781" t="s">
        <v>110</v>
      </c>
      <c r="O781" t="s">
        <v>33</v>
      </c>
      <c r="P781" t="s">
        <v>3718</v>
      </c>
      <c r="Q781" t="s">
        <v>147</v>
      </c>
      <c r="R781" t="s">
        <v>162</v>
      </c>
      <c r="S781" t="s">
        <v>3719</v>
      </c>
      <c r="T781">
        <v>1003.62</v>
      </c>
      <c r="U781">
        <v>6</v>
      </c>
      <c r="V781">
        <v>0</v>
      </c>
      <c r="W781">
        <v>0</v>
      </c>
      <c r="X781">
        <v>121.83</v>
      </c>
      <c r="Y781" t="s">
        <v>164</v>
      </c>
      <c r="Z781">
        <f>Superstore_Sales[[#This Row],[Sales]]*Superstore_Sales[[#This Row],[Quantity]]</f>
        <v>6021.72</v>
      </c>
      <c r="AA781" s="3">
        <f>Superstore_Sales[[#This Row],[TotalSales]]*Superstore_Sales[[#This Row],[Discount]]/100</f>
        <v>0</v>
      </c>
      <c r="AB781" s="2">
        <f>Superstore_Sales[[#This Row],[TotalSales]]-Superstore_Sales[[#This Row],[Dis_amt]]-Superstore_Sales[[#This Row],[Shipping Cost]]</f>
        <v>5899.89</v>
      </c>
    </row>
    <row r="782" spans="1:28" x14ac:dyDescent="0.35">
      <c r="A782">
        <v>767</v>
      </c>
      <c r="B782" t="s">
        <v>3720</v>
      </c>
      <c r="C782" s="1">
        <v>41271</v>
      </c>
      <c r="D782" s="1">
        <v>41273</v>
      </c>
      <c r="E782">
        <f>Superstore_Sales[[#This Row],[Ship Date]]-Superstore_Sales[[#This Row],[Order Date]]</f>
        <v>2</v>
      </c>
      <c r="F782" t="s">
        <v>40</v>
      </c>
      <c r="G782" t="s">
        <v>3721</v>
      </c>
      <c r="H782" t="s">
        <v>3722</v>
      </c>
      <c r="I782" t="s">
        <v>28</v>
      </c>
      <c r="K782" t="s">
        <v>1462</v>
      </c>
      <c r="L782" t="s">
        <v>1462</v>
      </c>
      <c r="M782" t="s">
        <v>491</v>
      </c>
      <c r="N782" t="s">
        <v>220</v>
      </c>
      <c r="O782" t="s">
        <v>136</v>
      </c>
      <c r="P782" t="s">
        <v>95</v>
      </c>
      <c r="Q782" t="s">
        <v>50</v>
      </c>
      <c r="R782" t="s">
        <v>51</v>
      </c>
      <c r="S782" t="s">
        <v>96</v>
      </c>
      <c r="T782">
        <v>2429.44</v>
      </c>
      <c r="U782">
        <v>8</v>
      </c>
      <c r="V782">
        <v>0</v>
      </c>
      <c r="W782">
        <v>534.4</v>
      </c>
      <c r="X782">
        <v>214.422</v>
      </c>
      <c r="Y782" t="s">
        <v>61</v>
      </c>
      <c r="Z782">
        <f>Superstore_Sales[[#This Row],[Sales]]*Superstore_Sales[[#This Row],[Quantity]]</f>
        <v>19435.52</v>
      </c>
      <c r="AA782" s="3">
        <f>Superstore_Sales[[#This Row],[TotalSales]]*Superstore_Sales[[#This Row],[Discount]]/100</f>
        <v>0</v>
      </c>
      <c r="AB782" s="2">
        <f>Superstore_Sales[[#This Row],[TotalSales]]-Superstore_Sales[[#This Row],[Dis_amt]]-Superstore_Sales[[#This Row],[Shipping Cost]]</f>
        <v>19221.098000000002</v>
      </c>
    </row>
    <row r="783" spans="1:28" x14ac:dyDescent="0.35">
      <c r="A783">
        <v>40387</v>
      </c>
      <c r="B783" t="s">
        <v>3723</v>
      </c>
      <c r="C783" s="1">
        <v>42291</v>
      </c>
      <c r="D783" s="1">
        <v>42293</v>
      </c>
      <c r="E783">
        <f>Superstore_Sales[[#This Row],[Ship Date]]-Superstore_Sales[[#This Row],[Order Date]]</f>
        <v>2</v>
      </c>
      <c r="F783" t="s">
        <v>25</v>
      </c>
      <c r="G783" t="s">
        <v>3724</v>
      </c>
      <c r="H783" t="s">
        <v>2927</v>
      </c>
      <c r="I783" t="s">
        <v>28</v>
      </c>
      <c r="J783">
        <v>40214</v>
      </c>
      <c r="K783" t="s">
        <v>2593</v>
      </c>
      <c r="L783" t="s">
        <v>2032</v>
      </c>
      <c r="M783" t="s">
        <v>31</v>
      </c>
      <c r="N783" t="s">
        <v>351</v>
      </c>
      <c r="O783" t="s">
        <v>33</v>
      </c>
      <c r="P783" t="s">
        <v>3725</v>
      </c>
      <c r="Q783" t="s">
        <v>147</v>
      </c>
      <c r="R783" t="s">
        <v>162</v>
      </c>
      <c r="S783" t="s">
        <v>3726</v>
      </c>
      <c r="T783">
        <v>348.56</v>
      </c>
      <c r="U783">
        <v>8</v>
      </c>
      <c r="V783">
        <v>0</v>
      </c>
      <c r="W783">
        <v>104.57</v>
      </c>
      <c r="X783">
        <v>116.69</v>
      </c>
      <c r="Y783" t="s">
        <v>38</v>
      </c>
      <c r="Z783">
        <f>Superstore_Sales[[#This Row],[Sales]]*Superstore_Sales[[#This Row],[Quantity]]</f>
        <v>2788.48</v>
      </c>
      <c r="AA783" s="3">
        <f>Superstore_Sales[[#This Row],[TotalSales]]*Superstore_Sales[[#This Row],[Discount]]/100</f>
        <v>0</v>
      </c>
      <c r="AB783" s="2">
        <f>Superstore_Sales[[#This Row],[TotalSales]]-Superstore_Sales[[#This Row],[Dis_amt]]-Superstore_Sales[[#This Row],[Shipping Cost]]</f>
        <v>2671.79</v>
      </c>
    </row>
    <row r="784" spans="1:28" x14ac:dyDescent="0.35">
      <c r="A784">
        <v>15424</v>
      </c>
      <c r="B784" t="s">
        <v>3727</v>
      </c>
      <c r="C784" s="1">
        <v>42032</v>
      </c>
      <c r="D784" s="1">
        <v>42039</v>
      </c>
      <c r="E784">
        <f>Superstore_Sales[[#This Row],[Ship Date]]-Superstore_Sales[[#This Row],[Order Date]]</f>
        <v>7</v>
      </c>
      <c r="F784" t="s">
        <v>98</v>
      </c>
      <c r="G784" t="s">
        <v>3728</v>
      </c>
      <c r="H784" t="s">
        <v>3729</v>
      </c>
      <c r="I784" t="s">
        <v>28</v>
      </c>
      <c r="K784" t="s">
        <v>3730</v>
      </c>
      <c r="L784" t="s">
        <v>1772</v>
      </c>
      <c r="M784" t="s">
        <v>155</v>
      </c>
      <c r="N784" t="s">
        <v>68</v>
      </c>
      <c r="O784" t="s">
        <v>69</v>
      </c>
      <c r="P784" t="s">
        <v>2903</v>
      </c>
      <c r="Q784" t="s">
        <v>50</v>
      </c>
      <c r="R784" t="s">
        <v>336</v>
      </c>
      <c r="S784" t="s">
        <v>2904</v>
      </c>
      <c r="T784">
        <v>977.02</v>
      </c>
      <c r="U784">
        <v>3</v>
      </c>
      <c r="V784">
        <v>0.1</v>
      </c>
      <c r="W784">
        <v>271.33</v>
      </c>
      <c r="X784">
        <v>214.21</v>
      </c>
      <c r="Y784" t="s">
        <v>164</v>
      </c>
      <c r="Z784">
        <f>Superstore_Sales[[#This Row],[Sales]]*Superstore_Sales[[#This Row],[Quantity]]</f>
        <v>2931.06</v>
      </c>
      <c r="AA784" s="3">
        <f>Superstore_Sales[[#This Row],[TotalSales]]*Superstore_Sales[[#This Row],[Discount]]/100</f>
        <v>2.93106</v>
      </c>
      <c r="AB784" s="2">
        <f>Superstore_Sales[[#This Row],[TotalSales]]-Superstore_Sales[[#This Row],[Dis_amt]]-Superstore_Sales[[#This Row],[Shipping Cost]]</f>
        <v>2713.91894</v>
      </c>
    </row>
    <row r="785" spans="1:28" x14ac:dyDescent="0.35">
      <c r="A785">
        <v>15440</v>
      </c>
      <c r="B785" t="s">
        <v>3731</v>
      </c>
      <c r="C785" s="1">
        <v>41956</v>
      </c>
      <c r="D785" s="1">
        <v>41961</v>
      </c>
      <c r="E785">
        <f>Superstore_Sales[[#This Row],[Ship Date]]-Superstore_Sales[[#This Row],[Order Date]]</f>
        <v>5</v>
      </c>
      <c r="F785" t="s">
        <v>98</v>
      </c>
      <c r="G785" t="s">
        <v>3732</v>
      </c>
      <c r="H785" t="s">
        <v>3733</v>
      </c>
      <c r="I785" t="s">
        <v>43</v>
      </c>
      <c r="K785" t="s">
        <v>3212</v>
      </c>
      <c r="L785" t="s">
        <v>1360</v>
      </c>
      <c r="M785" t="s">
        <v>155</v>
      </c>
      <c r="N785" t="s">
        <v>68</v>
      </c>
      <c r="O785" t="s">
        <v>69</v>
      </c>
      <c r="P785" t="s">
        <v>203</v>
      </c>
      <c r="Q785" t="s">
        <v>50</v>
      </c>
      <c r="R785" t="s">
        <v>51</v>
      </c>
      <c r="S785" t="s">
        <v>204</v>
      </c>
      <c r="T785">
        <v>2891.7</v>
      </c>
      <c r="U785">
        <v>7</v>
      </c>
      <c r="V785">
        <v>0.1</v>
      </c>
      <c r="W785">
        <v>1188.81</v>
      </c>
      <c r="X785">
        <v>214.13</v>
      </c>
      <c r="Y785" t="s">
        <v>61</v>
      </c>
      <c r="Z785">
        <f>Superstore_Sales[[#This Row],[Sales]]*Superstore_Sales[[#This Row],[Quantity]]</f>
        <v>20241.899999999998</v>
      </c>
      <c r="AA785" s="3">
        <f>Superstore_Sales[[#This Row],[TotalSales]]*Superstore_Sales[[#This Row],[Discount]]/100</f>
        <v>20.241899999999998</v>
      </c>
      <c r="AB785" s="2">
        <f>Superstore_Sales[[#This Row],[TotalSales]]-Superstore_Sales[[#This Row],[Dis_amt]]-Superstore_Sales[[#This Row],[Shipping Cost]]</f>
        <v>20007.528099999996</v>
      </c>
    </row>
    <row r="786" spans="1:28" x14ac:dyDescent="0.35">
      <c r="A786">
        <v>40570</v>
      </c>
      <c r="B786" t="s">
        <v>3734</v>
      </c>
      <c r="C786" s="1">
        <v>42250</v>
      </c>
      <c r="D786" s="1">
        <v>42254</v>
      </c>
      <c r="E786">
        <f>Superstore_Sales[[#This Row],[Ship Date]]-Superstore_Sales[[#This Row],[Order Date]]</f>
        <v>4</v>
      </c>
      <c r="F786" t="s">
        <v>98</v>
      </c>
      <c r="G786" t="s">
        <v>3724</v>
      </c>
      <c r="H786" t="s">
        <v>2927</v>
      </c>
      <c r="I786" t="s">
        <v>28</v>
      </c>
      <c r="J786">
        <v>42420</v>
      </c>
      <c r="K786" t="s">
        <v>1113</v>
      </c>
      <c r="L786" t="s">
        <v>2032</v>
      </c>
      <c r="M786" t="s">
        <v>31</v>
      </c>
      <c r="N786" t="s">
        <v>351</v>
      </c>
      <c r="O786" t="s">
        <v>33</v>
      </c>
      <c r="P786" t="s">
        <v>1086</v>
      </c>
      <c r="Q786" t="s">
        <v>147</v>
      </c>
      <c r="R786" t="s">
        <v>384</v>
      </c>
      <c r="S786" t="s">
        <v>1087</v>
      </c>
      <c r="T786">
        <v>1577.94</v>
      </c>
      <c r="U786">
        <v>3</v>
      </c>
      <c r="V786">
        <v>0</v>
      </c>
      <c r="W786">
        <v>757.41</v>
      </c>
      <c r="X786">
        <v>74.59</v>
      </c>
      <c r="Y786" t="s">
        <v>61</v>
      </c>
      <c r="Z786">
        <f>Superstore_Sales[[#This Row],[Sales]]*Superstore_Sales[[#This Row],[Quantity]]</f>
        <v>4733.82</v>
      </c>
      <c r="AA786" s="3">
        <f>Superstore_Sales[[#This Row],[TotalSales]]*Superstore_Sales[[#This Row],[Discount]]/100</f>
        <v>0</v>
      </c>
      <c r="AB786" s="2">
        <f>Superstore_Sales[[#This Row],[TotalSales]]-Superstore_Sales[[#This Row],[Dis_amt]]-Superstore_Sales[[#This Row],[Shipping Cost]]</f>
        <v>4659.2299999999996</v>
      </c>
    </row>
    <row r="787" spans="1:28" x14ac:dyDescent="0.35">
      <c r="A787">
        <v>28058</v>
      </c>
      <c r="B787" t="s">
        <v>3735</v>
      </c>
      <c r="C787" s="1">
        <v>41501</v>
      </c>
      <c r="D787" s="1">
        <v>41505</v>
      </c>
      <c r="E787">
        <f>Superstore_Sales[[#This Row],[Ship Date]]-Superstore_Sales[[#This Row],[Order Date]]</f>
        <v>4</v>
      </c>
      <c r="F787" t="s">
        <v>98</v>
      </c>
      <c r="G787" t="s">
        <v>3736</v>
      </c>
      <c r="H787" t="s">
        <v>3737</v>
      </c>
      <c r="I787" t="s">
        <v>43</v>
      </c>
      <c r="K787" t="s">
        <v>2827</v>
      </c>
      <c r="L787" t="s">
        <v>515</v>
      </c>
      <c r="M787" t="s">
        <v>46</v>
      </c>
      <c r="N787" t="s">
        <v>47</v>
      </c>
      <c r="O787" t="s">
        <v>48</v>
      </c>
      <c r="P787" t="s">
        <v>3738</v>
      </c>
      <c r="Q787" t="s">
        <v>35</v>
      </c>
      <c r="R787" t="s">
        <v>81</v>
      </c>
      <c r="S787" t="s">
        <v>3739</v>
      </c>
      <c r="T787">
        <v>2042.82</v>
      </c>
      <c r="U787">
        <v>6</v>
      </c>
      <c r="V787">
        <v>0.1</v>
      </c>
      <c r="W787">
        <v>-136.26</v>
      </c>
      <c r="X787">
        <v>213.93</v>
      </c>
      <c r="Y787" t="s">
        <v>38</v>
      </c>
      <c r="Z787">
        <f>Superstore_Sales[[#This Row],[Sales]]*Superstore_Sales[[#This Row],[Quantity]]</f>
        <v>12256.92</v>
      </c>
      <c r="AA787" s="3">
        <f>Superstore_Sales[[#This Row],[TotalSales]]*Superstore_Sales[[#This Row],[Discount]]/100</f>
        <v>12.256920000000001</v>
      </c>
      <c r="AB787" s="2">
        <f>Superstore_Sales[[#This Row],[TotalSales]]-Superstore_Sales[[#This Row],[Dis_amt]]-Superstore_Sales[[#This Row],[Shipping Cost]]</f>
        <v>12030.73308</v>
      </c>
    </row>
    <row r="788" spans="1:28" x14ac:dyDescent="0.35">
      <c r="A788">
        <v>5745</v>
      </c>
      <c r="B788" t="s">
        <v>3740</v>
      </c>
      <c r="C788" s="1">
        <v>42199</v>
      </c>
      <c r="D788" s="1">
        <v>42201</v>
      </c>
      <c r="E788">
        <f>Superstore_Sales[[#This Row],[Ship Date]]-Superstore_Sales[[#This Row],[Order Date]]</f>
        <v>2</v>
      </c>
      <c r="F788" t="s">
        <v>25</v>
      </c>
      <c r="G788" t="s">
        <v>3741</v>
      </c>
      <c r="H788" t="s">
        <v>271</v>
      </c>
      <c r="I788" t="s">
        <v>43</v>
      </c>
      <c r="K788" t="s">
        <v>3742</v>
      </c>
      <c r="L788" t="s">
        <v>831</v>
      </c>
      <c r="M788" t="s">
        <v>134</v>
      </c>
      <c r="N788" t="s">
        <v>135</v>
      </c>
      <c r="O788" t="s">
        <v>136</v>
      </c>
      <c r="P788" t="s">
        <v>3743</v>
      </c>
      <c r="Q788" t="s">
        <v>35</v>
      </c>
      <c r="R788" t="s">
        <v>81</v>
      </c>
      <c r="S788" t="s">
        <v>3744</v>
      </c>
      <c r="T788">
        <v>997.8</v>
      </c>
      <c r="U788">
        <v>5</v>
      </c>
      <c r="V788">
        <v>2E-3</v>
      </c>
      <c r="W788">
        <v>327.9</v>
      </c>
      <c r="X788">
        <v>213.77500000000001</v>
      </c>
      <c r="Y788" t="s">
        <v>38</v>
      </c>
      <c r="Z788">
        <f>Superstore_Sales[[#This Row],[Sales]]*Superstore_Sales[[#This Row],[Quantity]]</f>
        <v>4989</v>
      </c>
      <c r="AA788" s="3">
        <f>Superstore_Sales[[#This Row],[TotalSales]]*Superstore_Sales[[#This Row],[Discount]]/100</f>
        <v>9.9779999999999994E-2</v>
      </c>
      <c r="AB788" s="2">
        <f>Superstore_Sales[[#This Row],[TotalSales]]-Superstore_Sales[[#This Row],[Dis_amt]]-Superstore_Sales[[#This Row],[Shipping Cost]]</f>
        <v>4775.1252200000008</v>
      </c>
    </row>
    <row r="789" spans="1:28" x14ac:dyDescent="0.35">
      <c r="A789">
        <v>22197</v>
      </c>
      <c r="B789" t="s">
        <v>3745</v>
      </c>
      <c r="C789" s="1">
        <v>41286</v>
      </c>
      <c r="D789" s="1">
        <v>41291</v>
      </c>
      <c r="E789">
        <f>Superstore_Sales[[#This Row],[Ship Date]]-Superstore_Sales[[#This Row],[Order Date]]</f>
        <v>5</v>
      </c>
      <c r="F789" t="s">
        <v>98</v>
      </c>
      <c r="G789" t="s">
        <v>3746</v>
      </c>
      <c r="H789" t="s">
        <v>2683</v>
      </c>
      <c r="I789" t="s">
        <v>43</v>
      </c>
      <c r="K789" t="s">
        <v>514</v>
      </c>
      <c r="L789" t="s">
        <v>515</v>
      </c>
      <c r="M789" t="s">
        <v>46</v>
      </c>
      <c r="N789" t="s">
        <v>47</v>
      </c>
      <c r="O789" t="s">
        <v>48</v>
      </c>
      <c r="P789" t="s">
        <v>3747</v>
      </c>
      <c r="Q789" t="s">
        <v>35</v>
      </c>
      <c r="R789" t="s">
        <v>275</v>
      </c>
      <c r="S789" t="s">
        <v>3748</v>
      </c>
      <c r="T789">
        <v>1411.34</v>
      </c>
      <c r="U789">
        <v>9</v>
      </c>
      <c r="V789">
        <v>0.1</v>
      </c>
      <c r="W789">
        <v>486.05</v>
      </c>
      <c r="X789">
        <v>213.5</v>
      </c>
      <c r="Y789" t="s">
        <v>38</v>
      </c>
      <c r="Z789">
        <f>Superstore_Sales[[#This Row],[Sales]]*Superstore_Sales[[#This Row],[Quantity]]</f>
        <v>12702.06</v>
      </c>
      <c r="AA789" s="3">
        <f>Superstore_Sales[[#This Row],[TotalSales]]*Superstore_Sales[[#This Row],[Discount]]/100</f>
        <v>12.702060000000001</v>
      </c>
      <c r="AB789" s="2">
        <f>Superstore_Sales[[#This Row],[TotalSales]]-Superstore_Sales[[#This Row],[Dis_amt]]-Superstore_Sales[[#This Row],[Shipping Cost]]</f>
        <v>12475.85794</v>
      </c>
    </row>
    <row r="790" spans="1:28" x14ac:dyDescent="0.35">
      <c r="A790">
        <v>43214</v>
      </c>
      <c r="B790" t="s">
        <v>3749</v>
      </c>
      <c r="C790" s="1">
        <v>41389</v>
      </c>
      <c r="D790" s="1">
        <v>41389</v>
      </c>
      <c r="E790">
        <f>Superstore_Sales[[#This Row],[Ship Date]]-Superstore_Sales[[#This Row],[Order Date]]</f>
        <v>0</v>
      </c>
      <c r="F790" t="s">
        <v>73</v>
      </c>
      <c r="G790" t="s">
        <v>3750</v>
      </c>
      <c r="H790" t="s">
        <v>2064</v>
      </c>
      <c r="I790" t="s">
        <v>28</v>
      </c>
      <c r="K790" t="s">
        <v>3751</v>
      </c>
      <c r="L790" t="s">
        <v>3752</v>
      </c>
      <c r="M790" t="s">
        <v>391</v>
      </c>
      <c r="N790" t="s">
        <v>118</v>
      </c>
      <c r="O790" t="s">
        <v>48</v>
      </c>
      <c r="P790" t="s">
        <v>2521</v>
      </c>
      <c r="Q790" t="s">
        <v>50</v>
      </c>
      <c r="R790" t="s">
        <v>336</v>
      </c>
      <c r="S790" t="s">
        <v>2522</v>
      </c>
      <c r="T790">
        <v>1647</v>
      </c>
      <c r="U790">
        <v>4</v>
      </c>
      <c r="V790">
        <v>0</v>
      </c>
      <c r="W790">
        <v>625.79999999999995</v>
      </c>
      <c r="X790">
        <v>213.37</v>
      </c>
      <c r="Y790" t="s">
        <v>38</v>
      </c>
      <c r="Z790">
        <f>Superstore_Sales[[#This Row],[Sales]]*Superstore_Sales[[#This Row],[Quantity]]</f>
        <v>6588</v>
      </c>
      <c r="AA790" s="3">
        <f>Superstore_Sales[[#This Row],[TotalSales]]*Superstore_Sales[[#This Row],[Discount]]/100</f>
        <v>0</v>
      </c>
      <c r="AB790" s="2">
        <f>Superstore_Sales[[#This Row],[TotalSales]]-Superstore_Sales[[#This Row],[Dis_amt]]-Superstore_Sales[[#This Row],[Shipping Cost]]</f>
        <v>6374.63</v>
      </c>
    </row>
    <row r="791" spans="1:28" x14ac:dyDescent="0.35">
      <c r="A791">
        <v>23694</v>
      </c>
      <c r="B791" t="s">
        <v>3753</v>
      </c>
      <c r="C791" s="1">
        <v>41926</v>
      </c>
      <c r="D791" s="1">
        <v>41929</v>
      </c>
      <c r="E791">
        <f>Superstore_Sales[[#This Row],[Ship Date]]-Superstore_Sales[[#This Row],[Order Date]]</f>
        <v>3</v>
      </c>
      <c r="F791" t="s">
        <v>25</v>
      </c>
      <c r="G791" t="s">
        <v>3107</v>
      </c>
      <c r="H791" t="s">
        <v>3108</v>
      </c>
      <c r="I791" t="s">
        <v>28</v>
      </c>
      <c r="K791" t="s">
        <v>3754</v>
      </c>
      <c r="L791" t="s">
        <v>515</v>
      </c>
      <c r="M791" t="s">
        <v>46</v>
      </c>
      <c r="N791" t="s">
        <v>47</v>
      </c>
      <c r="O791" t="s">
        <v>48</v>
      </c>
      <c r="P791" t="s">
        <v>3244</v>
      </c>
      <c r="Q791" t="s">
        <v>50</v>
      </c>
      <c r="R791" t="s">
        <v>336</v>
      </c>
      <c r="S791" t="s">
        <v>3245</v>
      </c>
      <c r="T791">
        <v>1313.71</v>
      </c>
      <c r="U791">
        <v>4</v>
      </c>
      <c r="V791">
        <v>0.1</v>
      </c>
      <c r="W791">
        <v>102.07</v>
      </c>
      <c r="X791">
        <v>213.19</v>
      </c>
      <c r="Y791" t="s">
        <v>61</v>
      </c>
      <c r="Z791">
        <f>Superstore_Sales[[#This Row],[Sales]]*Superstore_Sales[[#This Row],[Quantity]]</f>
        <v>5254.84</v>
      </c>
      <c r="AA791" s="3">
        <f>Superstore_Sales[[#This Row],[TotalSales]]*Superstore_Sales[[#This Row],[Discount]]/100</f>
        <v>5.2548400000000006</v>
      </c>
      <c r="AB791" s="2">
        <f>Superstore_Sales[[#This Row],[TotalSales]]-Superstore_Sales[[#This Row],[Dis_amt]]-Superstore_Sales[[#This Row],[Shipping Cost]]</f>
        <v>5036.3951600000009</v>
      </c>
    </row>
    <row r="792" spans="1:28" x14ac:dyDescent="0.35">
      <c r="A792">
        <v>22516</v>
      </c>
      <c r="B792" t="s">
        <v>3755</v>
      </c>
      <c r="C792" s="1">
        <v>41401</v>
      </c>
      <c r="D792" s="1">
        <v>41404</v>
      </c>
      <c r="E792">
        <f>Superstore_Sales[[#This Row],[Ship Date]]-Superstore_Sales[[#This Row],[Order Date]]</f>
        <v>3</v>
      </c>
      <c r="F792" t="s">
        <v>25</v>
      </c>
      <c r="G792" t="s">
        <v>3756</v>
      </c>
      <c r="H792" t="s">
        <v>775</v>
      </c>
      <c r="I792" t="s">
        <v>28</v>
      </c>
      <c r="K792" t="s">
        <v>286</v>
      </c>
      <c r="L792" t="s">
        <v>58</v>
      </c>
      <c r="M792" t="s">
        <v>46</v>
      </c>
      <c r="N792" t="s">
        <v>47</v>
      </c>
      <c r="O792" t="s">
        <v>48</v>
      </c>
      <c r="P792" t="s">
        <v>1444</v>
      </c>
      <c r="Q792" t="s">
        <v>35</v>
      </c>
      <c r="R792" t="s">
        <v>81</v>
      </c>
      <c r="S792" t="s">
        <v>1445</v>
      </c>
      <c r="T792">
        <v>972.57</v>
      </c>
      <c r="U792">
        <v>3</v>
      </c>
      <c r="V792">
        <v>0.1</v>
      </c>
      <c r="W792">
        <v>194.43</v>
      </c>
      <c r="X792">
        <v>213.19</v>
      </c>
      <c r="Y792" t="s">
        <v>38</v>
      </c>
      <c r="Z792">
        <f>Superstore_Sales[[#This Row],[Sales]]*Superstore_Sales[[#This Row],[Quantity]]</f>
        <v>2917.71</v>
      </c>
      <c r="AA792" s="3">
        <f>Superstore_Sales[[#This Row],[TotalSales]]*Superstore_Sales[[#This Row],[Discount]]/100</f>
        <v>2.91771</v>
      </c>
      <c r="AB792" s="2">
        <f>Superstore_Sales[[#This Row],[TotalSales]]-Superstore_Sales[[#This Row],[Dis_amt]]-Superstore_Sales[[#This Row],[Shipping Cost]]</f>
        <v>2701.6022899999998</v>
      </c>
    </row>
    <row r="793" spans="1:28" x14ac:dyDescent="0.35">
      <c r="A793">
        <v>23962</v>
      </c>
      <c r="B793" t="s">
        <v>3757</v>
      </c>
      <c r="C793" s="1">
        <v>41128</v>
      </c>
      <c r="D793" s="1">
        <v>41128</v>
      </c>
      <c r="E793">
        <f>Superstore_Sales[[#This Row],[Ship Date]]-Superstore_Sales[[#This Row],[Order Date]]</f>
        <v>0</v>
      </c>
      <c r="F793" t="s">
        <v>73</v>
      </c>
      <c r="G793" t="s">
        <v>3758</v>
      </c>
      <c r="H793" t="s">
        <v>2122</v>
      </c>
      <c r="I793" t="s">
        <v>43</v>
      </c>
      <c r="K793" t="s">
        <v>3587</v>
      </c>
      <c r="L793" t="s">
        <v>1077</v>
      </c>
      <c r="M793" t="s">
        <v>144</v>
      </c>
      <c r="N793" t="s">
        <v>145</v>
      </c>
      <c r="O793" t="s">
        <v>48</v>
      </c>
      <c r="P793" t="s">
        <v>3759</v>
      </c>
      <c r="Q793" t="s">
        <v>35</v>
      </c>
      <c r="R793" t="s">
        <v>81</v>
      </c>
      <c r="S793" t="s">
        <v>3760</v>
      </c>
      <c r="T793">
        <v>1273.56</v>
      </c>
      <c r="U793">
        <v>4</v>
      </c>
      <c r="V793">
        <v>0</v>
      </c>
      <c r="W793">
        <v>573</v>
      </c>
      <c r="X793">
        <v>213.03</v>
      </c>
      <c r="Y793" t="s">
        <v>61</v>
      </c>
      <c r="Z793">
        <f>Superstore_Sales[[#This Row],[Sales]]*Superstore_Sales[[#This Row],[Quantity]]</f>
        <v>5094.24</v>
      </c>
      <c r="AA793" s="3">
        <f>Superstore_Sales[[#This Row],[TotalSales]]*Superstore_Sales[[#This Row],[Discount]]/100</f>
        <v>0</v>
      </c>
      <c r="AB793" s="2">
        <f>Superstore_Sales[[#This Row],[TotalSales]]-Superstore_Sales[[#This Row],[Dis_amt]]-Superstore_Sales[[#This Row],[Shipping Cost]]</f>
        <v>4881.21</v>
      </c>
    </row>
    <row r="794" spans="1:28" x14ac:dyDescent="0.35">
      <c r="A794">
        <v>19839</v>
      </c>
      <c r="B794" t="s">
        <v>3761</v>
      </c>
      <c r="C794" s="1">
        <v>41259</v>
      </c>
      <c r="D794" s="1">
        <v>41263</v>
      </c>
      <c r="E794">
        <f>Superstore_Sales[[#This Row],[Ship Date]]-Superstore_Sales[[#This Row],[Order Date]]</f>
        <v>4</v>
      </c>
      <c r="F794" t="s">
        <v>98</v>
      </c>
      <c r="G794" t="s">
        <v>3762</v>
      </c>
      <c r="H794" t="s">
        <v>3763</v>
      </c>
      <c r="I794" t="s">
        <v>28</v>
      </c>
      <c r="K794" t="s">
        <v>3764</v>
      </c>
      <c r="L794" t="s">
        <v>527</v>
      </c>
      <c r="M794" t="s">
        <v>67</v>
      </c>
      <c r="N794" t="s">
        <v>68</v>
      </c>
      <c r="O794" t="s">
        <v>69</v>
      </c>
      <c r="P794" t="s">
        <v>510</v>
      </c>
      <c r="Q794" t="s">
        <v>35</v>
      </c>
      <c r="R794" t="s">
        <v>36</v>
      </c>
      <c r="S794" t="s">
        <v>511</v>
      </c>
      <c r="T794">
        <v>1908.18</v>
      </c>
      <c r="U794">
        <v>3</v>
      </c>
      <c r="V794">
        <v>0</v>
      </c>
      <c r="W794">
        <v>820.44</v>
      </c>
      <c r="X794">
        <v>212.94</v>
      </c>
      <c r="Y794" t="s">
        <v>61</v>
      </c>
      <c r="Z794">
        <f>Superstore_Sales[[#This Row],[Sales]]*Superstore_Sales[[#This Row],[Quantity]]</f>
        <v>5724.54</v>
      </c>
      <c r="AA794" s="3">
        <f>Superstore_Sales[[#This Row],[TotalSales]]*Superstore_Sales[[#This Row],[Discount]]/100</f>
        <v>0</v>
      </c>
      <c r="AB794" s="2">
        <f>Superstore_Sales[[#This Row],[TotalSales]]-Superstore_Sales[[#This Row],[Dis_amt]]-Superstore_Sales[[#This Row],[Shipping Cost]]</f>
        <v>5511.6</v>
      </c>
    </row>
    <row r="795" spans="1:28" x14ac:dyDescent="0.35">
      <c r="A795">
        <v>37599</v>
      </c>
      <c r="B795" t="s">
        <v>3765</v>
      </c>
      <c r="C795" s="1">
        <v>42332</v>
      </c>
      <c r="D795" s="1">
        <v>42336</v>
      </c>
      <c r="E795">
        <f>Superstore_Sales[[#This Row],[Ship Date]]-Superstore_Sales[[#This Row],[Order Date]]</f>
        <v>4</v>
      </c>
      <c r="F795" t="s">
        <v>98</v>
      </c>
      <c r="G795" t="s">
        <v>3766</v>
      </c>
      <c r="H795" t="s">
        <v>2927</v>
      </c>
      <c r="I795" t="s">
        <v>28</v>
      </c>
      <c r="J795">
        <v>75220</v>
      </c>
      <c r="K795" t="s">
        <v>2844</v>
      </c>
      <c r="L795" t="s">
        <v>160</v>
      </c>
      <c r="M795" t="s">
        <v>31</v>
      </c>
      <c r="N795" t="s">
        <v>32</v>
      </c>
      <c r="O795" t="s">
        <v>33</v>
      </c>
      <c r="P795" t="s">
        <v>3767</v>
      </c>
      <c r="Q795" t="s">
        <v>35</v>
      </c>
      <c r="R795" t="s">
        <v>36</v>
      </c>
      <c r="S795" t="s">
        <v>3768</v>
      </c>
      <c r="T795">
        <v>195.96</v>
      </c>
      <c r="U795">
        <v>5</v>
      </c>
      <c r="V795">
        <v>0.2</v>
      </c>
      <c r="W795">
        <v>19.600000000000001</v>
      </c>
      <c r="X795">
        <v>26.17</v>
      </c>
      <c r="Y795" t="s">
        <v>38</v>
      </c>
      <c r="Z795">
        <f>Superstore_Sales[[#This Row],[Sales]]*Superstore_Sales[[#This Row],[Quantity]]</f>
        <v>979.80000000000007</v>
      </c>
      <c r="AA795" s="3">
        <f>Superstore_Sales[[#This Row],[TotalSales]]*Superstore_Sales[[#This Row],[Discount]]/100</f>
        <v>1.9596000000000005</v>
      </c>
      <c r="AB795" s="2">
        <f>Superstore_Sales[[#This Row],[TotalSales]]-Superstore_Sales[[#This Row],[Dis_amt]]-Superstore_Sales[[#This Row],[Shipping Cost]]</f>
        <v>951.67040000000009</v>
      </c>
    </row>
    <row r="796" spans="1:28" x14ac:dyDescent="0.35">
      <c r="A796">
        <v>24932</v>
      </c>
      <c r="B796" t="s">
        <v>3769</v>
      </c>
      <c r="C796" s="1">
        <v>41227</v>
      </c>
      <c r="D796" s="1">
        <v>41231</v>
      </c>
      <c r="E796">
        <f>Superstore_Sales[[#This Row],[Ship Date]]-Superstore_Sales[[#This Row],[Order Date]]</f>
        <v>4</v>
      </c>
      <c r="F796" t="s">
        <v>98</v>
      </c>
      <c r="G796" t="s">
        <v>3770</v>
      </c>
      <c r="H796" t="s">
        <v>3771</v>
      </c>
      <c r="I796" t="s">
        <v>28</v>
      </c>
      <c r="K796" t="s">
        <v>3772</v>
      </c>
      <c r="L796" t="s">
        <v>58</v>
      </c>
      <c r="M796" t="s">
        <v>46</v>
      </c>
      <c r="N796" t="s">
        <v>47</v>
      </c>
      <c r="O796" t="s">
        <v>48</v>
      </c>
      <c r="P796" t="s">
        <v>3773</v>
      </c>
      <c r="Q796" t="s">
        <v>50</v>
      </c>
      <c r="R796" t="s">
        <v>336</v>
      </c>
      <c r="S796" t="s">
        <v>3774</v>
      </c>
      <c r="T796">
        <v>2398.37</v>
      </c>
      <c r="U796">
        <v>11</v>
      </c>
      <c r="V796">
        <v>0.4</v>
      </c>
      <c r="W796">
        <v>-1479.13</v>
      </c>
      <c r="X796">
        <v>212.87</v>
      </c>
      <c r="Y796" t="s">
        <v>38</v>
      </c>
      <c r="Z796">
        <f>Superstore_Sales[[#This Row],[Sales]]*Superstore_Sales[[#This Row],[Quantity]]</f>
        <v>26382.07</v>
      </c>
      <c r="AA796" s="3">
        <f>Superstore_Sales[[#This Row],[TotalSales]]*Superstore_Sales[[#This Row],[Discount]]/100</f>
        <v>105.52828000000001</v>
      </c>
      <c r="AB796" s="2">
        <f>Superstore_Sales[[#This Row],[TotalSales]]-Superstore_Sales[[#This Row],[Dis_amt]]-Superstore_Sales[[#This Row],[Shipping Cost]]</f>
        <v>26063.671720000002</v>
      </c>
    </row>
    <row r="797" spans="1:28" x14ac:dyDescent="0.35">
      <c r="A797">
        <v>45596</v>
      </c>
      <c r="B797" t="s">
        <v>3775</v>
      </c>
      <c r="C797" s="1">
        <v>41583</v>
      </c>
      <c r="D797" s="1">
        <v>41586</v>
      </c>
      <c r="E797">
        <f>Superstore_Sales[[#This Row],[Ship Date]]-Superstore_Sales[[#This Row],[Order Date]]</f>
        <v>3</v>
      </c>
      <c r="F797" t="s">
        <v>25</v>
      </c>
      <c r="G797" t="s">
        <v>3776</v>
      </c>
      <c r="H797" t="s">
        <v>3777</v>
      </c>
      <c r="I797" t="s">
        <v>28</v>
      </c>
      <c r="K797" t="s">
        <v>3778</v>
      </c>
      <c r="L797" t="s">
        <v>3778</v>
      </c>
      <c r="M797" t="s">
        <v>480</v>
      </c>
      <c r="N797" t="s">
        <v>195</v>
      </c>
      <c r="O797" t="s">
        <v>69</v>
      </c>
      <c r="P797" t="s">
        <v>3779</v>
      </c>
      <c r="Q797" t="s">
        <v>35</v>
      </c>
      <c r="R797" t="s">
        <v>275</v>
      </c>
      <c r="S797" t="s">
        <v>3780</v>
      </c>
      <c r="T797">
        <v>680.28</v>
      </c>
      <c r="U797">
        <v>4</v>
      </c>
      <c r="V797">
        <v>0</v>
      </c>
      <c r="W797">
        <v>231.24</v>
      </c>
      <c r="X797">
        <v>212.86</v>
      </c>
      <c r="Y797" t="s">
        <v>53</v>
      </c>
      <c r="Z797">
        <f>Superstore_Sales[[#This Row],[Sales]]*Superstore_Sales[[#This Row],[Quantity]]</f>
        <v>2721.12</v>
      </c>
      <c r="AA797" s="3">
        <f>Superstore_Sales[[#This Row],[TotalSales]]*Superstore_Sales[[#This Row],[Discount]]/100</f>
        <v>0</v>
      </c>
      <c r="AB797" s="2">
        <f>Superstore_Sales[[#This Row],[TotalSales]]-Superstore_Sales[[#This Row],[Dis_amt]]-Superstore_Sales[[#This Row],[Shipping Cost]]</f>
        <v>2508.2599999999998</v>
      </c>
    </row>
    <row r="798" spans="1:28" x14ac:dyDescent="0.35">
      <c r="A798">
        <v>15270</v>
      </c>
      <c r="B798" t="s">
        <v>3781</v>
      </c>
      <c r="C798" s="1">
        <v>41280</v>
      </c>
      <c r="D798" s="1">
        <v>41283</v>
      </c>
      <c r="E798">
        <f>Superstore_Sales[[#This Row],[Ship Date]]-Superstore_Sales[[#This Row],[Order Date]]</f>
        <v>3</v>
      </c>
      <c r="F798" t="s">
        <v>25</v>
      </c>
      <c r="G798" t="s">
        <v>3782</v>
      </c>
      <c r="H798" t="s">
        <v>1411</v>
      </c>
      <c r="I798" t="s">
        <v>43</v>
      </c>
      <c r="K798" t="s">
        <v>3783</v>
      </c>
      <c r="L798" t="s">
        <v>3783</v>
      </c>
      <c r="M798" t="s">
        <v>3036</v>
      </c>
      <c r="N798" t="s">
        <v>211</v>
      </c>
      <c r="O798" t="s">
        <v>69</v>
      </c>
      <c r="P798" t="s">
        <v>3784</v>
      </c>
      <c r="Q798" t="s">
        <v>35</v>
      </c>
      <c r="R798" t="s">
        <v>81</v>
      </c>
      <c r="S798" t="s">
        <v>3785</v>
      </c>
      <c r="T798">
        <v>964.08</v>
      </c>
      <c r="U798">
        <v>3</v>
      </c>
      <c r="V798">
        <v>0</v>
      </c>
      <c r="W798">
        <v>337.41</v>
      </c>
      <c r="X798">
        <v>212.76</v>
      </c>
      <c r="Y798" t="s">
        <v>61</v>
      </c>
      <c r="Z798">
        <f>Superstore_Sales[[#This Row],[Sales]]*Superstore_Sales[[#This Row],[Quantity]]</f>
        <v>2892.2400000000002</v>
      </c>
      <c r="AA798" s="3">
        <f>Superstore_Sales[[#This Row],[TotalSales]]*Superstore_Sales[[#This Row],[Discount]]/100</f>
        <v>0</v>
      </c>
      <c r="AB798" s="2">
        <f>Superstore_Sales[[#This Row],[TotalSales]]-Superstore_Sales[[#This Row],[Dis_amt]]-Superstore_Sales[[#This Row],[Shipping Cost]]</f>
        <v>2679.4800000000005</v>
      </c>
    </row>
    <row r="799" spans="1:28" x14ac:dyDescent="0.35">
      <c r="A799">
        <v>35712</v>
      </c>
      <c r="B799" t="s">
        <v>3786</v>
      </c>
      <c r="C799" s="1">
        <v>41241</v>
      </c>
      <c r="D799" s="1">
        <v>41248</v>
      </c>
      <c r="E799">
        <f>Superstore_Sales[[#This Row],[Ship Date]]-Superstore_Sales[[#This Row],[Order Date]]</f>
        <v>7</v>
      </c>
      <c r="F799" t="s">
        <v>98</v>
      </c>
      <c r="G799" t="s">
        <v>3717</v>
      </c>
      <c r="H799" t="s">
        <v>2927</v>
      </c>
      <c r="I799" t="s">
        <v>28</v>
      </c>
      <c r="J799">
        <v>94122</v>
      </c>
      <c r="K799" t="s">
        <v>279</v>
      </c>
      <c r="L799" t="s">
        <v>280</v>
      </c>
      <c r="M799" t="s">
        <v>31</v>
      </c>
      <c r="N799" t="s">
        <v>110</v>
      </c>
      <c r="O799" t="s">
        <v>33</v>
      </c>
      <c r="P799" t="s">
        <v>3787</v>
      </c>
      <c r="Q799" t="s">
        <v>35</v>
      </c>
      <c r="R799" t="s">
        <v>36</v>
      </c>
      <c r="S799" t="s">
        <v>3788</v>
      </c>
      <c r="T799">
        <v>575.91999999999996</v>
      </c>
      <c r="U799">
        <v>2</v>
      </c>
      <c r="V799">
        <v>0.2</v>
      </c>
      <c r="W799">
        <v>71.989999999999995</v>
      </c>
      <c r="X799">
        <v>17.88</v>
      </c>
      <c r="Y799" t="s">
        <v>61</v>
      </c>
      <c r="Z799">
        <f>Superstore_Sales[[#This Row],[Sales]]*Superstore_Sales[[#This Row],[Quantity]]</f>
        <v>1151.8399999999999</v>
      </c>
      <c r="AA799" s="3">
        <f>Superstore_Sales[[#This Row],[TotalSales]]*Superstore_Sales[[#This Row],[Discount]]/100</f>
        <v>2.3036799999999999</v>
      </c>
      <c r="AB799" s="2">
        <f>Superstore_Sales[[#This Row],[TotalSales]]-Superstore_Sales[[#This Row],[Dis_amt]]-Superstore_Sales[[#This Row],[Shipping Cost]]</f>
        <v>1131.6563199999998</v>
      </c>
    </row>
    <row r="800" spans="1:28" x14ac:dyDescent="0.35">
      <c r="A800">
        <v>27922</v>
      </c>
      <c r="B800" t="s">
        <v>3789</v>
      </c>
      <c r="C800" s="1">
        <v>41174</v>
      </c>
      <c r="D800" s="1">
        <v>41178</v>
      </c>
      <c r="E800">
        <f>Superstore_Sales[[#This Row],[Ship Date]]-Superstore_Sales[[#This Row],[Order Date]]</f>
        <v>4</v>
      </c>
      <c r="F800" t="s">
        <v>98</v>
      </c>
      <c r="G800" t="s">
        <v>3790</v>
      </c>
      <c r="H800" t="s">
        <v>3791</v>
      </c>
      <c r="I800" t="s">
        <v>65</v>
      </c>
      <c r="K800" t="s">
        <v>2827</v>
      </c>
      <c r="L800" t="s">
        <v>515</v>
      </c>
      <c r="M800" t="s">
        <v>46</v>
      </c>
      <c r="N800" t="s">
        <v>47</v>
      </c>
      <c r="O800" t="s">
        <v>48</v>
      </c>
      <c r="P800" t="s">
        <v>1401</v>
      </c>
      <c r="Q800" t="s">
        <v>35</v>
      </c>
      <c r="R800" t="s">
        <v>81</v>
      </c>
      <c r="S800" t="s">
        <v>1402</v>
      </c>
      <c r="T800">
        <v>1709.24</v>
      </c>
      <c r="U800">
        <v>5</v>
      </c>
      <c r="V800">
        <v>0.1</v>
      </c>
      <c r="W800">
        <v>588.74</v>
      </c>
      <c r="X800">
        <v>212.72</v>
      </c>
      <c r="Y800" t="s">
        <v>38</v>
      </c>
      <c r="Z800">
        <f>Superstore_Sales[[#This Row],[Sales]]*Superstore_Sales[[#This Row],[Quantity]]</f>
        <v>8546.2000000000007</v>
      </c>
      <c r="AA800" s="3">
        <f>Superstore_Sales[[#This Row],[TotalSales]]*Superstore_Sales[[#This Row],[Discount]]/100</f>
        <v>8.5462000000000007</v>
      </c>
      <c r="AB800" s="2">
        <f>Superstore_Sales[[#This Row],[TotalSales]]-Superstore_Sales[[#This Row],[Dis_amt]]-Superstore_Sales[[#This Row],[Shipping Cost]]</f>
        <v>8324.9338000000007</v>
      </c>
    </row>
    <row r="801" spans="1:28" x14ac:dyDescent="0.35">
      <c r="A801">
        <v>49747</v>
      </c>
      <c r="B801" t="s">
        <v>3792</v>
      </c>
      <c r="C801" s="1">
        <v>41514</v>
      </c>
      <c r="D801" s="1">
        <v>41516</v>
      </c>
      <c r="E801">
        <f>Superstore_Sales[[#This Row],[Ship Date]]-Superstore_Sales[[#This Row],[Order Date]]</f>
        <v>2</v>
      </c>
      <c r="F801" t="s">
        <v>25</v>
      </c>
      <c r="G801" t="s">
        <v>3793</v>
      </c>
      <c r="H801" t="s">
        <v>2346</v>
      </c>
      <c r="I801" t="s">
        <v>28</v>
      </c>
      <c r="K801" t="s">
        <v>3794</v>
      </c>
      <c r="L801" t="s">
        <v>3794</v>
      </c>
      <c r="M801" t="s">
        <v>2090</v>
      </c>
      <c r="N801" t="s">
        <v>126</v>
      </c>
      <c r="O801" t="s">
        <v>48</v>
      </c>
      <c r="P801" t="s">
        <v>481</v>
      </c>
      <c r="Q801" t="s">
        <v>50</v>
      </c>
      <c r="R801" t="s">
        <v>104</v>
      </c>
      <c r="S801" t="s">
        <v>482</v>
      </c>
      <c r="T801">
        <v>929.34</v>
      </c>
      <c r="U801">
        <v>2</v>
      </c>
      <c r="V801">
        <v>0</v>
      </c>
      <c r="W801">
        <v>65.040000000000006</v>
      </c>
      <c r="X801">
        <v>212.15</v>
      </c>
      <c r="Y801" t="s">
        <v>61</v>
      </c>
      <c r="Z801">
        <f>Superstore_Sales[[#This Row],[Sales]]*Superstore_Sales[[#This Row],[Quantity]]</f>
        <v>1858.68</v>
      </c>
      <c r="AA801" s="3">
        <f>Superstore_Sales[[#This Row],[TotalSales]]*Superstore_Sales[[#This Row],[Discount]]/100</f>
        <v>0</v>
      </c>
      <c r="AB801" s="2">
        <f>Superstore_Sales[[#This Row],[TotalSales]]-Superstore_Sales[[#This Row],[Dis_amt]]-Superstore_Sales[[#This Row],[Shipping Cost]]</f>
        <v>1646.53</v>
      </c>
    </row>
    <row r="802" spans="1:28" x14ac:dyDescent="0.35">
      <c r="A802">
        <v>36180</v>
      </c>
      <c r="B802" t="s">
        <v>3795</v>
      </c>
      <c r="C802" s="1">
        <v>42072</v>
      </c>
      <c r="D802" s="1">
        <v>42079</v>
      </c>
      <c r="E802">
        <f>Superstore_Sales[[#This Row],[Ship Date]]-Superstore_Sales[[#This Row],[Order Date]]</f>
        <v>7</v>
      </c>
      <c r="F802" t="s">
        <v>98</v>
      </c>
      <c r="G802" t="s">
        <v>3717</v>
      </c>
      <c r="H802" t="s">
        <v>2927</v>
      </c>
      <c r="I802" t="s">
        <v>28</v>
      </c>
      <c r="J802">
        <v>92804</v>
      </c>
      <c r="K802" t="s">
        <v>3796</v>
      </c>
      <c r="L802" t="s">
        <v>280</v>
      </c>
      <c r="M802" t="s">
        <v>31</v>
      </c>
      <c r="N802" t="s">
        <v>110</v>
      </c>
      <c r="O802" t="s">
        <v>33</v>
      </c>
      <c r="P802" t="s">
        <v>3797</v>
      </c>
      <c r="Q802" t="s">
        <v>147</v>
      </c>
      <c r="R802" t="s">
        <v>384</v>
      </c>
      <c r="S802" t="s">
        <v>3798</v>
      </c>
      <c r="T802">
        <v>171.2</v>
      </c>
      <c r="U802">
        <v>5</v>
      </c>
      <c r="V802">
        <v>0.2</v>
      </c>
      <c r="W802">
        <v>64.2</v>
      </c>
      <c r="X802">
        <v>12.9</v>
      </c>
      <c r="Y802" t="s">
        <v>61</v>
      </c>
      <c r="Z802">
        <f>Superstore_Sales[[#This Row],[Sales]]*Superstore_Sales[[#This Row],[Quantity]]</f>
        <v>856</v>
      </c>
      <c r="AA802" s="3">
        <f>Superstore_Sales[[#This Row],[TotalSales]]*Superstore_Sales[[#This Row],[Discount]]/100</f>
        <v>1.7120000000000002</v>
      </c>
      <c r="AB802" s="2">
        <f>Superstore_Sales[[#This Row],[TotalSales]]-Superstore_Sales[[#This Row],[Dis_amt]]-Superstore_Sales[[#This Row],[Shipping Cost]]</f>
        <v>841.38800000000003</v>
      </c>
    </row>
    <row r="803" spans="1:28" x14ac:dyDescent="0.35">
      <c r="A803">
        <v>31562</v>
      </c>
      <c r="B803" t="s">
        <v>3799</v>
      </c>
      <c r="C803" s="1">
        <v>41588</v>
      </c>
      <c r="D803" s="1">
        <v>41593</v>
      </c>
      <c r="E803">
        <f>Superstore_Sales[[#This Row],[Ship Date]]-Superstore_Sales[[#This Row],[Order Date]]</f>
        <v>5</v>
      </c>
      <c r="F803" t="s">
        <v>98</v>
      </c>
      <c r="G803" t="s">
        <v>3717</v>
      </c>
      <c r="H803" t="s">
        <v>2927</v>
      </c>
      <c r="I803" t="s">
        <v>28</v>
      </c>
      <c r="J803">
        <v>94513</v>
      </c>
      <c r="K803" t="s">
        <v>3800</v>
      </c>
      <c r="L803" t="s">
        <v>280</v>
      </c>
      <c r="M803" t="s">
        <v>31</v>
      </c>
      <c r="N803" t="s">
        <v>110</v>
      </c>
      <c r="O803" t="s">
        <v>33</v>
      </c>
      <c r="P803" t="s">
        <v>3801</v>
      </c>
      <c r="Q803" t="s">
        <v>35</v>
      </c>
      <c r="R803" t="s">
        <v>304</v>
      </c>
      <c r="S803" t="s">
        <v>3802</v>
      </c>
      <c r="T803">
        <v>79.900000000000006</v>
      </c>
      <c r="U803">
        <v>2</v>
      </c>
      <c r="V803">
        <v>0</v>
      </c>
      <c r="W803">
        <v>35.159999999999997</v>
      </c>
      <c r="X803">
        <v>5.46</v>
      </c>
      <c r="Y803" t="s">
        <v>61</v>
      </c>
      <c r="Z803">
        <f>Superstore_Sales[[#This Row],[Sales]]*Superstore_Sales[[#This Row],[Quantity]]</f>
        <v>159.80000000000001</v>
      </c>
      <c r="AA803" s="3">
        <f>Superstore_Sales[[#This Row],[TotalSales]]*Superstore_Sales[[#This Row],[Discount]]/100</f>
        <v>0</v>
      </c>
      <c r="AB803" s="2">
        <f>Superstore_Sales[[#This Row],[TotalSales]]-Superstore_Sales[[#This Row],[Dis_amt]]-Superstore_Sales[[#This Row],[Shipping Cost]]</f>
        <v>154.34</v>
      </c>
    </row>
    <row r="804" spans="1:28" x14ac:dyDescent="0.35">
      <c r="A804">
        <v>26745</v>
      </c>
      <c r="B804" t="s">
        <v>3803</v>
      </c>
      <c r="C804" s="1">
        <v>42172</v>
      </c>
      <c r="D804" s="1">
        <v>42176</v>
      </c>
      <c r="E804">
        <f>Superstore_Sales[[#This Row],[Ship Date]]-Superstore_Sales[[#This Row],[Order Date]]</f>
        <v>4</v>
      </c>
      <c r="F804" t="s">
        <v>98</v>
      </c>
      <c r="G804" t="s">
        <v>3804</v>
      </c>
      <c r="H804" t="s">
        <v>3805</v>
      </c>
      <c r="I804" t="s">
        <v>43</v>
      </c>
      <c r="K804" t="s">
        <v>57</v>
      </c>
      <c r="L804" t="s">
        <v>58</v>
      </c>
      <c r="M804" t="s">
        <v>46</v>
      </c>
      <c r="N804" t="s">
        <v>47</v>
      </c>
      <c r="O804" t="s">
        <v>48</v>
      </c>
      <c r="P804" t="s">
        <v>1876</v>
      </c>
      <c r="Q804" t="s">
        <v>35</v>
      </c>
      <c r="R804" t="s">
        <v>81</v>
      </c>
      <c r="S804" t="s">
        <v>1877</v>
      </c>
      <c r="T804">
        <v>2383.86</v>
      </c>
      <c r="U804">
        <v>7</v>
      </c>
      <c r="V804">
        <v>0.1</v>
      </c>
      <c r="W804">
        <v>794.58</v>
      </c>
      <c r="X804">
        <v>211.7</v>
      </c>
      <c r="Y804" t="s">
        <v>38</v>
      </c>
      <c r="Z804">
        <f>Superstore_Sales[[#This Row],[Sales]]*Superstore_Sales[[#This Row],[Quantity]]</f>
        <v>16687.02</v>
      </c>
      <c r="AA804" s="3">
        <f>Superstore_Sales[[#This Row],[TotalSales]]*Superstore_Sales[[#This Row],[Discount]]/100</f>
        <v>16.687020000000004</v>
      </c>
      <c r="AB804" s="2">
        <f>Superstore_Sales[[#This Row],[TotalSales]]-Superstore_Sales[[#This Row],[Dis_amt]]-Superstore_Sales[[#This Row],[Shipping Cost]]</f>
        <v>16458.632979999998</v>
      </c>
    </row>
    <row r="805" spans="1:28" x14ac:dyDescent="0.35">
      <c r="A805">
        <v>16452</v>
      </c>
      <c r="B805" t="s">
        <v>3806</v>
      </c>
      <c r="C805" s="1">
        <v>41430</v>
      </c>
      <c r="D805" s="1">
        <v>41436</v>
      </c>
      <c r="E805">
        <f>Superstore_Sales[[#This Row],[Ship Date]]-Superstore_Sales[[#This Row],[Order Date]]</f>
        <v>6</v>
      </c>
      <c r="F805" t="s">
        <v>98</v>
      </c>
      <c r="G805" t="s">
        <v>3807</v>
      </c>
      <c r="H805" t="s">
        <v>3808</v>
      </c>
      <c r="I805" t="s">
        <v>43</v>
      </c>
      <c r="K805" t="s">
        <v>3809</v>
      </c>
      <c r="L805" t="s">
        <v>310</v>
      </c>
      <c r="M805" t="s">
        <v>210</v>
      </c>
      <c r="N805" t="s">
        <v>211</v>
      </c>
      <c r="O805" t="s">
        <v>69</v>
      </c>
      <c r="P805" t="s">
        <v>3738</v>
      </c>
      <c r="Q805" t="s">
        <v>35</v>
      </c>
      <c r="R805" t="s">
        <v>81</v>
      </c>
      <c r="S805" t="s">
        <v>3739</v>
      </c>
      <c r="T805">
        <v>1891.5</v>
      </c>
      <c r="U805">
        <v>5</v>
      </c>
      <c r="V805">
        <v>0</v>
      </c>
      <c r="W805">
        <v>832.2</v>
      </c>
      <c r="X805">
        <v>211.56</v>
      </c>
      <c r="Y805" t="s">
        <v>61</v>
      </c>
      <c r="Z805">
        <f>Superstore_Sales[[#This Row],[Sales]]*Superstore_Sales[[#This Row],[Quantity]]</f>
        <v>9457.5</v>
      </c>
      <c r="AA805" s="3">
        <f>Superstore_Sales[[#This Row],[TotalSales]]*Superstore_Sales[[#This Row],[Discount]]/100</f>
        <v>0</v>
      </c>
      <c r="AB805" s="2">
        <f>Superstore_Sales[[#This Row],[TotalSales]]-Superstore_Sales[[#This Row],[Dis_amt]]-Superstore_Sales[[#This Row],[Shipping Cost]]</f>
        <v>9245.94</v>
      </c>
    </row>
    <row r="806" spans="1:28" x14ac:dyDescent="0.35">
      <c r="A806">
        <v>7361</v>
      </c>
      <c r="B806" t="s">
        <v>3810</v>
      </c>
      <c r="C806" s="1">
        <v>41762</v>
      </c>
      <c r="D806" s="1">
        <v>41763</v>
      </c>
      <c r="E806">
        <f>Superstore_Sales[[#This Row],[Ship Date]]-Superstore_Sales[[#This Row],[Order Date]]</f>
        <v>1</v>
      </c>
      <c r="F806" t="s">
        <v>25</v>
      </c>
      <c r="G806" t="s">
        <v>3811</v>
      </c>
      <c r="H806" t="s">
        <v>1006</v>
      </c>
      <c r="I806" t="s">
        <v>43</v>
      </c>
      <c r="K806" t="s">
        <v>3812</v>
      </c>
      <c r="L806" t="s">
        <v>3812</v>
      </c>
      <c r="M806" t="s">
        <v>265</v>
      </c>
      <c r="N806" t="s">
        <v>266</v>
      </c>
      <c r="O806" t="s">
        <v>136</v>
      </c>
      <c r="P806" t="s">
        <v>3813</v>
      </c>
      <c r="Q806" t="s">
        <v>147</v>
      </c>
      <c r="R806" t="s">
        <v>148</v>
      </c>
      <c r="S806" t="s">
        <v>3814</v>
      </c>
      <c r="T806">
        <v>912.24</v>
      </c>
      <c r="U806">
        <v>3</v>
      </c>
      <c r="V806">
        <v>0.2</v>
      </c>
      <c r="W806">
        <v>68.400000000000006</v>
      </c>
      <c r="X806">
        <v>211.554</v>
      </c>
      <c r="Y806" t="s">
        <v>38</v>
      </c>
      <c r="Z806">
        <f>Superstore_Sales[[#This Row],[Sales]]*Superstore_Sales[[#This Row],[Quantity]]</f>
        <v>2736.7200000000003</v>
      </c>
      <c r="AA806" s="3">
        <f>Superstore_Sales[[#This Row],[TotalSales]]*Superstore_Sales[[#This Row],[Discount]]/100</f>
        <v>5.4734400000000001</v>
      </c>
      <c r="AB806" s="2">
        <f>Superstore_Sales[[#This Row],[TotalSales]]-Superstore_Sales[[#This Row],[Dis_amt]]-Superstore_Sales[[#This Row],[Shipping Cost]]</f>
        <v>2519.69256</v>
      </c>
    </row>
    <row r="807" spans="1:28" x14ac:dyDescent="0.35">
      <c r="A807">
        <v>6274</v>
      </c>
      <c r="B807" t="s">
        <v>3815</v>
      </c>
      <c r="C807" s="1">
        <v>41914</v>
      </c>
      <c r="D807" s="1">
        <v>41917</v>
      </c>
      <c r="E807">
        <f>Superstore_Sales[[#This Row],[Ship Date]]-Superstore_Sales[[#This Row],[Order Date]]</f>
        <v>3</v>
      </c>
      <c r="F807" t="s">
        <v>25</v>
      </c>
      <c r="G807" t="s">
        <v>3816</v>
      </c>
      <c r="H807" t="s">
        <v>3817</v>
      </c>
      <c r="I807" t="s">
        <v>65</v>
      </c>
      <c r="K807" t="s">
        <v>3818</v>
      </c>
      <c r="L807" t="s">
        <v>3818</v>
      </c>
      <c r="M807" t="s">
        <v>491</v>
      </c>
      <c r="N807" t="s">
        <v>220</v>
      </c>
      <c r="O807" t="s">
        <v>136</v>
      </c>
      <c r="P807" t="s">
        <v>713</v>
      </c>
      <c r="Q807" t="s">
        <v>35</v>
      </c>
      <c r="R807" t="s">
        <v>81</v>
      </c>
      <c r="S807" t="s">
        <v>714</v>
      </c>
      <c r="T807">
        <v>947.22</v>
      </c>
      <c r="U807">
        <v>4</v>
      </c>
      <c r="V807">
        <v>2E-3</v>
      </c>
      <c r="W807">
        <v>377.7</v>
      </c>
      <c r="X807">
        <v>211.55199999999999</v>
      </c>
      <c r="Y807" t="s">
        <v>38</v>
      </c>
      <c r="Z807">
        <f>Superstore_Sales[[#This Row],[Sales]]*Superstore_Sales[[#This Row],[Quantity]]</f>
        <v>3788.88</v>
      </c>
      <c r="AA807" s="3">
        <f>Superstore_Sales[[#This Row],[TotalSales]]*Superstore_Sales[[#This Row],[Discount]]/100</f>
        <v>7.5777600000000001E-2</v>
      </c>
      <c r="AB807" s="2">
        <f>Superstore_Sales[[#This Row],[TotalSales]]-Superstore_Sales[[#This Row],[Dis_amt]]-Superstore_Sales[[#This Row],[Shipping Cost]]</f>
        <v>3577.2522223999999</v>
      </c>
    </row>
    <row r="808" spans="1:28" x14ac:dyDescent="0.35">
      <c r="A808">
        <v>19775</v>
      </c>
      <c r="B808" t="s">
        <v>3819</v>
      </c>
      <c r="C808" s="1">
        <v>41257</v>
      </c>
      <c r="D808" s="1">
        <v>41261</v>
      </c>
      <c r="E808">
        <f>Superstore_Sales[[#This Row],[Ship Date]]-Superstore_Sales[[#This Row],[Order Date]]</f>
        <v>4</v>
      </c>
      <c r="F808" t="s">
        <v>98</v>
      </c>
      <c r="G808" t="s">
        <v>3820</v>
      </c>
      <c r="H808" t="s">
        <v>3821</v>
      </c>
      <c r="I808" t="s">
        <v>28</v>
      </c>
      <c r="K808" t="s">
        <v>509</v>
      </c>
      <c r="L808" t="s">
        <v>310</v>
      </c>
      <c r="M808" t="s">
        <v>210</v>
      </c>
      <c r="N808" t="s">
        <v>211</v>
      </c>
      <c r="O808" t="s">
        <v>69</v>
      </c>
      <c r="P808" t="s">
        <v>797</v>
      </c>
      <c r="Q808" t="s">
        <v>50</v>
      </c>
      <c r="R808" t="s">
        <v>336</v>
      </c>
      <c r="S808" t="s">
        <v>798</v>
      </c>
      <c r="T808">
        <v>1983.02</v>
      </c>
      <c r="U808">
        <v>5</v>
      </c>
      <c r="V808">
        <v>0.1</v>
      </c>
      <c r="W808">
        <v>616.82000000000005</v>
      </c>
      <c r="X808">
        <v>211.36</v>
      </c>
      <c r="Y808" t="s">
        <v>38</v>
      </c>
      <c r="Z808">
        <f>Superstore_Sales[[#This Row],[Sales]]*Superstore_Sales[[#This Row],[Quantity]]</f>
        <v>9915.1</v>
      </c>
      <c r="AA808" s="3">
        <f>Superstore_Sales[[#This Row],[TotalSales]]*Superstore_Sales[[#This Row],[Discount]]/100</f>
        <v>9.9151000000000007</v>
      </c>
      <c r="AB808" s="2">
        <f>Superstore_Sales[[#This Row],[TotalSales]]-Superstore_Sales[[#This Row],[Dis_amt]]-Superstore_Sales[[#This Row],[Shipping Cost]]</f>
        <v>9693.8248999999996</v>
      </c>
    </row>
    <row r="809" spans="1:28" x14ac:dyDescent="0.35">
      <c r="A809">
        <v>4000</v>
      </c>
      <c r="B809" t="s">
        <v>3822</v>
      </c>
      <c r="C809" s="1">
        <v>41572</v>
      </c>
      <c r="D809" s="1">
        <v>41576</v>
      </c>
      <c r="E809">
        <f>Superstore_Sales[[#This Row],[Ship Date]]-Superstore_Sales[[#This Row],[Order Date]]</f>
        <v>4</v>
      </c>
      <c r="F809" t="s">
        <v>98</v>
      </c>
      <c r="G809" t="s">
        <v>3823</v>
      </c>
      <c r="H809" t="s">
        <v>3777</v>
      </c>
      <c r="I809" t="s">
        <v>28</v>
      </c>
      <c r="K809" t="s">
        <v>1326</v>
      </c>
      <c r="L809" t="s">
        <v>1326</v>
      </c>
      <c r="M809" t="s">
        <v>491</v>
      </c>
      <c r="N809" t="s">
        <v>220</v>
      </c>
      <c r="O809" t="s">
        <v>136</v>
      </c>
      <c r="P809" t="s">
        <v>221</v>
      </c>
      <c r="Q809" t="s">
        <v>35</v>
      </c>
      <c r="R809" t="s">
        <v>36</v>
      </c>
      <c r="S809" t="s">
        <v>222</v>
      </c>
      <c r="T809">
        <v>2146.6</v>
      </c>
      <c r="U809">
        <v>5</v>
      </c>
      <c r="V809">
        <v>0</v>
      </c>
      <c r="W809">
        <v>429.3</v>
      </c>
      <c r="X809">
        <v>211.30699999999999</v>
      </c>
      <c r="Y809" t="s">
        <v>61</v>
      </c>
      <c r="Z809">
        <f>Superstore_Sales[[#This Row],[Sales]]*Superstore_Sales[[#This Row],[Quantity]]</f>
        <v>10733</v>
      </c>
      <c r="AA809" s="3">
        <f>Superstore_Sales[[#This Row],[TotalSales]]*Superstore_Sales[[#This Row],[Discount]]/100</f>
        <v>0</v>
      </c>
      <c r="AB809" s="2">
        <f>Superstore_Sales[[#This Row],[TotalSales]]-Superstore_Sales[[#This Row],[Dis_amt]]-Superstore_Sales[[#This Row],[Shipping Cost]]</f>
        <v>10521.692999999999</v>
      </c>
    </row>
    <row r="810" spans="1:28" x14ac:dyDescent="0.35">
      <c r="A810">
        <v>10501</v>
      </c>
      <c r="B810" t="s">
        <v>3824</v>
      </c>
      <c r="C810" s="1">
        <v>41688</v>
      </c>
      <c r="D810" s="1">
        <v>41695</v>
      </c>
      <c r="E810">
        <f>Superstore_Sales[[#This Row],[Ship Date]]-Superstore_Sales[[#This Row],[Order Date]]</f>
        <v>7</v>
      </c>
      <c r="F810" t="s">
        <v>98</v>
      </c>
      <c r="G810" t="s">
        <v>3825</v>
      </c>
      <c r="H810" t="s">
        <v>3826</v>
      </c>
      <c r="I810" t="s">
        <v>43</v>
      </c>
      <c r="K810" t="s">
        <v>3827</v>
      </c>
      <c r="L810" t="s">
        <v>1107</v>
      </c>
      <c r="M810" t="s">
        <v>463</v>
      </c>
      <c r="N810" t="s">
        <v>171</v>
      </c>
      <c r="O810" t="s">
        <v>69</v>
      </c>
      <c r="P810" t="s">
        <v>1773</v>
      </c>
      <c r="Q810" t="s">
        <v>35</v>
      </c>
      <c r="R810" t="s">
        <v>81</v>
      </c>
      <c r="S810" t="s">
        <v>1774</v>
      </c>
      <c r="T810">
        <v>2879.82</v>
      </c>
      <c r="U810">
        <v>9</v>
      </c>
      <c r="V810">
        <v>0</v>
      </c>
      <c r="W810">
        <v>1295.73</v>
      </c>
      <c r="X810">
        <v>211.3</v>
      </c>
      <c r="Y810" t="s">
        <v>61</v>
      </c>
      <c r="Z810">
        <f>Superstore_Sales[[#This Row],[Sales]]*Superstore_Sales[[#This Row],[Quantity]]</f>
        <v>25918.38</v>
      </c>
      <c r="AA810" s="3">
        <f>Superstore_Sales[[#This Row],[TotalSales]]*Superstore_Sales[[#This Row],[Discount]]/100</f>
        <v>0</v>
      </c>
      <c r="AB810" s="2">
        <f>Superstore_Sales[[#This Row],[TotalSales]]-Superstore_Sales[[#This Row],[Dis_amt]]-Superstore_Sales[[#This Row],[Shipping Cost]]</f>
        <v>25707.08</v>
      </c>
    </row>
    <row r="811" spans="1:28" x14ac:dyDescent="0.35">
      <c r="A811">
        <v>10780</v>
      </c>
      <c r="B811" t="s">
        <v>3828</v>
      </c>
      <c r="C811" s="1">
        <v>42258</v>
      </c>
      <c r="D811" s="1">
        <v>42259</v>
      </c>
      <c r="E811">
        <f>Superstore_Sales[[#This Row],[Ship Date]]-Superstore_Sales[[#This Row],[Order Date]]</f>
        <v>1</v>
      </c>
      <c r="F811" t="s">
        <v>25</v>
      </c>
      <c r="G811" t="s">
        <v>3829</v>
      </c>
      <c r="H811" t="s">
        <v>2575</v>
      </c>
      <c r="I811" t="s">
        <v>43</v>
      </c>
      <c r="K811" t="s">
        <v>3830</v>
      </c>
      <c r="L811" t="s">
        <v>1360</v>
      </c>
      <c r="M811" t="s">
        <v>155</v>
      </c>
      <c r="N811" t="s">
        <v>68</v>
      </c>
      <c r="O811" t="s">
        <v>69</v>
      </c>
      <c r="P811" t="s">
        <v>3831</v>
      </c>
      <c r="Q811" t="s">
        <v>50</v>
      </c>
      <c r="R811" t="s">
        <v>104</v>
      </c>
      <c r="S811" t="s">
        <v>3832</v>
      </c>
      <c r="T811">
        <v>1622.01</v>
      </c>
      <c r="U811">
        <v>5</v>
      </c>
      <c r="V811">
        <v>0.35</v>
      </c>
      <c r="W811">
        <v>-623.94000000000005</v>
      </c>
      <c r="X811">
        <v>211.17</v>
      </c>
      <c r="Y811" t="s">
        <v>38</v>
      </c>
      <c r="Z811">
        <f>Superstore_Sales[[#This Row],[Sales]]*Superstore_Sales[[#This Row],[Quantity]]</f>
        <v>8110.05</v>
      </c>
      <c r="AA811" s="3">
        <f>Superstore_Sales[[#This Row],[TotalSales]]*Superstore_Sales[[#This Row],[Discount]]/100</f>
        <v>28.385175</v>
      </c>
      <c r="AB811" s="2">
        <f>Superstore_Sales[[#This Row],[TotalSales]]-Superstore_Sales[[#This Row],[Dis_amt]]-Superstore_Sales[[#This Row],[Shipping Cost]]</f>
        <v>7870.4948249999998</v>
      </c>
    </row>
    <row r="812" spans="1:28" x14ac:dyDescent="0.35">
      <c r="A812">
        <v>17707</v>
      </c>
      <c r="B812" t="s">
        <v>3833</v>
      </c>
      <c r="C812" s="1">
        <v>41927</v>
      </c>
      <c r="D812" s="1">
        <v>41931</v>
      </c>
      <c r="E812">
        <f>Superstore_Sales[[#This Row],[Ship Date]]-Superstore_Sales[[#This Row],[Order Date]]</f>
        <v>4</v>
      </c>
      <c r="F812" t="s">
        <v>98</v>
      </c>
      <c r="G812" t="s">
        <v>3834</v>
      </c>
      <c r="H812" t="s">
        <v>2050</v>
      </c>
      <c r="I812" t="s">
        <v>28</v>
      </c>
      <c r="K812" t="s">
        <v>153</v>
      </c>
      <c r="L812" t="s">
        <v>154</v>
      </c>
      <c r="M812" t="s">
        <v>155</v>
      </c>
      <c r="N812" t="s">
        <v>68</v>
      </c>
      <c r="O812" t="s">
        <v>69</v>
      </c>
      <c r="P812" t="s">
        <v>2298</v>
      </c>
      <c r="Q812" t="s">
        <v>147</v>
      </c>
      <c r="R812" t="s">
        <v>148</v>
      </c>
      <c r="S812" t="s">
        <v>2299</v>
      </c>
      <c r="T812">
        <v>1503.68</v>
      </c>
      <c r="U812">
        <v>6</v>
      </c>
      <c r="V812">
        <v>0.1</v>
      </c>
      <c r="W812">
        <v>284</v>
      </c>
      <c r="X812">
        <v>211.16</v>
      </c>
      <c r="Y812" t="s">
        <v>38</v>
      </c>
      <c r="Z812">
        <f>Superstore_Sales[[#This Row],[Sales]]*Superstore_Sales[[#This Row],[Quantity]]</f>
        <v>9022.08</v>
      </c>
      <c r="AA812" s="3">
        <f>Superstore_Sales[[#This Row],[TotalSales]]*Superstore_Sales[[#This Row],[Discount]]/100</f>
        <v>9.0220800000000008</v>
      </c>
      <c r="AB812" s="2">
        <f>Superstore_Sales[[#This Row],[TotalSales]]-Superstore_Sales[[#This Row],[Dis_amt]]-Superstore_Sales[[#This Row],[Shipping Cost]]</f>
        <v>8801.8979199999994</v>
      </c>
    </row>
    <row r="813" spans="1:28" x14ac:dyDescent="0.35">
      <c r="A813">
        <v>21476</v>
      </c>
      <c r="B813" t="s">
        <v>3835</v>
      </c>
      <c r="C813" s="1">
        <v>41928</v>
      </c>
      <c r="D813" s="1">
        <v>41930</v>
      </c>
      <c r="E813">
        <f>Superstore_Sales[[#This Row],[Ship Date]]-Superstore_Sales[[#This Row],[Order Date]]</f>
        <v>2</v>
      </c>
      <c r="F813" t="s">
        <v>25</v>
      </c>
      <c r="G813" t="s">
        <v>3836</v>
      </c>
      <c r="H813" t="s">
        <v>357</v>
      </c>
      <c r="I813" t="s">
        <v>43</v>
      </c>
      <c r="K813" t="s">
        <v>2610</v>
      </c>
      <c r="L813" t="s">
        <v>573</v>
      </c>
      <c r="M813" t="s">
        <v>321</v>
      </c>
      <c r="N813" t="s">
        <v>322</v>
      </c>
      <c r="O813" t="s">
        <v>48</v>
      </c>
      <c r="P813" t="s">
        <v>2000</v>
      </c>
      <c r="Q813" t="s">
        <v>147</v>
      </c>
      <c r="R813" t="s">
        <v>148</v>
      </c>
      <c r="S813" t="s">
        <v>2001</v>
      </c>
      <c r="T813">
        <v>893.56</v>
      </c>
      <c r="U813">
        <v>2</v>
      </c>
      <c r="V813">
        <v>0.17</v>
      </c>
      <c r="W813">
        <v>247.6</v>
      </c>
      <c r="X813">
        <v>211.08</v>
      </c>
      <c r="Y813" t="s">
        <v>53</v>
      </c>
      <c r="Z813">
        <f>Superstore_Sales[[#This Row],[Sales]]*Superstore_Sales[[#This Row],[Quantity]]</f>
        <v>1787.12</v>
      </c>
      <c r="AA813" s="3">
        <f>Superstore_Sales[[#This Row],[TotalSales]]*Superstore_Sales[[#This Row],[Discount]]/100</f>
        <v>3.0381040000000001</v>
      </c>
      <c r="AB813" s="2">
        <f>Superstore_Sales[[#This Row],[TotalSales]]-Superstore_Sales[[#This Row],[Dis_amt]]-Superstore_Sales[[#This Row],[Shipping Cost]]</f>
        <v>1573.001896</v>
      </c>
    </row>
    <row r="814" spans="1:28" x14ac:dyDescent="0.35">
      <c r="A814">
        <v>4020</v>
      </c>
      <c r="B814" t="s">
        <v>3837</v>
      </c>
      <c r="C814" s="1">
        <v>42074</v>
      </c>
      <c r="D814" s="1">
        <v>42077</v>
      </c>
      <c r="E814">
        <f>Superstore_Sales[[#This Row],[Ship Date]]-Superstore_Sales[[#This Row],[Order Date]]</f>
        <v>3</v>
      </c>
      <c r="F814" t="s">
        <v>25</v>
      </c>
      <c r="G814" t="s">
        <v>3838</v>
      </c>
      <c r="H814" t="s">
        <v>402</v>
      </c>
      <c r="I814" t="s">
        <v>28</v>
      </c>
      <c r="K814" t="s">
        <v>3839</v>
      </c>
      <c r="L814" t="s">
        <v>3840</v>
      </c>
      <c r="M814" t="s">
        <v>1440</v>
      </c>
      <c r="N814" t="s">
        <v>266</v>
      </c>
      <c r="O814" t="s">
        <v>136</v>
      </c>
      <c r="P814" t="s">
        <v>237</v>
      </c>
      <c r="Q814" t="s">
        <v>50</v>
      </c>
      <c r="R814" t="s">
        <v>104</v>
      </c>
      <c r="S814" t="s">
        <v>238</v>
      </c>
      <c r="T814">
        <v>1143.44</v>
      </c>
      <c r="U814">
        <v>2</v>
      </c>
      <c r="V814">
        <v>0</v>
      </c>
      <c r="W814">
        <v>320.16000000000003</v>
      </c>
      <c r="X814">
        <v>210.79499999999999</v>
      </c>
      <c r="Y814" t="s">
        <v>53</v>
      </c>
      <c r="Z814">
        <f>Superstore_Sales[[#This Row],[Sales]]*Superstore_Sales[[#This Row],[Quantity]]</f>
        <v>2286.88</v>
      </c>
      <c r="AA814" s="3">
        <f>Superstore_Sales[[#This Row],[TotalSales]]*Superstore_Sales[[#This Row],[Discount]]/100</f>
        <v>0</v>
      </c>
      <c r="AB814" s="2">
        <f>Superstore_Sales[[#This Row],[TotalSales]]-Superstore_Sales[[#This Row],[Dis_amt]]-Superstore_Sales[[#This Row],[Shipping Cost]]</f>
        <v>2076.085</v>
      </c>
    </row>
    <row r="815" spans="1:28" x14ac:dyDescent="0.35">
      <c r="A815">
        <v>45898</v>
      </c>
      <c r="B815" t="s">
        <v>3841</v>
      </c>
      <c r="C815" s="1">
        <v>42264</v>
      </c>
      <c r="D815" s="1">
        <v>42268</v>
      </c>
      <c r="E815">
        <f>Superstore_Sales[[#This Row],[Ship Date]]-Superstore_Sales[[#This Row],[Order Date]]</f>
        <v>4</v>
      </c>
      <c r="F815" t="s">
        <v>98</v>
      </c>
      <c r="G815" t="s">
        <v>3842</v>
      </c>
      <c r="H815" t="s">
        <v>1423</v>
      </c>
      <c r="I815" t="s">
        <v>65</v>
      </c>
      <c r="K815" t="s">
        <v>3843</v>
      </c>
      <c r="L815" t="s">
        <v>3844</v>
      </c>
      <c r="M815" t="s">
        <v>553</v>
      </c>
      <c r="N815" t="s">
        <v>554</v>
      </c>
      <c r="O815" t="s">
        <v>79</v>
      </c>
      <c r="P815" t="s">
        <v>2330</v>
      </c>
      <c r="Q815" t="s">
        <v>35</v>
      </c>
      <c r="R815" t="s">
        <v>81</v>
      </c>
      <c r="S815" t="s">
        <v>2331</v>
      </c>
      <c r="T815">
        <v>2280.6</v>
      </c>
      <c r="U815">
        <v>6</v>
      </c>
      <c r="V815">
        <v>0</v>
      </c>
      <c r="W815">
        <v>136.80000000000001</v>
      </c>
      <c r="X815">
        <v>210.65</v>
      </c>
      <c r="Y815" t="s">
        <v>61</v>
      </c>
      <c r="Z815">
        <f>Superstore_Sales[[#This Row],[Sales]]*Superstore_Sales[[#This Row],[Quantity]]</f>
        <v>13683.599999999999</v>
      </c>
      <c r="AA815" s="3">
        <f>Superstore_Sales[[#This Row],[TotalSales]]*Superstore_Sales[[#This Row],[Discount]]/100</f>
        <v>0</v>
      </c>
      <c r="AB815" s="2">
        <f>Superstore_Sales[[#This Row],[TotalSales]]-Superstore_Sales[[#This Row],[Dis_amt]]-Superstore_Sales[[#This Row],[Shipping Cost]]</f>
        <v>13472.949999999999</v>
      </c>
    </row>
    <row r="816" spans="1:28" x14ac:dyDescent="0.35">
      <c r="A816">
        <v>8137</v>
      </c>
      <c r="B816" t="s">
        <v>3845</v>
      </c>
      <c r="C816" s="1">
        <v>41216</v>
      </c>
      <c r="D816" s="1">
        <v>41218</v>
      </c>
      <c r="E816">
        <f>Superstore_Sales[[#This Row],[Ship Date]]-Superstore_Sales[[#This Row],[Order Date]]</f>
        <v>2</v>
      </c>
      <c r="F816" t="s">
        <v>40</v>
      </c>
      <c r="G816" t="s">
        <v>3846</v>
      </c>
      <c r="H816" t="s">
        <v>466</v>
      </c>
      <c r="I816" t="s">
        <v>43</v>
      </c>
      <c r="K816" t="s">
        <v>3847</v>
      </c>
      <c r="L816" t="s">
        <v>3847</v>
      </c>
      <c r="M816" t="s">
        <v>3848</v>
      </c>
      <c r="N816" t="s">
        <v>135</v>
      </c>
      <c r="O816" t="s">
        <v>136</v>
      </c>
      <c r="P816" t="s">
        <v>3849</v>
      </c>
      <c r="Q816" t="s">
        <v>147</v>
      </c>
      <c r="R816" t="s">
        <v>148</v>
      </c>
      <c r="S816" t="s">
        <v>3850</v>
      </c>
      <c r="T816">
        <v>1401.84</v>
      </c>
      <c r="U816">
        <v>4</v>
      </c>
      <c r="V816">
        <v>0</v>
      </c>
      <c r="W816">
        <v>126.16</v>
      </c>
      <c r="X816">
        <v>210.637</v>
      </c>
      <c r="Y816" t="s">
        <v>38</v>
      </c>
      <c r="Z816">
        <f>Superstore_Sales[[#This Row],[Sales]]*Superstore_Sales[[#This Row],[Quantity]]</f>
        <v>5607.36</v>
      </c>
      <c r="AA816" s="3">
        <f>Superstore_Sales[[#This Row],[TotalSales]]*Superstore_Sales[[#This Row],[Discount]]/100</f>
        <v>0</v>
      </c>
      <c r="AB816" s="2">
        <f>Superstore_Sales[[#This Row],[TotalSales]]-Superstore_Sales[[#This Row],[Dis_amt]]-Superstore_Sales[[#This Row],[Shipping Cost]]</f>
        <v>5396.723</v>
      </c>
    </row>
    <row r="817" spans="1:28" x14ac:dyDescent="0.35">
      <c r="A817">
        <v>12242</v>
      </c>
      <c r="B817" t="s">
        <v>3851</v>
      </c>
      <c r="C817" s="1">
        <v>42276</v>
      </c>
      <c r="D817" s="1">
        <v>42283</v>
      </c>
      <c r="E817">
        <f>Superstore_Sales[[#This Row],[Ship Date]]-Superstore_Sales[[#This Row],[Order Date]]</f>
        <v>7</v>
      </c>
      <c r="F817" t="s">
        <v>98</v>
      </c>
      <c r="G817" t="s">
        <v>3852</v>
      </c>
      <c r="H817" t="s">
        <v>1126</v>
      </c>
      <c r="I817" t="s">
        <v>43</v>
      </c>
      <c r="K817" t="s">
        <v>3853</v>
      </c>
      <c r="L817" t="s">
        <v>662</v>
      </c>
      <c r="M817" t="s">
        <v>67</v>
      </c>
      <c r="N817" t="s">
        <v>68</v>
      </c>
      <c r="O817" t="s">
        <v>69</v>
      </c>
      <c r="P817" t="s">
        <v>3854</v>
      </c>
      <c r="Q817" t="s">
        <v>35</v>
      </c>
      <c r="R817" t="s">
        <v>275</v>
      </c>
      <c r="S817" t="s">
        <v>3855</v>
      </c>
      <c r="T817">
        <v>2088.2399999999998</v>
      </c>
      <c r="U817">
        <v>8</v>
      </c>
      <c r="V817">
        <v>0</v>
      </c>
      <c r="W817">
        <v>83.52</v>
      </c>
      <c r="X817">
        <v>210.59</v>
      </c>
      <c r="Y817" t="s">
        <v>164</v>
      </c>
      <c r="Z817">
        <f>Superstore_Sales[[#This Row],[Sales]]*Superstore_Sales[[#This Row],[Quantity]]</f>
        <v>16705.919999999998</v>
      </c>
      <c r="AA817" s="3">
        <f>Superstore_Sales[[#This Row],[TotalSales]]*Superstore_Sales[[#This Row],[Discount]]/100</f>
        <v>0</v>
      </c>
      <c r="AB817" s="2">
        <f>Superstore_Sales[[#This Row],[TotalSales]]-Superstore_Sales[[#This Row],[Dis_amt]]-Superstore_Sales[[#This Row],[Shipping Cost]]</f>
        <v>16495.329999999998</v>
      </c>
    </row>
    <row r="818" spans="1:28" x14ac:dyDescent="0.35">
      <c r="A818">
        <v>28853</v>
      </c>
      <c r="B818" t="s">
        <v>3856</v>
      </c>
      <c r="C818" s="1">
        <v>42194</v>
      </c>
      <c r="D818" s="1">
        <v>42198</v>
      </c>
      <c r="E818">
        <f>Superstore_Sales[[#This Row],[Ship Date]]-Superstore_Sales[[#This Row],[Order Date]]</f>
        <v>4</v>
      </c>
      <c r="F818" t="s">
        <v>98</v>
      </c>
      <c r="G818" t="s">
        <v>3857</v>
      </c>
      <c r="H818" t="s">
        <v>3858</v>
      </c>
      <c r="I818" t="s">
        <v>65</v>
      </c>
      <c r="K818" t="s">
        <v>3859</v>
      </c>
      <c r="L818" t="s">
        <v>1946</v>
      </c>
      <c r="M818" t="s">
        <v>258</v>
      </c>
      <c r="N818" t="s">
        <v>118</v>
      </c>
      <c r="O818" t="s">
        <v>48</v>
      </c>
      <c r="P818" t="s">
        <v>3860</v>
      </c>
      <c r="Q818" t="s">
        <v>50</v>
      </c>
      <c r="R818" t="s">
        <v>336</v>
      </c>
      <c r="S818" t="s">
        <v>3861</v>
      </c>
      <c r="T818">
        <v>2194.5300000000002</v>
      </c>
      <c r="U818">
        <v>13</v>
      </c>
      <c r="V818">
        <v>0</v>
      </c>
      <c r="W818">
        <v>438.75</v>
      </c>
      <c r="X818">
        <v>210.22</v>
      </c>
      <c r="Y818" t="s">
        <v>38</v>
      </c>
      <c r="Z818">
        <f>Superstore_Sales[[#This Row],[Sales]]*Superstore_Sales[[#This Row],[Quantity]]</f>
        <v>28528.890000000003</v>
      </c>
      <c r="AA818" s="3">
        <f>Superstore_Sales[[#This Row],[TotalSales]]*Superstore_Sales[[#This Row],[Discount]]/100</f>
        <v>0</v>
      </c>
      <c r="AB818" s="2">
        <f>Superstore_Sales[[#This Row],[TotalSales]]-Superstore_Sales[[#This Row],[Dis_amt]]-Superstore_Sales[[#This Row],[Shipping Cost]]</f>
        <v>28318.670000000002</v>
      </c>
    </row>
    <row r="819" spans="1:28" x14ac:dyDescent="0.35">
      <c r="A819">
        <v>13781</v>
      </c>
      <c r="B819" t="s">
        <v>3862</v>
      </c>
      <c r="C819" s="1">
        <v>41352</v>
      </c>
      <c r="D819" s="1">
        <v>41352</v>
      </c>
      <c r="E819">
        <f>Superstore_Sales[[#This Row],[Ship Date]]-Superstore_Sales[[#This Row],[Order Date]]</f>
        <v>0</v>
      </c>
      <c r="F819" t="s">
        <v>73</v>
      </c>
      <c r="G819" t="s">
        <v>3863</v>
      </c>
      <c r="H819" t="s">
        <v>2349</v>
      </c>
      <c r="I819" t="s">
        <v>43</v>
      </c>
      <c r="K819" t="s">
        <v>3864</v>
      </c>
      <c r="L819" t="s">
        <v>527</v>
      </c>
      <c r="M819" t="s">
        <v>67</v>
      </c>
      <c r="N819" t="s">
        <v>68</v>
      </c>
      <c r="O819" t="s">
        <v>69</v>
      </c>
      <c r="P819" t="s">
        <v>3865</v>
      </c>
      <c r="Q819" t="s">
        <v>147</v>
      </c>
      <c r="R819" t="s">
        <v>162</v>
      </c>
      <c r="S819" t="s">
        <v>3866</v>
      </c>
      <c r="T819">
        <v>1527.12</v>
      </c>
      <c r="U819">
        <v>8</v>
      </c>
      <c r="V819">
        <v>0.1</v>
      </c>
      <c r="W819">
        <v>474.96</v>
      </c>
      <c r="X819">
        <v>209.96</v>
      </c>
      <c r="Y819" t="s">
        <v>38</v>
      </c>
      <c r="Z819">
        <f>Superstore_Sales[[#This Row],[Sales]]*Superstore_Sales[[#This Row],[Quantity]]</f>
        <v>12216.96</v>
      </c>
      <c r="AA819" s="3">
        <f>Superstore_Sales[[#This Row],[TotalSales]]*Superstore_Sales[[#This Row],[Discount]]/100</f>
        <v>12.216959999999998</v>
      </c>
      <c r="AB819" s="2">
        <f>Superstore_Sales[[#This Row],[TotalSales]]-Superstore_Sales[[#This Row],[Dis_amt]]-Superstore_Sales[[#This Row],[Shipping Cost]]</f>
        <v>11994.78304</v>
      </c>
    </row>
    <row r="820" spans="1:28" x14ac:dyDescent="0.35">
      <c r="A820">
        <v>29842</v>
      </c>
      <c r="B820" t="s">
        <v>3867</v>
      </c>
      <c r="C820" s="1">
        <v>41803</v>
      </c>
      <c r="D820" s="1">
        <v>41805</v>
      </c>
      <c r="E820">
        <f>Superstore_Sales[[#This Row],[Ship Date]]-Superstore_Sales[[#This Row],[Order Date]]</f>
        <v>2</v>
      </c>
      <c r="F820" t="s">
        <v>40</v>
      </c>
      <c r="G820" t="s">
        <v>3868</v>
      </c>
      <c r="H820" t="s">
        <v>2137</v>
      </c>
      <c r="I820" t="s">
        <v>65</v>
      </c>
      <c r="K820" t="s">
        <v>3869</v>
      </c>
      <c r="L820" t="s">
        <v>3870</v>
      </c>
      <c r="M820" t="s">
        <v>1155</v>
      </c>
      <c r="N820" t="s">
        <v>145</v>
      </c>
      <c r="O820" t="s">
        <v>48</v>
      </c>
      <c r="P820" t="s">
        <v>3871</v>
      </c>
      <c r="Q820" t="s">
        <v>147</v>
      </c>
      <c r="R820" t="s">
        <v>148</v>
      </c>
      <c r="S820" t="s">
        <v>3872</v>
      </c>
      <c r="T820">
        <v>972.62</v>
      </c>
      <c r="U820">
        <v>7</v>
      </c>
      <c r="V820">
        <v>0.5</v>
      </c>
      <c r="W820">
        <v>-486.47</v>
      </c>
      <c r="X820">
        <v>209.86</v>
      </c>
      <c r="Y820" t="s">
        <v>53</v>
      </c>
      <c r="Z820">
        <f>Superstore_Sales[[#This Row],[Sales]]*Superstore_Sales[[#This Row],[Quantity]]</f>
        <v>6808.34</v>
      </c>
      <c r="AA820" s="3">
        <f>Superstore_Sales[[#This Row],[TotalSales]]*Superstore_Sales[[#This Row],[Discount]]/100</f>
        <v>34.041699999999999</v>
      </c>
      <c r="AB820" s="2">
        <f>Superstore_Sales[[#This Row],[TotalSales]]-Superstore_Sales[[#This Row],[Dis_amt]]-Superstore_Sales[[#This Row],[Shipping Cost]]</f>
        <v>6564.4383000000007</v>
      </c>
    </row>
    <row r="821" spans="1:28" x14ac:dyDescent="0.35">
      <c r="A821">
        <v>24526</v>
      </c>
      <c r="B821" t="s">
        <v>3873</v>
      </c>
      <c r="C821" s="1">
        <v>41783</v>
      </c>
      <c r="D821" s="1">
        <v>41787</v>
      </c>
      <c r="E821">
        <f>Superstore_Sales[[#This Row],[Ship Date]]-Superstore_Sales[[#This Row],[Order Date]]</f>
        <v>4</v>
      </c>
      <c r="F821" t="s">
        <v>98</v>
      </c>
      <c r="G821" t="s">
        <v>3874</v>
      </c>
      <c r="H821" t="s">
        <v>740</v>
      </c>
      <c r="I821" t="s">
        <v>28</v>
      </c>
      <c r="K821" t="s">
        <v>3228</v>
      </c>
      <c r="L821" t="s">
        <v>3229</v>
      </c>
      <c r="M821" t="s">
        <v>767</v>
      </c>
      <c r="N821" t="s">
        <v>322</v>
      </c>
      <c r="O821" t="s">
        <v>48</v>
      </c>
      <c r="P821" t="s">
        <v>366</v>
      </c>
      <c r="Q821" t="s">
        <v>50</v>
      </c>
      <c r="R821" t="s">
        <v>51</v>
      </c>
      <c r="S821" t="s">
        <v>367</v>
      </c>
      <c r="T821">
        <v>2761.2</v>
      </c>
      <c r="U821">
        <v>6</v>
      </c>
      <c r="V821">
        <v>0</v>
      </c>
      <c r="W821">
        <v>110.34</v>
      </c>
      <c r="X821">
        <v>209.38</v>
      </c>
      <c r="Y821" t="s">
        <v>61</v>
      </c>
      <c r="Z821">
        <f>Superstore_Sales[[#This Row],[Sales]]*Superstore_Sales[[#This Row],[Quantity]]</f>
        <v>16567.199999999997</v>
      </c>
      <c r="AA821" s="3">
        <f>Superstore_Sales[[#This Row],[TotalSales]]*Superstore_Sales[[#This Row],[Discount]]/100</f>
        <v>0</v>
      </c>
      <c r="AB821" s="2">
        <f>Superstore_Sales[[#This Row],[TotalSales]]-Superstore_Sales[[#This Row],[Dis_amt]]-Superstore_Sales[[#This Row],[Shipping Cost]]</f>
        <v>16357.819999999998</v>
      </c>
    </row>
    <row r="822" spans="1:28" x14ac:dyDescent="0.35">
      <c r="A822">
        <v>50372</v>
      </c>
      <c r="B822" t="s">
        <v>3875</v>
      </c>
      <c r="C822" s="1">
        <v>41088</v>
      </c>
      <c r="D822" s="1">
        <v>41093</v>
      </c>
      <c r="E822">
        <f>Superstore_Sales[[#This Row],[Ship Date]]-Superstore_Sales[[#This Row],[Order Date]]</f>
        <v>5</v>
      </c>
      <c r="F822" t="s">
        <v>98</v>
      </c>
      <c r="G822" t="s">
        <v>3876</v>
      </c>
      <c r="H822" t="s">
        <v>3877</v>
      </c>
      <c r="I822" t="s">
        <v>43</v>
      </c>
      <c r="K822" t="s">
        <v>3878</v>
      </c>
      <c r="L822" t="s">
        <v>3879</v>
      </c>
      <c r="M822" t="s">
        <v>1180</v>
      </c>
      <c r="N822" t="s">
        <v>195</v>
      </c>
      <c r="O822" t="s">
        <v>69</v>
      </c>
      <c r="P822" t="s">
        <v>1264</v>
      </c>
      <c r="Q822" t="s">
        <v>50</v>
      </c>
      <c r="R822" t="s">
        <v>336</v>
      </c>
      <c r="S822" t="s">
        <v>1265</v>
      </c>
      <c r="T822">
        <v>3312.24</v>
      </c>
      <c r="U822">
        <v>8</v>
      </c>
      <c r="V822">
        <v>0</v>
      </c>
      <c r="W822">
        <v>1622.88</v>
      </c>
      <c r="X822">
        <v>209.36</v>
      </c>
      <c r="Y822" t="s">
        <v>61</v>
      </c>
      <c r="Z822">
        <f>Superstore_Sales[[#This Row],[Sales]]*Superstore_Sales[[#This Row],[Quantity]]</f>
        <v>26497.919999999998</v>
      </c>
      <c r="AA822" s="3">
        <f>Superstore_Sales[[#This Row],[TotalSales]]*Superstore_Sales[[#This Row],[Discount]]/100</f>
        <v>0</v>
      </c>
      <c r="AB822" s="2">
        <f>Superstore_Sales[[#This Row],[TotalSales]]-Superstore_Sales[[#This Row],[Dis_amt]]-Superstore_Sales[[#This Row],[Shipping Cost]]</f>
        <v>26288.559999999998</v>
      </c>
    </row>
    <row r="823" spans="1:28" x14ac:dyDescent="0.35">
      <c r="A823">
        <v>1804</v>
      </c>
      <c r="B823" t="s">
        <v>3880</v>
      </c>
      <c r="C823" s="1">
        <v>41256</v>
      </c>
      <c r="D823" s="1">
        <v>41256</v>
      </c>
      <c r="E823">
        <f>Superstore_Sales[[#This Row],[Ship Date]]-Superstore_Sales[[#This Row],[Order Date]]</f>
        <v>0</v>
      </c>
      <c r="F823" t="s">
        <v>73</v>
      </c>
      <c r="G823" t="s">
        <v>3881</v>
      </c>
      <c r="H823" t="s">
        <v>3031</v>
      </c>
      <c r="I823" t="s">
        <v>28</v>
      </c>
      <c r="K823" t="s">
        <v>3882</v>
      </c>
      <c r="L823" t="s">
        <v>3128</v>
      </c>
      <c r="M823" t="s">
        <v>219</v>
      </c>
      <c r="N823" t="s">
        <v>220</v>
      </c>
      <c r="O823" t="s">
        <v>136</v>
      </c>
      <c r="P823" t="s">
        <v>3883</v>
      </c>
      <c r="Q823" t="s">
        <v>50</v>
      </c>
      <c r="R823" t="s">
        <v>336</v>
      </c>
      <c r="S823" t="s">
        <v>3884</v>
      </c>
      <c r="T823">
        <v>825.79</v>
      </c>
      <c r="U823">
        <v>4</v>
      </c>
      <c r="V823">
        <v>0.2</v>
      </c>
      <c r="W823">
        <v>41.23</v>
      </c>
      <c r="X823">
        <v>209.316</v>
      </c>
      <c r="Y823" t="s">
        <v>53</v>
      </c>
      <c r="Z823">
        <f>Superstore_Sales[[#This Row],[Sales]]*Superstore_Sales[[#This Row],[Quantity]]</f>
        <v>3303.16</v>
      </c>
      <c r="AA823" s="3">
        <f>Superstore_Sales[[#This Row],[TotalSales]]*Superstore_Sales[[#This Row],[Discount]]/100</f>
        <v>6.6063200000000002</v>
      </c>
      <c r="AB823" s="2">
        <f>Superstore_Sales[[#This Row],[TotalSales]]-Superstore_Sales[[#This Row],[Dis_amt]]-Superstore_Sales[[#This Row],[Shipping Cost]]</f>
        <v>3087.2376800000002</v>
      </c>
    </row>
    <row r="824" spans="1:28" x14ac:dyDescent="0.35">
      <c r="A824">
        <v>28537</v>
      </c>
      <c r="B824" t="s">
        <v>3885</v>
      </c>
      <c r="C824" s="1">
        <v>41863</v>
      </c>
      <c r="D824" s="1">
        <v>41868</v>
      </c>
      <c r="E824">
        <f>Superstore_Sales[[#This Row],[Ship Date]]-Superstore_Sales[[#This Row],[Order Date]]</f>
        <v>5</v>
      </c>
      <c r="F824" t="s">
        <v>98</v>
      </c>
      <c r="G824" t="s">
        <v>3886</v>
      </c>
      <c r="H824" t="s">
        <v>3031</v>
      </c>
      <c r="I824" t="s">
        <v>28</v>
      </c>
      <c r="K824" t="s">
        <v>410</v>
      </c>
      <c r="L824" t="s">
        <v>410</v>
      </c>
      <c r="M824" t="s">
        <v>258</v>
      </c>
      <c r="N824" t="s">
        <v>118</v>
      </c>
      <c r="O824" t="s">
        <v>48</v>
      </c>
      <c r="P824" t="s">
        <v>510</v>
      </c>
      <c r="Q824" t="s">
        <v>35</v>
      </c>
      <c r="R824" t="s">
        <v>36</v>
      </c>
      <c r="S824" t="s">
        <v>511</v>
      </c>
      <c r="T824">
        <v>3180.3</v>
      </c>
      <c r="U824">
        <v>5</v>
      </c>
      <c r="V824">
        <v>0</v>
      </c>
      <c r="W824">
        <v>381.6</v>
      </c>
      <c r="X824">
        <v>209.29</v>
      </c>
      <c r="Y824" t="s">
        <v>61</v>
      </c>
      <c r="Z824">
        <f>Superstore_Sales[[#This Row],[Sales]]*Superstore_Sales[[#This Row],[Quantity]]</f>
        <v>15901.5</v>
      </c>
      <c r="AA824" s="3">
        <f>Superstore_Sales[[#This Row],[TotalSales]]*Superstore_Sales[[#This Row],[Discount]]/100</f>
        <v>0</v>
      </c>
      <c r="AB824" s="2">
        <f>Superstore_Sales[[#This Row],[TotalSales]]-Superstore_Sales[[#This Row],[Dis_amt]]-Superstore_Sales[[#This Row],[Shipping Cost]]</f>
        <v>15692.21</v>
      </c>
    </row>
    <row r="825" spans="1:28" x14ac:dyDescent="0.35">
      <c r="A825">
        <v>28032</v>
      </c>
      <c r="B825" t="s">
        <v>3887</v>
      </c>
      <c r="C825" s="1">
        <v>41527</v>
      </c>
      <c r="D825" s="1">
        <v>41529</v>
      </c>
      <c r="E825">
        <f>Superstore_Sales[[#This Row],[Ship Date]]-Superstore_Sales[[#This Row],[Order Date]]</f>
        <v>2</v>
      </c>
      <c r="F825" t="s">
        <v>40</v>
      </c>
      <c r="G825" t="s">
        <v>3888</v>
      </c>
      <c r="H825" t="s">
        <v>3889</v>
      </c>
      <c r="I825" t="s">
        <v>65</v>
      </c>
      <c r="K825" t="s">
        <v>2744</v>
      </c>
      <c r="L825" t="s">
        <v>2744</v>
      </c>
      <c r="M825" t="s">
        <v>144</v>
      </c>
      <c r="N825" t="s">
        <v>145</v>
      </c>
      <c r="O825" t="s">
        <v>48</v>
      </c>
      <c r="P825" t="s">
        <v>359</v>
      </c>
      <c r="Q825" t="s">
        <v>50</v>
      </c>
      <c r="R825" t="s">
        <v>51</v>
      </c>
      <c r="S825" t="s">
        <v>360</v>
      </c>
      <c r="T825">
        <v>1860</v>
      </c>
      <c r="U825">
        <v>4</v>
      </c>
      <c r="V825">
        <v>0</v>
      </c>
      <c r="W825">
        <v>316.2</v>
      </c>
      <c r="X825">
        <v>209.07</v>
      </c>
      <c r="Y825" t="s">
        <v>38</v>
      </c>
      <c r="Z825">
        <f>Superstore_Sales[[#This Row],[Sales]]*Superstore_Sales[[#This Row],[Quantity]]</f>
        <v>7440</v>
      </c>
      <c r="AA825" s="3">
        <f>Superstore_Sales[[#This Row],[TotalSales]]*Superstore_Sales[[#This Row],[Discount]]/100</f>
        <v>0</v>
      </c>
      <c r="AB825" s="2">
        <f>Superstore_Sales[[#This Row],[TotalSales]]-Superstore_Sales[[#This Row],[Dis_amt]]-Superstore_Sales[[#This Row],[Shipping Cost]]</f>
        <v>7230.93</v>
      </c>
    </row>
    <row r="826" spans="1:28" x14ac:dyDescent="0.35">
      <c r="A826">
        <v>22455</v>
      </c>
      <c r="B826" t="s">
        <v>3890</v>
      </c>
      <c r="C826" s="1">
        <v>41801</v>
      </c>
      <c r="D826" s="1">
        <v>41807</v>
      </c>
      <c r="E826">
        <f>Superstore_Sales[[#This Row],[Ship Date]]-Superstore_Sales[[#This Row],[Order Date]]</f>
        <v>6</v>
      </c>
      <c r="F826" t="s">
        <v>98</v>
      </c>
      <c r="G826" t="s">
        <v>3891</v>
      </c>
      <c r="H826" t="s">
        <v>435</v>
      </c>
      <c r="I826" t="s">
        <v>43</v>
      </c>
      <c r="K826" t="s">
        <v>3892</v>
      </c>
      <c r="L826" t="s">
        <v>3893</v>
      </c>
      <c r="M826" t="s">
        <v>258</v>
      </c>
      <c r="N826" t="s">
        <v>118</v>
      </c>
      <c r="O826" t="s">
        <v>48</v>
      </c>
      <c r="P826" t="s">
        <v>328</v>
      </c>
      <c r="Q826" t="s">
        <v>35</v>
      </c>
      <c r="R826" t="s">
        <v>36</v>
      </c>
      <c r="S826" t="s">
        <v>329</v>
      </c>
      <c r="T826">
        <v>2582.16</v>
      </c>
      <c r="U826">
        <v>4</v>
      </c>
      <c r="V826">
        <v>0</v>
      </c>
      <c r="W826">
        <v>361.44</v>
      </c>
      <c r="X826">
        <v>208.88</v>
      </c>
      <c r="Y826" t="s">
        <v>61</v>
      </c>
      <c r="Z826">
        <f>Superstore_Sales[[#This Row],[Sales]]*Superstore_Sales[[#This Row],[Quantity]]</f>
        <v>10328.64</v>
      </c>
      <c r="AA826" s="3">
        <f>Superstore_Sales[[#This Row],[TotalSales]]*Superstore_Sales[[#This Row],[Discount]]/100</f>
        <v>0</v>
      </c>
      <c r="AB826" s="2">
        <f>Superstore_Sales[[#This Row],[TotalSales]]-Superstore_Sales[[#This Row],[Dis_amt]]-Superstore_Sales[[#This Row],[Shipping Cost]]</f>
        <v>10119.76</v>
      </c>
    </row>
    <row r="827" spans="1:28" x14ac:dyDescent="0.35">
      <c r="A827">
        <v>26229</v>
      </c>
      <c r="B827" t="s">
        <v>3894</v>
      </c>
      <c r="C827" s="1">
        <v>41936</v>
      </c>
      <c r="D827" s="1">
        <v>41936</v>
      </c>
      <c r="E827">
        <f>Superstore_Sales[[#This Row],[Ship Date]]-Superstore_Sales[[#This Row],[Order Date]]</f>
        <v>0</v>
      </c>
      <c r="F827" t="s">
        <v>73</v>
      </c>
      <c r="G827" t="s">
        <v>3895</v>
      </c>
      <c r="H827" t="s">
        <v>1011</v>
      </c>
      <c r="I827" t="s">
        <v>65</v>
      </c>
      <c r="K827" t="s">
        <v>3228</v>
      </c>
      <c r="L827" t="s">
        <v>3229</v>
      </c>
      <c r="M827" t="s">
        <v>767</v>
      </c>
      <c r="N827" t="s">
        <v>322</v>
      </c>
      <c r="O827" t="s">
        <v>48</v>
      </c>
      <c r="P827" t="s">
        <v>3896</v>
      </c>
      <c r="Q827" t="s">
        <v>35</v>
      </c>
      <c r="R827" t="s">
        <v>36</v>
      </c>
      <c r="S827" t="s">
        <v>3897</v>
      </c>
      <c r="T827">
        <v>881.1</v>
      </c>
      <c r="U827">
        <v>5</v>
      </c>
      <c r="V827">
        <v>0</v>
      </c>
      <c r="W827">
        <v>184.95</v>
      </c>
      <c r="X827">
        <v>208.56</v>
      </c>
      <c r="Y827" t="s">
        <v>38</v>
      </c>
      <c r="Z827">
        <f>Superstore_Sales[[#This Row],[Sales]]*Superstore_Sales[[#This Row],[Quantity]]</f>
        <v>4405.5</v>
      </c>
      <c r="AA827" s="3">
        <f>Superstore_Sales[[#This Row],[TotalSales]]*Superstore_Sales[[#This Row],[Discount]]/100</f>
        <v>0</v>
      </c>
      <c r="AB827" s="2">
        <f>Superstore_Sales[[#This Row],[TotalSales]]-Superstore_Sales[[#This Row],[Dis_amt]]-Superstore_Sales[[#This Row],[Shipping Cost]]</f>
        <v>4196.9399999999996</v>
      </c>
    </row>
    <row r="828" spans="1:28" x14ac:dyDescent="0.35">
      <c r="A828">
        <v>14941</v>
      </c>
      <c r="B828" t="s">
        <v>3898</v>
      </c>
      <c r="C828" s="1">
        <v>41801</v>
      </c>
      <c r="D828" s="1">
        <v>41805</v>
      </c>
      <c r="E828">
        <f>Superstore_Sales[[#This Row],[Ship Date]]-Superstore_Sales[[#This Row],[Order Date]]</f>
        <v>4</v>
      </c>
      <c r="F828" t="s">
        <v>98</v>
      </c>
      <c r="G828" t="s">
        <v>3899</v>
      </c>
      <c r="H828" t="s">
        <v>2491</v>
      </c>
      <c r="I828" t="s">
        <v>28</v>
      </c>
      <c r="K828" t="s">
        <v>3900</v>
      </c>
      <c r="L828" t="s">
        <v>154</v>
      </c>
      <c r="M828" t="s">
        <v>155</v>
      </c>
      <c r="N828" t="s">
        <v>68</v>
      </c>
      <c r="O828" t="s">
        <v>69</v>
      </c>
      <c r="P828" t="s">
        <v>1027</v>
      </c>
      <c r="Q828" t="s">
        <v>35</v>
      </c>
      <c r="R828" t="s">
        <v>36</v>
      </c>
      <c r="S828" t="s">
        <v>1028</v>
      </c>
      <c r="T828">
        <v>1622.18</v>
      </c>
      <c r="U828">
        <v>3</v>
      </c>
      <c r="V828">
        <v>0.15</v>
      </c>
      <c r="W828">
        <v>324.38</v>
      </c>
      <c r="X828">
        <v>208.39</v>
      </c>
      <c r="Y828" t="s">
        <v>38</v>
      </c>
      <c r="Z828">
        <f>Superstore_Sales[[#This Row],[Sales]]*Superstore_Sales[[#This Row],[Quantity]]</f>
        <v>4866.54</v>
      </c>
      <c r="AA828" s="3">
        <f>Superstore_Sales[[#This Row],[TotalSales]]*Superstore_Sales[[#This Row],[Discount]]/100</f>
        <v>7.2998099999999999</v>
      </c>
      <c r="AB828" s="2">
        <f>Superstore_Sales[[#This Row],[TotalSales]]-Superstore_Sales[[#This Row],[Dis_amt]]-Superstore_Sales[[#This Row],[Shipping Cost]]</f>
        <v>4650.8501899999992</v>
      </c>
    </row>
    <row r="829" spans="1:28" x14ac:dyDescent="0.35">
      <c r="A829">
        <v>29434</v>
      </c>
      <c r="B829" t="s">
        <v>3901</v>
      </c>
      <c r="C829" s="1">
        <v>42139</v>
      </c>
      <c r="D829" s="1">
        <v>42141</v>
      </c>
      <c r="E829">
        <f>Superstore_Sales[[#This Row],[Ship Date]]-Superstore_Sales[[#This Row],[Order Date]]</f>
        <v>2</v>
      </c>
      <c r="F829" t="s">
        <v>40</v>
      </c>
      <c r="G829" t="s">
        <v>3902</v>
      </c>
      <c r="H829" t="s">
        <v>3399</v>
      </c>
      <c r="I829" t="s">
        <v>43</v>
      </c>
      <c r="K829" t="s">
        <v>3903</v>
      </c>
      <c r="L829" t="s">
        <v>3870</v>
      </c>
      <c r="M829" t="s">
        <v>1155</v>
      </c>
      <c r="N829" t="s">
        <v>145</v>
      </c>
      <c r="O829" t="s">
        <v>48</v>
      </c>
      <c r="P829" t="s">
        <v>3904</v>
      </c>
      <c r="Q829" t="s">
        <v>35</v>
      </c>
      <c r="R829" t="s">
        <v>36</v>
      </c>
      <c r="S829" t="s">
        <v>3905</v>
      </c>
      <c r="T829">
        <v>1001.88</v>
      </c>
      <c r="U829">
        <v>6</v>
      </c>
      <c r="V829">
        <v>0</v>
      </c>
      <c r="W829">
        <v>230.4</v>
      </c>
      <c r="X829">
        <v>208.13</v>
      </c>
      <c r="Y829" t="s">
        <v>53</v>
      </c>
      <c r="Z829">
        <f>Superstore_Sales[[#This Row],[Sales]]*Superstore_Sales[[#This Row],[Quantity]]</f>
        <v>6011.28</v>
      </c>
      <c r="AA829" s="3">
        <f>Superstore_Sales[[#This Row],[TotalSales]]*Superstore_Sales[[#This Row],[Discount]]/100</f>
        <v>0</v>
      </c>
      <c r="AB829" s="2">
        <f>Superstore_Sales[[#This Row],[TotalSales]]-Superstore_Sales[[#This Row],[Dis_amt]]-Superstore_Sales[[#This Row],[Shipping Cost]]</f>
        <v>5803.15</v>
      </c>
    </row>
    <row r="830" spans="1:28" x14ac:dyDescent="0.35">
      <c r="A830">
        <v>34752</v>
      </c>
      <c r="B830" t="s">
        <v>3906</v>
      </c>
      <c r="C830" s="1">
        <v>41690</v>
      </c>
      <c r="D830" s="1">
        <v>41697</v>
      </c>
      <c r="E830">
        <f>Superstore_Sales[[#This Row],[Ship Date]]-Superstore_Sales[[#This Row],[Order Date]]</f>
        <v>7</v>
      </c>
      <c r="F830" t="s">
        <v>98</v>
      </c>
      <c r="G830" t="s">
        <v>3724</v>
      </c>
      <c r="H830" t="s">
        <v>2927</v>
      </c>
      <c r="I830" t="s">
        <v>28</v>
      </c>
      <c r="J830">
        <v>37211</v>
      </c>
      <c r="K830" t="s">
        <v>3907</v>
      </c>
      <c r="L830" t="s">
        <v>1225</v>
      </c>
      <c r="M830" t="s">
        <v>31</v>
      </c>
      <c r="N830" t="s">
        <v>351</v>
      </c>
      <c r="O830" t="s">
        <v>33</v>
      </c>
      <c r="P830" t="s">
        <v>3908</v>
      </c>
      <c r="Q830" t="s">
        <v>147</v>
      </c>
      <c r="R830" t="s">
        <v>672</v>
      </c>
      <c r="S830" t="s">
        <v>3909</v>
      </c>
      <c r="T830">
        <v>16.5</v>
      </c>
      <c r="U830">
        <v>2</v>
      </c>
      <c r="V830">
        <v>0.2</v>
      </c>
      <c r="W830">
        <v>5.57</v>
      </c>
      <c r="X830">
        <v>1.72</v>
      </c>
      <c r="Y830" t="s">
        <v>61</v>
      </c>
      <c r="Z830">
        <f>Superstore_Sales[[#This Row],[Sales]]*Superstore_Sales[[#This Row],[Quantity]]</f>
        <v>33</v>
      </c>
      <c r="AA830" s="3">
        <f>Superstore_Sales[[#This Row],[TotalSales]]*Superstore_Sales[[#This Row],[Discount]]/100</f>
        <v>6.6000000000000003E-2</v>
      </c>
      <c r="AB830" s="2">
        <f>Superstore_Sales[[#This Row],[TotalSales]]-Superstore_Sales[[#This Row],[Dis_amt]]-Superstore_Sales[[#This Row],[Shipping Cost]]</f>
        <v>31.213999999999999</v>
      </c>
    </row>
    <row r="831" spans="1:28" x14ac:dyDescent="0.35">
      <c r="A831">
        <v>17222</v>
      </c>
      <c r="B831" t="s">
        <v>3910</v>
      </c>
      <c r="C831" s="1">
        <v>41252</v>
      </c>
      <c r="D831" s="1">
        <v>41255</v>
      </c>
      <c r="E831">
        <f>Superstore_Sales[[#This Row],[Ship Date]]-Superstore_Sales[[#This Row],[Order Date]]</f>
        <v>3</v>
      </c>
      <c r="F831" t="s">
        <v>25</v>
      </c>
      <c r="G831" t="s">
        <v>3911</v>
      </c>
      <c r="H831" t="s">
        <v>152</v>
      </c>
      <c r="I831" t="s">
        <v>43</v>
      </c>
      <c r="K831" t="s">
        <v>509</v>
      </c>
      <c r="L831" t="s">
        <v>310</v>
      </c>
      <c r="M831" t="s">
        <v>210</v>
      </c>
      <c r="N831" t="s">
        <v>211</v>
      </c>
      <c r="O831" t="s">
        <v>69</v>
      </c>
      <c r="P831" t="s">
        <v>3912</v>
      </c>
      <c r="Q831" t="s">
        <v>147</v>
      </c>
      <c r="R831" t="s">
        <v>148</v>
      </c>
      <c r="S831" t="s">
        <v>3913</v>
      </c>
      <c r="T831">
        <v>554.53</v>
      </c>
      <c r="U831">
        <v>2</v>
      </c>
      <c r="V831">
        <v>0.1</v>
      </c>
      <c r="W831">
        <v>-0.05</v>
      </c>
      <c r="X831">
        <v>207.93</v>
      </c>
      <c r="Y831" t="s">
        <v>53</v>
      </c>
      <c r="Z831">
        <f>Superstore_Sales[[#This Row],[Sales]]*Superstore_Sales[[#This Row],[Quantity]]</f>
        <v>1109.06</v>
      </c>
      <c r="AA831" s="3">
        <f>Superstore_Sales[[#This Row],[TotalSales]]*Superstore_Sales[[#This Row],[Discount]]/100</f>
        <v>1.1090600000000002</v>
      </c>
      <c r="AB831" s="2">
        <f>Superstore_Sales[[#This Row],[TotalSales]]-Superstore_Sales[[#This Row],[Dis_amt]]-Superstore_Sales[[#This Row],[Shipping Cost]]</f>
        <v>900.02093999999988</v>
      </c>
    </row>
    <row r="832" spans="1:28" x14ac:dyDescent="0.35">
      <c r="A832">
        <v>694</v>
      </c>
      <c r="B832" t="s">
        <v>3914</v>
      </c>
      <c r="C832" s="1">
        <v>41930</v>
      </c>
      <c r="D832" s="1">
        <v>41934</v>
      </c>
      <c r="E832">
        <f>Superstore_Sales[[#This Row],[Ship Date]]-Superstore_Sales[[#This Row],[Order Date]]</f>
        <v>4</v>
      </c>
      <c r="F832" t="s">
        <v>98</v>
      </c>
      <c r="G832" t="s">
        <v>3915</v>
      </c>
      <c r="H832" t="s">
        <v>1365</v>
      </c>
      <c r="I832" t="s">
        <v>28</v>
      </c>
      <c r="K832" t="s">
        <v>227</v>
      </c>
      <c r="L832" t="s">
        <v>227</v>
      </c>
      <c r="M832" t="s">
        <v>228</v>
      </c>
      <c r="N832" t="s">
        <v>220</v>
      </c>
      <c r="O832" t="s">
        <v>136</v>
      </c>
      <c r="P832" t="s">
        <v>267</v>
      </c>
      <c r="Q832" t="s">
        <v>35</v>
      </c>
      <c r="R832" t="s">
        <v>36</v>
      </c>
      <c r="S832" t="s">
        <v>268</v>
      </c>
      <c r="T832">
        <v>2120.8000000000002</v>
      </c>
      <c r="U832">
        <v>5</v>
      </c>
      <c r="V832">
        <v>0</v>
      </c>
      <c r="W832">
        <v>275.7</v>
      </c>
      <c r="X832">
        <v>207.892</v>
      </c>
      <c r="Y832" t="s">
        <v>38</v>
      </c>
      <c r="Z832">
        <f>Superstore_Sales[[#This Row],[Sales]]*Superstore_Sales[[#This Row],[Quantity]]</f>
        <v>10604</v>
      </c>
      <c r="AA832" s="3">
        <f>Superstore_Sales[[#This Row],[TotalSales]]*Superstore_Sales[[#This Row],[Discount]]/100</f>
        <v>0</v>
      </c>
      <c r="AB832" s="2">
        <f>Superstore_Sales[[#This Row],[TotalSales]]-Superstore_Sales[[#This Row],[Dis_amt]]-Superstore_Sales[[#This Row],[Shipping Cost]]</f>
        <v>10396.108</v>
      </c>
    </row>
    <row r="833" spans="1:28" x14ac:dyDescent="0.35">
      <c r="A833">
        <v>50567</v>
      </c>
      <c r="B833" t="s">
        <v>3916</v>
      </c>
      <c r="C833" s="1">
        <v>41972</v>
      </c>
      <c r="D833" s="1">
        <v>41977</v>
      </c>
      <c r="E833">
        <f>Superstore_Sales[[#This Row],[Ship Date]]-Superstore_Sales[[#This Row],[Order Date]]</f>
        <v>5</v>
      </c>
      <c r="F833" t="s">
        <v>98</v>
      </c>
      <c r="G833" t="s">
        <v>3917</v>
      </c>
      <c r="H833" t="s">
        <v>1804</v>
      </c>
      <c r="I833" t="s">
        <v>43</v>
      </c>
      <c r="K833" t="s">
        <v>1863</v>
      </c>
      <c r="L833" t="s">
        <v>1864</v>
      </c>
      <c r="M833" t="s">
        <v>391</v>
      </c>
      <c r="N833" t="s">
        <v>118</v>
      </c>
      <c r="O833" t="s">
        <v>48</v>
      </c>
      <c r="P833" t="s">
        <v>3918</v>
      </c>
      <c r="Q833" t="s">
        <v>35</v>
      </c>
      <c r="R833" t="s">
        <v>36</v>
      </c>
      <c r="S833" t="s">
        <v>3919</v>
      </c>
      <c r="T833">
        <v>1531.2</v>
      </c>
      <c r="U833">
        <v>10</v>
      </c>
      <c r="V833">
        <v>0</v>
      </c>
      <c r="W833">
        <v>45.9</v>
      </c>
      <c r="X833">
        <v>207.81</v>
      </c>
      <c r="Y833" t="s">
        <v>38</v>
      </c>
      <c r="Z833">
        <f>Superstore_Sales[[#This Row],[Sales]]*Superstore_Sales[[#This Row],[Quantity]]</f>
        <v>15312</v>
      </c>
      <c r="AA833" s="3">
        <f>Superstore_Sales[[#This Row],[TotalSales]]*Superstore_Sales[[#This Row],[Discount]]/100</f>
        <v>0</v>
      </c>
      <c r="AB833" s="2">
        <f>Superstore_Sales[[#This Row],[TotalSales]]-Superstore_Sales[[#This Row],[Dis_amt]]-Superstore_Sales[[#This Row],[Shipping Cost]]</f>
        <v>15104.19</v>
      </c>
    </row>
    <row r="834" spans="1:28" x14ac:dyDescent="0.35">
      <c r="A834">
        <v>20954</v>
      </c>
      <c r="B834" t="s">
        <v>3920</v>
      </c>
      <c r="C834" s="1">
        <v>41310</v>
      </c>
      <c r="D834" s="1">
        <v>41315</v>
      </c>
      <c r="E834">
        <f>Superstore_Sales[[#This Row],[Ship Date]]-Superstore_Sales[[#This Row],[Order Date]]</f>
        <v>5</v>
      </c>
      <c r="F834" t="s">
        <v>98</v>
      </c>
      <c r="G834" t="s">
        <v>3921</v>
      </c>
      <c r="H834" t="s">
        <v>3922</v>
      </c>
      <c r="I834" t="s">
        <v>28</v>
      </c>
      <c r="K834" t="s">
        <v>3923</v>
      </c>
      <c r="L834" t="s">
        <v>1587</v>
      </c>
      <c r="M834" t="s">
        <v>258</v>
      </c>
      <c r="N834" t="s">
        <v>118</v>
      </c>
      <c r="O834" t="s">
        <v>48</v>
      </c>
      <c r="P834" t="s">
        <v>680</v>
      </c>
      <c r="Q834" t="s">
        <v>50</v>
      </c>
      <c r="R834" t="s">
        <v>336</v>
      </c>
      <c r="S834" t="s">
        <v>681</v>
      </c>
      <c r="T834">
        <v>1236.33</v>
      </c>
      <c r="U834">
        <v>3</v>
      </c>
      <c r="V834">
        <v>0</v>
      </c>
      <c r="W834">
        <v>519.21</v>
      </c>
      <c r="X834">
        <v>207.44</v>
      </c>
      <c r="Y834" t="s">
        <v>38</v>
      </c>
      <c r="Z834">
        <f>Superstore_Sales[[#This Row],[Sales]]*Superstore_Sales[[#This Row],[Quantity]]</f>
        <v>3708.99</v>
      </c>
      <c r="AA834" s="3">
        <f>Superstore_Sales[[#This Row],[TotalSales]]*Superstore_Sales[[#This Row],[Discount]]/100</f>
        <v>0</v>
      </c>
      <c r="AB834" s="2">
        <f>Superstore_Sales[[#This Row],[TotalSales]]-Superstore_Sales[[#This Row],[Dis_amt]]-Superstore_Sales[[#This Row],[Shipping Cost]]</f>
        <v>3501.5499999999997</v>
      </c>
    </row>
    <row r="835" spans="1:28" x14ac:dyDescent="0.35">
      <c r="A835">
        <v>25407</v>
      </c>
      <c r="B835" t="s">
        <v>3924</v>
      </c>
      <c r="C835" s="1">
        <v>41679</v>
      </c>
      <c r="D835" s="1">
        <v>41685</v>
      </c>
      <c r="E835">
        <f>Superstore_Sales[[#This Row],[Ship Date]]-Superstore_Sales[[#This Row],[Order Date]]</f>
        <v>6</v>
      </c>
      <c r="F835" t="s">
        <v>98</v>
      </c>
      <c r="G835" t="s">
        <v>3925</v>
      </c>
      <c r="H835" t="s">
        <v>783</v>
      </c>
      <c r="I835" t="s">
        <v>43</v>
      </c>
      <c r="K835" t="s">
        <v>286</v>
      </c>
      <c r="L835" t="s">
        <v>58</v>
      </c>
      <c r="M835" t="s">
        <v>46</v>
      </c>
      <c r="N835" t="s">
        <v>47</v>
      </c>
      <c r="O835" t="s">
        <v>48</v>
      </c>
      <c r="P835" t="s">
        <v>3926</v>
      </c>
      <c r="Q835" t="s">
        <v>50</v>
      </c>
      <c r="R835" t="s">
        <v>104</v>
      </c>
      <c r="S835" t="s">
        <v>3927</v>
      </c>
      <c r="T835">
        <v>2951.99</v>
      </c>
      <c r="U835">
        <v>9</v>
      </c>
      <c r="V835">
        <v>0.3</v>
      </c>
      <c r="W835">
        <v>-632.79999999999995</v>
      </c>
      <c r="X835">
        <v>206.92</v>
      </c>
      <c r="Y835" t="s">
        <v>61</v>
      </c>
      <c r="Z835">
        <f>Superstore_Sales[[#This Row],[Sales]]*Superstore_Sales[[#This Row],[Quantity]]</f>
        <v>26567.909999999996</v>
      </c>
      <c r="AA835" s="3">
        <f>Superstore_Sales[[#This Row],[TotalSales]]*Superstore_Sales[[#This Row],[Discount]]/100</f>
        <v>79.703729999999993</v>
      </c>
      <c r="AB835" s="2">
        <f>Superstore_Sales[[#This Row],[TotalSales]]-Superstore_Sales[[#This Row],[Dis_amt]]-Superstore_Sales[[#This Row],[Shipping Cost]]</f>
        <v>26281.286269999997</v>
      </c>
    </row>
    <row r="836" spans="1:28" x14ac:dyDescent="0.35">
      <c r="A836">
        <v>14954</v>
      </c>
      <c r="B836" t="s">
        <v>3928</v>
      </c>
      <c r="C836" s="1">
        <v>41040</v>
      </c>
      <c r="D836" s="1">
        <v>41042</v>
      </c>
      <c r="E836">
        <f>Superstore_Sales[[#This Row],[Ship Date]]-Superstore_Sales[[#This Row],[Order Date]]</f>
        <v>2</v>
      </c>
      <c r="F836" t="s">
        <v>25</v>
      </c>
      <c r="G836" t="s">
        <v>3929</v>
      </c>
      <c r="H836" t="s">
        <v>851</v>
      </c>
      <c r="I836" t="s">
        <v>65</v>
      </c>
      <c r="K836" t="s">
        <v>2297</v>
      </c>
      <c r="L836" t="s">
        <v>651</v>
      </c>
      <c r="M836" t="s">
        <v>155</v>
      </c>
      <c r="N836" t="s">
        <v>68</v>
      </c>
      <c r="O836" t="s">
        <v>69</v>
      </c>
      <c r="P836" t="s">
        <v>3930</v>
      </c>
      <c r="Q836" t="s">
        <v>50</v>
      </c>
      <c r="R836" t="s">
        <v>104</v>
      </c>
      <c r="S836" t="s">
        <v>3931</v>
      </c>
      <c r="T836">
        <v>627.28</v>
      </c>
      <c r="U836">
        <v>2</v>
      </c>
      <c r="V836">
        <v>0.35</v>
      </c>
      <c r="W836">
        <v>-135.13999999999999</v>
      </c>
      <c r="X836">
        <v>206.61</v>
      </c>
      <c r="Y836" t="s">
        <v>53</v>
      </c>
      <c r="Z836">
        <f>Superstore_Sales[[#This Row],[Sales]]*Superstore_Sales[[#This Row],[Quantity]]</f>
        <v>1254.56</v>
      </c>
      <c r="AA836" s="3">
        <f>Superstore_Sales[[#This Row],[TotalSales]]*Superstore_Sales[[#This Row],[Discount]]/100</f>
        <v>4.3909599999999998</v>
      </c>
      <c r="AB836" s="2">
        <f>Superstore_Sales[[#This Row],[TotalSales]]-Superstore_Sales[[#This Row],[Dis_amt]]-Superstore_Sales[[#This Row],[Shipping Cost]]</f>
        <v>1043.5590400000001</v>
      </c>
    </row>
    <row r="837" spans="1:28" x14ac:dyDescent="0.35">
      <c r="A837">
        <v>33273</v>
      </c>
      <c r="B837" t="s">
        <v>3932</v>
      </c>
      <c r="C837" s="1">
        <v>41199</v>
      </c>
      <c r="D837" s="1">
        <v>41201</v>
      </c>
      <c r="E837">
        <f>Superstore_Sales[[#This Row],[Ship Date]]-Superstore_Sales[[#This Row],[Order Date]]</f>
        <v>2</v>
      </c>
      <c r="F837" t="s">
        <v>40</v>
      </c>
      <c r="G837" t="s">
        <v>3933</v>
      </c>
      <c r="H837" t="s">
        <v>485</v>
      </c>
      <c r="I837" t="s">
        <v>43</v>
      </c>
      <c r="J837">
        <v>36116</v>
      </c>
      <c r="K837" t="s">
        <v>3934</v>
      </c>
      <c r="L837" t="s">
        <v>3935</v>
      </c>
      <c r="M837" t="s">
        <v>31</v>
      </c>
      <c r="N837" t="s">
        <v>351</v>
      </c>
      <c r="O837" t="s">
        <v>33</v>
      </c>
      <c r="P837" t="s">
        <v>3936</v>
      </c>
      <c r="Q837" t="s">
        <v>35</v>
      </c>
      <c r="R837" t="s">
        <v>36</v>
      </c>
      <c r="S837" t="s">
        <v>3937</v>
      </c>
      <c r="T837">
        <v>1394.95</v>
      </c>
      <c r="U837">
        <v>5</v>
      </c>
      <c r="V837">
        <v>0</v>
      </c>
      <c r="W837">
        <v>362.69</v>
      </c>
      <c r="X837">
        <v>140.1</v>
      </c>
      <c r="Y837" t="s">
        <v>61</v>
      </c>
      <c r="Z837">
        <f>Superstore_Sales[[#This Row],[Sales]]*Superstore_Sales[[#This Row],[Quantity]]</f>
        <v>6974.75</v>
      </c>
      <c r="AA837" s="3">
        <f>Superstore_Sales[[#This Row],[TotalSales]]*Superstore_Sales[[#This Row],[Discount]]/100</f>
        <v>0</v>
      </c>
      <c r="AB837" s="2">
        <f>Superstore_Sales[[#This Row],[TotalSales]]-Superstore_Sales[[#This Row],[Dis_amt]]-Superstore_Sales[[#This Row],[Shipping Cost]]</f>
        <v>6834.65</v>
      </c>
    </row>
    <row r="838" spans="1:28" x14ac:dyDescent="0.35">
      <c r="A838">
        <v>45019</v>
      </c>
      <c r="B838" t="s">
        <v>3938</v>
      </c>
      <c r="C838" s="1">
        <v>41863</v>
      </c>
      <c r="D838" s="1">
        <v>41865</v>
      </c>
      <c r="E838">
        <f>Superstore_Sales[[#This Row],[Ship Date]]-Superstore_Sales[[#This Row],[Order Date]]</f>
        <v>2</v>
      </c>
      <c r="F838" t="s">
        <v>25</v>
      </c>
      <c r="G838" t="s">
        <v>3939</v>
      </c>
      <c r="H838" t="s">
        <v>3940</v>
      </c>
      <c r="I838" t="s">
        <v>65</v>
      </c>
      <c r="K838" t="s">
        <v>3941</v>
      </c>
      <c r="L838" t="s">
        <v>3942</v>
      </c>
      <c r="M838" t="s">
        <v>2208</v>
      </c>
      <c r="N838" t="s">
        <v>171</v>
      </c>
      <c r="O838" t="s">
        <v>69</v>
      </c>
      <c r="P838" t="s">
        <v>3943</v>
      </c>
      <c r="Q838" t="s">
        <v>35</v>
      </c>
      <c r="R838" t="s">
        <v>36</v>
      </c>
      <c r="S838" t="s">
        <v>3944</v>
      </c>
      <c r="T838">
        <v>553.91999999999996</v>
      </c>
      <c r="U838">
        <v>4</v>
      </c>
      <c r="V838">
        <v>0</v>
      </c>
      <c r="W838">
        <v>22.08</v>
      </c>
      <c r="X838">
        <v>206.56</v>
      </c>
      <c r="Y838" t="s">
        <v>53</v>
      </c>
      <c r="Z838">
        <f>Superstore_Sales[[#This Row],[Sales]]*Superstore_Sales[[#This Row],[Quantity]]</f>
        <v>2215.6799999999998</v>
      </c>
      <c r="AA838" s="3">
        <f>Superstore_Sales[[#This Row],[TotalSales]]*Superstore_Sales[[#This Row],[Discount]]/100</f>
        <v>0</v>
      </c>
      <c r="AB838" s="2">
        <f>Superstore_Sales[[#This Row],[TotalSales]]-Superstore_Sales[[#This Row],[Dis_amt]]-Superstore_Sales[[#This Row],[Shipping Cost]]</f>
        <v>2009.12</v>
      </c>
    </row>
    <row r="839" spans="1:28" x14ac:dyDescent="0.35">
      <c r="A839">
        <v>15900</v>
      </c>
      <c r="B839" t="s">
        <v>3945</v>
      </c>
      <c r="C839" s="1">
        <v>42179</v>
      </c>
      <c r="D839" s="1">
        <v>42185</v>
      </c>
      <c r="E839">
        <f>Superstore_Sales[[#This Row],[Ship Date]]-Superstore_Sales[[#This Row],[Order Date]]</f>
        <v>6</v>
      </c>
      <c r="F839" t="s">
        <v>98</v>
      </c>
      <c r="G839" t="s">
        <v>3946</v>
      </c>
      <c r="H839" t="s">
        <v>1577</v>
      </c>
      <c r="I839" t="s">
        <v>28</v>
      </c>
      <c r="K839" t="s">
        <v>3947</v>
      </c>
      <c r="L839" t="s">
        <v>2856</v>
      </c>
      <c r="M839" t="s">
        <v>67</v>
      </c>
      <c r="N839" t="s">
        <v>68</v>
      </c>
      <c r="O839" t="s">
        <v>69</v>
      </c>
      <c r="P839" t="s">
        <v>328</v>
      </c>
      <c r="Q839" t="s">
        <v>35</v>
      </c>
      <c r="R839" t="s">
        <v>36</v>
      </c>
      <c r="S839" t="s">
        <v>329</v>
      </c>
      <c r="T839">
        <v>3873.24</v>
      </c>
      <c r="U839">
        <v>6</v>
      </c>
      <c r="V839">
        <v>0</v>
      </c>
      <c r="W839">
        <v>890.82</v>
      </c>
      <c r="X839">
        <v>206.54</v>
      </c>
      <c r="Y839" t="s">
        <v>61</v>
      </c>
      <c r="Z839">
        <f>Superstore_Sales[[#This Row],[Sales]]*Superstore_Sales[[#This Row],[Quantity]]</f>
        <v>23239.439999999999</v>
      </c>
      <c r="AA839" s="3">
        <f>Superstore_Sales[[#This Row],[TotalSales]]*Superstore_Sales[[#This Row],[Discount]]/100</f>
        <v>0</v>
      </c>
      <c r="AB839" s="2">
        <f>Superstore_Sales[[#This Row],[TotalSales]]-Superstore_Sales[[#This Row],[Dis_amt]]-Superstore_Sales[[#This Row],[Shipping Cost]]</f>
        <v>23032.899999999998</v>
      </c>
    </row>
    <row r="840" spans="1:28" x14ac:dyDescent="0.35">
      <c r="A840">
        <v>23824</v>
      </c>
      <c r="B840" t="s">
        <v>3948</v>
      </c>
      <c r="C840" s="1">
        <v>42035</v>
      </c>
      <c r="D840" s="1">
        <v>42036</v>
      </c>
      <c r="E840">
        <f>Superstore_Sales[[#This Row],[Ship Date]]-Superstore_Sales[[#This Row],[Order Date]]</f>
        <v>1</v>
      </c>
      <c r="F840" t="s">
        <v>25</v>
      </c>
      <c r="G840" t="s">
        <v>3949</v>
      </c>
      <c r="H840" t="s">
        <v>263</v>
      </c>
      <c r="I840" t="s">
        <v>43</v>
      </c>
      <c r="K840" t="s">
        <v>1539</v>
      </c>
      <c r="L840" t="s">
        <v>1539</v>
      </c>
      <c r="M840" t="s">
        <v>144</v>
      </c>
      <c r="N840" t="s">
        <v>145</v>
      </c>
      <c r="O840" t="s">
        <v>48</v>
      </c>
      <c r="P840" t="s">
        <v>779</v>
      </c>
      <c r="Q840" t="s">
        <v>35</v>
      </c>
      <c r="R840" t="s">
        <v>81</v>
      </c>
      <c r="S840" t="s">
        <v>780</v>
      </c>
      <c r="T840">
        <v>791.19</v>
      </c>
      <c r="U840">
        <v>3</v>
      </c>
      <c r="V840">
        <v>0</v>
      </c>
      <c r="W840">
        <v>126.54</v>
      </c>
      <c r="X840">
        <v>206.41</v>
      </c>
      <c r="Y840" t="s">
        <v>53</v>
      </c>
      <c r="Z840">
        <f>Superstore_Sales[[#This Row],[Sales]]*Superstore_Sales[[#This Row],[Quantity]]</f>
        <v>2373.5700000000002</v>
      </c>
      <c r="AA840" s="3">
        <f>Superstore_Sales[[#This Row],[TotalSales]]*Superstore_Sales[[#This Row],[Discount]]/100</f>
        <v>0</v>
      </c>
      <c r="AB840" s="2">
        <f>Superstore_Sales[[#This Row],[TotalSales]]-Superstore_Sales[[#This Row],[Dis_amt]]-Superstore_Sales[[#This Row],[Shipping Cost]]</f>
        <v>2167.1600000000003</v>
      </c>
    </row>
    <row r="841" spans="1:28" x14ac:dyDescent="0.35">
      <c r="A841">
        <v>29423</v>
      </c>
      <c r="B841" t="s">
        <v>3950</v>
      </c>
      <c r="C841" s="1">
        <v>42150</v>
      </c>
      <c r="D841" s="1">
        <v>42154</v>
      </c>
      <c r="E841">
        <f>Superstore_Sales[[#This Row],[Ship Date]]-Superstore_Sales[[#This Row],[Order Date]]</f>
        <v>4</v>
      </c>
      <c r="F841" t="s">
        <v>98</v>
      </c>
      <c r="G841" t="s">
        <v>3951</v>
      </c>
      <c r="H841" t="s">
        <v>3952</v>
      </c>
      <c r="I841" t="s">
        <v>43</v>
      </c>
      <c r="K841" t="s">
        <v>2539</v>
      </c>
      <c r="L841" t="s">
        <v>2540</v>
      </c>
      <c r="M841" t="s">
        <v>144</v>
      </c>
      <c r="N841" t="s">
        <v>145</v>
      </c>
      <c r="O841" t="s">
        <v>48</v>
      </c>
      <c r="P841" t="s">
        <v>2521</v>
      </c>
      <c r="Q841" t="s">
        <v>50</v>
      </c>
      <c r="R841" t="s">
        <v>336</v>
      </c>
      <c r="S841" t="s">
        <v>2522</v>
      </c>
      <c r="T841">
        <v>2470.5</v>
      </c>
      <c r="U841">
        <v>6</v>
      </c>
      <c r="V841">
        <v>0</v>
      </c>
      <c r="W841">
        <v>518.76</v>
      </c>
      <c r="X841">
        <v>206.39</v>
      </c>
      <c r="Y841" t="s">
        <v>61</v>
      </c>
      <c r="Z841">
        <f>Superstore_Sales[[#This Row],[Sales]]*Superstore_Sales[[#This Row],[Quantity]]</f>
        <v>14823</v>
      </c>
      <c r="AA841" s="3">
        <f>Superstore_Sales[[#This Row],[TotalSales]]*Superstore_Sales[[#This Row],[Discount]]/100</f>
        <v>0</v>
      </c>
      <c r="AB841" s="2">
        <f>Superstore_Sales[[#This Row],[TotalSales]]-Superstore_Sales[[#This Row],[Dis_amt]]-Superstore_Sales[[#This Row],[Shipping Cost]]</f>
        <v>14616.61</v>
      </c>
    </row>
    <row r="842" spans="1:28" x14ac:dyDescent="0.35">
      <c r="A842">
        <v>5732</v>
      </c>
      <c r="B842" t="s">
        <v>3953</v>
      </c>
      <c r="C842" s="1">
        <v>41207</v>
      </c>
      <c r="D842" s="1">
        <v>41209</v>
      </c>
      <c r="E842">
        <f>Superstore_Sales[[#This Row],[Ship Date]]-Superstore_Sales[[#This Row],[Order Date]]</f>
        <v>2</v>
      </c>
      <c r="F842" t="s">
        <v>25</v>
      </c>
      <c r="G842" t="s">
        <v>3954</v>
      </c>
      <c r="H842" t="s">
        <v>3484</v>
      </c>
      <c r="I842" t="s">
        <v>28</v>
      </c>
      <c r="K842" t="s">
        <v>657</v>
      </c>
      <c r="L842" t="s">
        <v>657</v>
      </c>
      <c r="M842" t="s">
        <v>219</v>
      </c>
      <c r="N842" t="s">
        <v>220</v>
      </c>
      <c r="O842" t="s">
        <v>136</v>
      </c>
      <c r="P842" t="s">
        <v>295</v>
      </c>
      <c r="Q842" t="s">
        <v>35</v>
      </c>
      <c r="R842" t="s">
        <v>36</v>
      </c>
      <c r="S842" t="s">
        <v>296</v>
      </c>
      <c r="T842">
        <v>2120.6999999999998</v>
      </c>
      <c r="U842">
        <v>5</v>
      </c>
      <c r="V842">
        <v>0</v>
      </c>
      <c r="W842">
        <v>63.6</v>
      </c>
      <c r="X842">
        <v>206.327</v>
      </c>
      <c r="Y842" t="s">
        <v>38</v>
      </c>
      <c r="Z842">
        <f>Superstore_Sales[[#This Row],[Sales]]*Superstore_Sales[[#This Row],[Quantity]]</f>
        <v>10603.5</v>
      </c>
      <c r="AA842" s="3">
        <f>Superstore_Sales[[#This Row],[TotalSales]]*Superstore_Sales[[#This Row],[Discount]]/100</f>
        <v>0</v>
      </c>
      <c r="AB842" s="2">
        <f>Superstore_Sales[[#This Row],[TotalSales]]-Superstore_Sales[[#This Row],[Dis_amt]]-Superstore_Sales[[#This Row],[Shipping Cost]]</f>
        <v>10397.173000000001</v>
      </c>
    </row>
    <row r="843" spans="1:28" x14ac:dyDescent="0.35">
      <c r="A843">
        <v>31009</v>
      </c>
      <c r="B843" t="s">
        <v>3955</v>
      </c>
      <c r="C843" s="1">
        <v>42032</v>
      </c>
      <c r="D843" s="1">
        <v>42034</v>
      </c>
      <c r="E843">
        <f>Superstore_Sales[[#This Row],[Ship Date]]-Superstore_Sales[[#This Row],[Order Date]]</f>
        <v>2</v>
      </c>
      <c r="F843" t="s">
        <v>40</v>
      </c>
      <c r="G843" t="s">
        <v>3956</v>
      </c>
      <c r="H843" t="s">
        <v>3957</v>
      </c>
      <c r="I843" t="s">
        <v>65</v>
      </c>
      <c r="K843" t="s">
        <v>93</v>
      </c>
      <c r="L843" t="s">
        <v>93</v>
      </c>
      <c r="M843" t="s">
        <v>94</v>
      </c>
      <c r="N843" t="s">
        <v>47</v>
      </c>
      <c r="O843" t="s">
        <v>48</v>
      </c>
      <c r="P843" t="s">
        <v>3958</v>
      </c>
      <c r="Q843" t="s">
        <v>50</v>
      </c>
      <c r="R843" t="s">
        <v>336</v>
      </c>
      <c r="S843" t="s">
        <v>3959</v>
      </c>
      <c r="T843">
        <v>759.06</v>
      </c>
      <c r="U843">
        <v>6</v>
      </c>
      <c r="V843">
        <v>0</v>
      </c>
      <c r="W843">
        <v>15.12</v>
      </c>
      <c r="X843">
        <v>206.28</v>
      </c>
      <c r="Y843" t="s">
        <v>53</v>
      </c>
      <c r="Z843">
        <f>Superstore_Sales[[#This Row],[Sales]]*Superstore_Sales[[#This Row],[Quantity]]</f>
        <v>4554.3599999999997</v>
      </c>
      <c r="AA843" s="3">
        <f>Superstore_Sales[[#This Row],[TotalSales]]*Superstore_Sales[[#This Row],[Discount]]/100</f>
        <v>0</v>
      </c>
      <c r="AB843" s="2">
        <f>Superstore_Sales[[#This Row],[TotalSales]]-Superstore_Sales[[#This Row],[Dis_amt]]-Superstore_Sales[[#This Row],[Shipping Cost]]</f>
        <v>4348.08</v>
      </c>
    </row>
    <row r="844" spans="1:28" x14ac:dyDescent="0.35">
      <c r="A844">
        <v>29026</v>
      </c>
      <c r="B844" t="s">
        <v>3960</v>
      </c>
      <c r="C844" s="1">
        <v>41781</v>
      </c>
      <c r="D844" s="1">
        <v>41783</v>
      </c>
      <c r="E844">
        <f>Superstore_Sales[[#This Row],[Ship Date]]-Superstore_Sales[[#This Row],[Order Date]]</f>
        <v>2</v>
      </c>
      <c r="F844" t="s">
        <v>25</v>
      </c>
      <c r="G844" t="s">
        <v>3961</v>
      </c>
      <c r="H844" t="s">
        <v>1777</v>
      </c>
      <c r="I844" t="s">
        <v>28</v>
      </c>
      <c r="K844" t="s">
        <v>3962</v>
      </c>
      <c r="L844" t="s">
        <v>202</v>
      </c>
      <c r="M844" t="s">
        <v>144</v>
      </c>
      <c r="N844" t="s">
        <v>145</v>
      </c>
      <c r="O844" t="s">
        <v>48</v>
      </c>
      <c r="P844" t="s">
        <v>3963</v>
      </c>
      <c r="Q844" t="s">
        <v>147</v>
      </c>
      <c r="R844" t="s">
        <v>148</v>
      </c>
      <c r="S844" t="s">
        <v>3964</v>
      </c>
      <c r="T844">
        <v>1581.03</v>
      </c>
      <c r="U844">
        <v>3</v>
      </c>
      <c r="V844">
        <v>0</v>
      </c>
      <c r="W844">
        <v>790.47</v>
      </c>
      <c r="X844">
        <v>206.05</v>
      </c>
      <c r="Y844" t="s">
        <v>53</v>
      </c>
      <c r="Z844">
        <f>Superstore_Sales[[#This Row],[Sales]]*Superstore_Sales[[#This Row],[Quantity]]</f>
        <v>4743.09</v>
      </c>
      <c r="AA844" s="3">
        <f>Superstore_Sales[[#This Row],[TotalSales]]*Superstore_Sales[[#This Row],[Discount]]/100</f>
        <v>0</v>
      </c>
      <c r="AB844" s="2">
        <f>Superstore_Sales[[#This Row],[TotalSales]]-Superstore_Sales[[#This Row],[Dis_amt]]-Superstore_Sales[[#This Row],[Shipping Cost]]</f>
        <v>4537.04</v>
      </c>
    </row>
    <row r="845" spans="1:28" x14ac:dyDescent="0.35">
      <c r="A845">
        <v>29578</v>
      </c>
      <c r="B845" t="s">
        <v>3965</v>
      </c>
      <c r="C845" s="1">
        <v>41132</v>
      </c>
      <c r="D845" s="1">
        <v>41135</v>
      </c>
      <c r="E845">
        <f>Superstore_Sales[[#This Row],[Ship Date]]-Superstore_Sales[[#This Row],[Order Date]]</f>
        <v>3</v>
      </c>
      <c r="F845" t="s">
        <v>40</v>
      </c>
      <c r="G845" t="s">
        <v>3966</v>
      </c>
      <c r="H845" t="s">
        <v>3967</v>
      </c>
      <c r="I845" t="s">
        <v>65</v>
      </c>
      <c r="K845" t="s">
        <v>1431</v>
      </c>
      <c r="L845" t="s">
        <v>1432</v>
      </c>
      <c r="M845" t="s">
        <v>1433</v>
      </c>
      <c r="N845" t="s">
        <v>322</v>
      </c>
      <c r="O845" t="s">
        <v>48</v>
      </c>
      <c r="P845" t="s">
        <v>3968</v>
      </c>
      <c r="Q845" t="s">
        <v>35</v>
      </c>
      <c r="R845" t="s">
        <v>81</v>
      </c>
      <c r="S845" t="s">
        <v>3969</v>
      </c>
      <c r="T845">
        <v>1161.2</v>
      </c>
      <c r="U845">
        <v>7</v>
      </c>
      <c r="V845">
        <v>0.37</v>
      </c>
      <c r="W845">
        <v>-147.52000000000001</v>
      </c>
      <c r="X845">
        <v>205.96</v>
      </c>
      <c r="Y845" t="s">
        <v>38</v>
      </c>
      <c r="Z845">
        <f>Superstore_Sales[[#This Row],[Sales]]*Superstore_Sales[[#This Row],[Quantity]]</f>
        <v>8128.4000000000005</v>
      </c>
      <c r="AA845" s="3">
        <f>Superstore_Sales[[#This Row],[TotalSales]]*Superstore_Sales[[#This Row],[Discount]]/100</f>
        <v>30.075080000000003</v>
      </c>
      <c r="AB845" s="2">
        <f>Superstore_Sales[[#This Row],[TotalSales]]-Superstore_Sales[[#This Row],[Dis_amt]]-Superstore_Sales[[#This Row],[Shipping Cost]]</f>
        <v>7892.3649200000009</v>
      </c>
    </row>
    <row r="846" spans="1:28" x14ac:dyDescent="0.35">
      <c r="A846">
        <v>48962</v>
      </c>
      <c r="B846" t="s">
        <v>3970</v>
      </c>
      <c r="C846" s="1">
        <v>41031</v>
      </c>
      <c r="D846" s="1">
        <v>41033</v>
      </c>
      <c r="E846">
        <f>Superstore_Sales[[#This Row],[Ship Date]]-Superstore_Sales[[#This Row],[Order Date]]</f>
        <v>2</v>
      </c>
      <c r="F846" t="s">
        <v>25</v>
      </c>
      <c r="G846" t="s">
        <v>3971</v>
      </c>
      <c r="H846" t="s">
        <v>3972</v>
      </c>
      <c r="I846" t="s">
        <v>28</v>
      </c>
      <c r="K846" t="s">
        <v>2972</v>
      </c>
      <c r="L846" t="s">
        <v>2973</v>
      </c>
      <c r="M846" t="s">
        <v>185</v>
      </c>
      <c r="N846" t="s">
        <v>186</v>
      </c>
      <c r="O846" t="s">
        <v>79</v>
      </c>
      <c r="P846" t="s">
        <v>3784</v>
      </c>
      <c r="Q846" t="s">
        <v>35</v>
      </c>
      <c r="R846" t="s">
        <v>81</v>
      </c>
      <c r="S846" t="s">
        <v>3785</v>
      </c>
      <c r="T846">
        <v>642.72</v>
      </c>
      <c r="U846">
        <v>2</v>
      </c>
      <c r="V846">
        <v>0</v>
      </c>
      <c r="W846">
        <v>224.94</v>
      </c>
      <c r="X846">
        <v>205.74</v>
      </c>
      <c r="Y846" t="s">
        <v>53</v>
      </c>
      <c r="Z846">
        <f>Superstore_Sales[[#This Row],[Sales]]*Superstore_Sales[[#This Row],[Quantity]]</f>
        <v>1285.44</v>
      </c>
      <c r="AA846" s="3">
        <f>Superstore_Sales[[#This Row],[TotalSales]]*Superstore_Sales[[#This Row],[Discount]]/100</f>
        <v>0</v>
      </c>
      <c r="AB846" s="2">
        <f>Superstore_Sales[[#This Row],[TotalSales]]-Superstore_Sales[[#This Row],[Dis_amt]]-Superstore_Sales[[#This Row],[Shipping Cost]]</f>
        <v>1079.7</v>
      </c>
    </row>
    <row r="847" spans="1:28" x14ac:dyDescent="0.35">
      <c r="A847">
        <v>7711</v>
      </c>
      <c r="B847" t="s">
        <v>3973</v>
      </c>
      <c r="C847" s="1">
        <v>41877</v>
      </c>
      <c r="D847" s="1">
        <v>41878</v>
      </c>
      <c r="E847">
        <f>Superstore_Sales[[#This Row],[Ship Date]]-Superstore_Sales[[#This Row],[Order Date]]</f>
        <v>1</v>
      </c>
      <c r="F847" t="s">
        <v>25</v>
      </c>
      <c r="G847" t="s">
        <v>3974</v>
      </c>
      <c r="H847" t="s">
        <v>3975</v>
      </c>
      <c r="I847" t="s">
        <v>43</v>
      </c>
      <c r="K847" t="s">
        <v>515</v>
      </c>
      <c r="L847" t="s">
        <v>3976</v>
      </c>
      <c r="M847" t="s">
        <v>219</v>
      </c>
      <c r="N847" t="s">
        <v>220</v>
      </c>
      <c r="O847" t="s">
        <v>136</v>
      </c>
      <c r="P847" t="s">
        <v>127</v>
      </c>
      <c r="Q847" t="s">
        <v>35</v>
      </c>
      <c r="R847" t="s">
        <v>36</v>
      </c>
      <c r="S847" t="s">
        <v>128</v>
      </c>
      <c r="T847">
        <v>1308.48</v>
      </c>
      <c r="U847">
        <v>3</v>
      </c>
      <c r="V847">
        <v>0</v>
      </c>
      <c r="W847">
        <v>13.08</v>
      </c>
      <c r="X847">
        <v>205.721</v>
      </c>
      <c r="Y847" t="s">
        <v>38</v>
      </c>
      <c r="Z847">
        <f>Superstore_Sales[[#This Row],[Sales]]*Superstore_Sales[[#This Row],[Quantity]]</f>
        <v>3925.44</v>
      </c>
      <c r="AA847" s="3">
        <f>Superstore_Sales[[#This Row],[TotalSales]]*Superstore_Sales[[#This Row],[Discount]]/100</f>
        <v>0</v>
      </c>
      <c r="AB847" s="2">
        <f>Superstore_Sales[[#This Row],[TotalSales]]-Superstore_Sales[[#This Row],[Dis_amt]]-Superstore_Sales[[#This Row],[Shipping Cost]]</f>
        <v>3719.7190000000001</v>
      </c>
    </row>
    <row r="848" spans="1:28" x14ac:dyDescent="0.35">
      <c r="A848">
        <v>20937</v>
      </c>
      <c r="B848" t="s">
        <v>3977</v>
      </c>
      <c r="C848" s="1">
        <v>41548</v>
      </c>
      <c r="D848" s="1">
        <v>41554</v>
      </c>
      <c r="E848">
        <f>Superstore_Sales[[#This Row],[Ship Date]]-Superstore_Sales[[#This Row],[Order Date]]</f>
        <v>6</v>
      </c>
      <c r="F848" t="s">
        <v>98</v>
      </c>
      <c r="G848" t="s">
        <v>1584</v>
      </c>
      <c r="H848" t="s">
        <v>1585</v>
      </c>
      <c r="I848" t="s">
        <v>28</v>
      </c>
      <c r="K848" t="s">
        <v>410</v>
      </c>
      <c r="L848" t="s">
        <v>410</v>
      </c>
      <c r="M848" t="s">
        <v>258</v>
      </c>
      <c r="N848" t="s">
        <v>118</v>
      </c>
      <c r="O848" t="s">
        <v>48</v>
      </c>
      <c r="P848" t="s">
        <v>3698</v>
      </c>
      <c r="Q848" t="s">
        <v>50</v>
      </c>
      <c r="R848" t="s">
        <v>104</v>
      </c>
      <c r="S848" t="s">
        <v>3699</v>
      </c>
      <c r="T848">
        <v>3547.44</v>
      </c>
      <c r="U848">
        <v>8</v>
      </c>
      <c r="V848">
        <v>0</v>
      </c>
      <c r="W848">
        <v>780.24</v>
      </c>
      <c r="X848">
        <v>205.63</v>
      </c>
      <c r="Y848" t="s">
        <v>61</v>
      </c>
      <c r="Z848">
        <f>Superstore_Sales[[#This Row],[Sales]]*Superstore_Sales[[#This Row],[Quantity]]</f>
        <v>28379.52</v>
      </c>
      <c r="AA848" s="3">
        <f>Superstore_Sales[[#This Row],[TotalSales]]*Superstore_Sales[[#This Row],[Discount]]/100</f>
        <v>0</v>
      </c>
      <c r="AB848" s="2">
        <f>Superstore_Sales[[#This Row],[TotalSales]]-Superstore_Sales[[#This Row],[Dis_amt]]-Superstore_Sales[[#This Row],[Shipping Cost]]</f>
        <v>28173.89</v>
      </c>
    </row>
    <row r="849" spans="1:28" x14ac:dyDescent="0.35">
      <c r="A849">
        <v>28974</v>
      </c>
      <c r="B849" t="s">
        <v>3978</v>
      </c>
      <c r="C849" s="1">
        <v>41815</v>
      </c>
      <c r="D849" s="1">
        <v>41816</v>
      </c>
      <c r="E849">
        <f>Superstore_Sales[[#This Row],[Ship Date]]-Superstore_Sales[[#This Row],[Order Date]]</f>
        <v>1</v>
      </c>
      <c r="F849" t="s">
        <v>25</v>
      </c>
      <c r="G849" t="s">
        <v>3979</v>
      </c>
      <c r="H849" t="s">
        <v>2585</v>
      </c>
      <c r="I849" t="s">
        <v>28</v>
      </c>
      <c r="K849" t="s">
        <v>855</v>
      </c>
      <c r="L849" t="s">
        <v>856</v>
      </c>
      <c r="M849" t="s">
        <v>144</v>
      </c>
      <c r="N849" t="s">
        <v>145</v>
      </c>
      <c r="O849" t="s">
        <v>48</v>
      </c>
      <c r="P849" t="s">
        <v>2239</v>
      </c>
      <c r="Q849" t="s">
        <v>50</v>
      </c>
      <c r="R849" t="s">
        <v>336</v>
      </c>
      <c r="S849" t="s">
        <v>2240</v>
      </c>
      <c r="T849">
        <v>724.8</v>
      </c>
      <c r="U849">
        <v>2</v>
      </c>
      <c r="V849">
        <v>0</v>
      </c>
      <c r="W849">
        <v>333.36</v>
      </c>
      <c r="X849">
        <v>205.55</v>
      </c>
      <c r="Y849" t="s">
        <v>38</v>
      </c>
      <c r="Z849">
        <f>Superstore_Sales[[#This Row],[Sales]]*Superstore_Sales[[#This Row],[Quantity]]</f>
        <v>1449.6</v>
      </c>
      <c r="AA849" s="3">
        <f>Superstore_Sales[[#This Row],[TotalSales]]*Superstore_Sales[[#This Row],[Discount]]/100</f>
        <v>0</v>
      </c>
      <c r="AB849" s="2">
        <f>Superstore_Sales[[#This Row],[TotalSales]]-Superstore_Sales[[#This Row],[Dis_amt]]-Superstore_Sales[[#This Row],[Shipping Cost]]</f>
        <v>1244.05</v>
      </c>
    </row>
    <row r="850" spans="1:28" x14ac:dyDescent="0.35">
      <c r="A850">
        <v>33951</v>
      </c>
      <c r="B850" t="s">
        <v>3980</v>
      </c>
      <c r="C850" s="1">
        <v>42265</v>
      </c>
      <c r="D850" s="1">
        <v>42269</v>
      </c>
      <c r="E850">
        <f>Superstore_Sales[[#This Row],[Ship Date]]-Superstore_Sales[[#This Row],[Order Date]]</f>
        <v>4</v>
      </c>
      <c r="F850" t="s">
        <v>40</v>
      </c>
      <c r="G850" t="s">
        <v>3981</v>
      </c>
      <c r="H850" t="s">
        <v>485</v>
      </c>
      <c r="I850" t="s">
        <v>43</v>
      </c>
      <c r="J850">
        <v>84604</v>
      </c>
      <c r="K850" t="s">
        <v>3982</v>
      </c>
      <c r="L850" t="s">
        <v>3983</v>
      </c>
      <c r="M850" t="s">
        <v>31</v>
      </c>
      <c r="N850" t="s">
        <v>110</v>
      </c>
      <c r="O850" t="s">
        <v>33</v>
      </c>
      <c r="P850" t="s">
        <v>3984</v>
      </c>
      <c r="Q850" t="s">
        <v>50</v>
      </c>
      <c r="R850" t="s">
        <v>336</v>
      </c>
      <c r="S850" t="s">
        <v>3985</v>
      </c>
      <c r="T850">
        <v>1292.94</v>
      </c>
      <c r="U850">
        <v>3</v>
      </c>
      <c r="V850">
        <v>0</v>
      </c>
      <c r="W850">
        <v>77.58</v>
      </c>
      <c r="X850">
        <v>77.12</v>
      </c>
      <c r="Y850" t="s">
        <v>61</v>
      </c>
      <c r="Z850">
        <f>Superstore_Sales[[#This Row],[Sales]]*Superstore_Sales[[#This Row],[Quantity]]</f>
        <v>3878.82</v>
      </c>
      <c r="AA850" s="3">
        <f>Superstore_Sales[[#This Row],[TotalSales]]*Superstore_Sales[[#This Row],[Discount]]/100</f>
        <v>0</v>
      </c>
      <c r="AB850" s="2">
        <f>Superstore_Sales[[#This Row],[TotalSales]]-Superstore_Sales[[#This Row],[Dis_amt]]-Superstore_Sales[[#This Row],[Shipping Cost]]</f>
        <v>3801.7000000000003</v>
      </c>
    </row>
    <row r="851" spans="1:28" x14ac:dyDescent="0.35">
      <c r="A851">
        <v>3117</v>
      </c>
      <c r="B851" t="s">
        <v>3986</v>
      </c>
      <c r="C851" s="1">
        <v>42115</v>
      </c>
      <c r="D851" s="1">
        <v>42118</v>
      </c>
      <c r="E851">
        <f>Superstore_Sales[[#This Row],[Ship Date]]-Superstore_Sales[[#This Row],[Order Date]]</f>
        <v>3</v>
      </c>
      <c r="F851" t="s">
        <v>25</v>
      </c>
      <c r="G851" t="s">
        <v>3987</v>
      </c>
      <c r="H851" t="s">
        <v>1405</v>
      </c>
      <c r="I851" t="s">
        <v>28</v>
      </c>
      <c r="K851" t="s">
        <v>3988</v>
      </c>
      <c r="L851" t="s">
        <v>3989</v>
      </c>
      <c r="M851" t="s">
        <v>3990</v>
      </c>
      <c r="N851" t="s">
        <v>135</v>
      </c>
      <c r="O851" t="s">
        <v>136</v>
      </c>
      <c r="P851" t="s">
        <v>3991</v>
      </c>
      <c r="Q851" t="s">
        <v>50</v>
      </c>
      <c r="R851" t="s">
        <v>51</v>
      </c>
      <c r="S851" t="s">
        <v>3992</v>
      </c>
      <c r="T851">
        <v>803.52</v>
      </c>
      <c r="U851">
        <v>9</v>
      </c>
      <c r="V851">
        <v>0</v>
      </c>
      <c r="W851">
        <v>80.28</v>
      </c>
      <c r="X851">
        <v>205.33600000000001</v>
      </c>
      <c r="Y851" t="s">
        <v>38</v>
      </c>
      <c r="Z851">
        <f>Superstore_Sales[[#This Row],[Sales]]*Superstore_Sales[[#This Row],[Quantity]]</f>
        <v>7231.68</v>
      </c>
      <c r="AA851" s="3">
        <f>Superstore_Sales[[#This Row],[TotalSales]]*Superstore_Sales[[#This Row],[Discount]]/100</f>
        <v>0</v>
      </c>
      <c r="AB851" s="2">
        <f>Superstore_Sales[[#This Row],[TotalSales]]-Superstore_Sales[[#This Row],[Dis_amt]]-Superstore_Sales[[#This Row],[Shipping Cost]]</f>
        <v>7026.3440000000001</v>
      </c>
    </row>
    <row r="852" spans="1:28" x14ac:dyDescent="0.35">
      <c r="A852">
        <v>5005</v>
      </c>
      <c r="B852" t="s">
        <v>3993</v>
      </c>
      <c r="C852" s="1">
        <v>42091</v>
      </c>
      <c r="D852" s="1">
        <v>42093</v>
      </c>
      <c r="E852">
        <f>Superstore_Sales[[#This Row],[Ship Date]]-Superstore_Sales[[#This Row],[Order Date]]</f>
        <v>2</v>
      </c>
      <c r="F852" t="s">
        <v>25</v>
      </c>
      <c r="G852" t="s">
        <v>3994</v>
      </c>
      <c r="H852" t="s">
        <v>3356</v>
      </c>
      <c r="I852" t="s">
        <v>28</v>
      </c>
      <c r="K852" t="s">
        <v>3995</v>
      </c>
      <c r="L852" t="s">
        <v>3128</v>
      </c>
      <c r="M852" t="s">
        <v>219</v>
      </c>
      <c r="N852" t="s">
        <v>220</v>
      </c>
      <c r="O852" t="s">
        <v>136</v>
      </c>
      <c r="P852" t="s">
        <v>3996</v>
      </c>
      <c r="Q852" t="s">
        <v>50</v>
      </c>
      <c r="R852" t="s">
        <v>104</v>
      </c>
      <c r="S852" t="s">
        <v>3997</v>
      </c>
      <c r="T852">
        <v>1011.7</v>
      </c>
      <c r="U852">
        <v>7</v>
      </c>
      <c r="V852">
        <v>0.2</v>
      </c>
      <c r="W852">
        <v>126.34</v>
      </c>
      <c r="X852">
        <v>205.21799999999999</v>
      </c>
      <c r="Y852" t="s">
        <v>38</v>
      </c>
      <c r="Z852">
        <f>Superstore_Sales[[#This Row],[Sales]]*Superstore_Sales[[#This Row],[Quantity]]</f>
        <v>7081.9000000000005</v>
      </c>
      <c r="AA852" s="3">
        <f>Superstore_Sales[[#This Row],[TotalSales]]*Superstore_Sales[[#This Row],[Discount]]/100</f>
        <v>14.163800000000002</v>
      </c>
      <c r="AB852" s="2">
        <f>Superstore_Sales[[#This Row],[TotalSales]]-Superstore_Sales[[#This Row],[Dis_amt]]-Superstore_Sales[[#This Row],[Shipping Cost]]</f>
        <v>6862.5182000000004</v>
      </c>
    </row>
    <row r="853" spans="1:28" x14ac:dyDescent="0.35">
      <c r="A853">
        <v>2682</v>
      </c>
      <c r="B853" t="s">
        <v>3998</v>
      </c>
      <c r="C853" s="1">
        <v>42255</v>
      </c>
      <c r="D853" s="1">
        <v>42259</v>
      </c>
      <c r="E853">
        <f>Superstore_Sales[[#This Row],[Ship Date]]-Superstore_Sales[[#This Row],[Order Date]]</f>
        <v>4</v>
      </c>
      <c r="F853" t="s">
        <v>40</v>
      </c>
      <c r="G853" t="s">
        <v>3999</v>
      </c>
      <c r="H853" t="s">
        <v>4000</v>
      </c>
      <c r="I853" t="s">
        <v>28</v>
      </c>
      <c r="K853" t="s">
        <v>1439</v>
      </c>
      <c r="L853" t="s">
        <v>1439</v>
      </c>
      <c r="M853" t="s">
        <v>1440</v>
      </c>
      <c r="N853" t="s">
        <v>266</v>
      </c>
      <c r="O853" t="s">
        <v>136</v>
      </c>
      <c r="P853" t="s">
        <v>4001</v>
      </c>
      <c r="Q853" t="s">
        <v>50</v>
      </c>
      <c r="R853" t="s">
        <v>104</v>
      </c>
      <c r="S853" t="s">
        <v>4002</v>
      </c>
      <c r="T853">
        <v>2419.1999999999998</v>
      </c>
      <c r="U853">
        <v>7</v>
      </c>
      <c r="V853">
        <v>0</v>
      </c>
      <c r="W853">
        <v>411.18</v>
      </c>
      <c r="X853">
        <v>205.167</v>
      </c>
      <c r="Y853" t="s">
        <v>38</v>
      </c>
      <c r="Z853">
        <f>Superstore_Sales[[#This Row],[Sales]]*Superstore_Sales[[#This Row],[Quantity]]</f>
        <v>16934.399999999998</v>
      </c>
      <c r="AA853" s="3">
        <f>Superstore_Sales[[#This Row],[TotalSales]]*Superstore_Sales[[#This Row],[Discount]]/100</f>
        <v>0</v>
      </c>
      <c r="AB853" s="2">
        <f>Superstore_Sales[[#This Row],[TotalSales]]-Superstore_Sales[[#This Row],[Dis_amt]]-Superstore_Sales[[#This Row],[Shipping Cost]]</f>
        <v>16729.232999999997</v>
      </c>
    </row>
    <row r="854" spans="1:28" x14ac:dyDescent="0.35">
      <c r="A854">
        <v>8146</v>
      </c>
      <c r="B854" t="s">
        <v>4003</v>
      </c>
      <c r="C854" s="1">
        <v>41961</v>
      </c>
      <c r="D854" s="1">
        <v>41963</v>
      </c>
      <c r="E854">
        <f>Superstore_Sales[[#This Row],[Ship Date]]-Superstore_Sales[[#This Row],[Order Date]]</f>
        <v>2</v>
      </c>
      <c r="F854" t="s">
        <v>25</v>
      </c>
      <c r="G854" t="s">
        <v>4004</v>
      </c>
      <c r="H854" t="s">
        <v>1841</v>
      </c>
      <c r="I854" t="s">
        <v>28</v>
      </c>
      <c r="K854" t="s">
        <v>4005</v>
      </c>
      <c r="L854" t="s">
        <v>4005</v>
      </c>
      <c r="M854" t="s">
        <v>265</v>
      </c>
      <c r="N854" t="s">
        <v>266</v>
      </c>
      <c r="O854" t="s">
        <v>136</v>
      </c>
      <c r="P854" t="s">
        <v>2401</v>
      </c>
      <c r="Q854" t="s">
        <v>147</v>
      </c>
      <c r="R854" t="s">
        <v>148</v>
      </c>
      <c r="S854" t="s">
        <v>2402</v>
      </c>
      <c r="T854">
        <v>803.04</v>
      </c>
      <c r="U854">
        <v>5</v>
      </c>
      <c r="V854">
        <v>0.2</v>
      </c>
      <c r="W854">
        <v>180.64</v>
      </c>
      <c r="X854">
        <v>205.148</v>
      </c>
      <c r="Y854" t="s">
        <v>38</v>
      </c>
      <c r="Z854">
        <f>Superstore_Sales[[#This Row],[Sales]]*Superstore_Sales[[#This Row],[Quantity]]</f>
        <v>4015.2</v>
      </c>
      <c r="AA854" s="3">
        <f>Superstore_Sales[[#This Row],[TotalSales]]*Superstore_Sales[[#This Row],[Discount]]/100</f>
        <v>8.0304000000000002</v>
      </c>
      <c r="AB854" s="2">
        <f>Superstore_Sales[[#This Row],[TotalSales]]-Superstore_Sales[[#This Row],[Dis_amt]]-Superstore_Sales[[#This Row],[Shipping Cost]]</f>
        <v>3802.0215999999996</v>
      </c>
    </row>
    <row r="855" spans="1:28" x14ac:dyDescent="0.35">
      <c r="A855">
        <v>424</v>
      </c>
      <c r="B855" t="s">
        <v>4006</v>
      </c>
      <c r="C855" s="1">
        <v>42294</v>
      </c>
      <c r="D855" s="1">
        <v>42297</v>
      </c>
      <c r="E855">
        <f>Superstore_Sales[[#This Row],[Ship Date]]-Superstore_Sales[[#This Row],[Order Date]]</f>
        <v>3</v>
      </c>
      <c r="F855" t="s">
        <v>25</v>
      </c>
      <c r="G855" t="s">
        <v>4007</v>
      </c>
      <c r="H855" t="s">
        <v>2359</v>
      </c>
      <c r="I855" t="s">
        <v>43</v>
      </c>
      <c r="K855" t="s">
        <v>4008</v>
      </c>
      <c r="L855" t="s">
        <v>4009</v>
      </c>
      <c r="M855" t="s">
        <v>4009</v>
      </c>
      <c r="N855" t="s">
        <v>266</v>
      </c>
      <c r="O855" t="s">
        <v>136</v>
      </c>
      <c r="P855" t="s">
        <v>3698</v>
      </c>
      <c r="Q855" t="s">
        <v>50</v>
      </c>
      <c r="R855" t="s">
        <v>104</v>
      </c>
      <c r="S855" t="s">
        <v>3699</v>
      </c>
      <c r="T855">
        <v>1773.72</v>
      </c>
      <c r="U855">
        <v>6</v>
      </c>
      <c r="V855">
        <v>0</v>
      </c>
      <c r="W855">
        <v>212.76</v>
      </c>
      <c r="X855">
        <v>205.114</v>
      </c>
      <c r="Y855" t="s">
        <v>38</v>
      </c>
      <c r="Z855">
        <f>Superstore_Sales[[#This Row],[Sales]]*Superstore_Sales[[#This Row],[Quantity]]</f>
        <v>10642.32</v>
      </c>
      <c r="AA855" s="3">
        <f>Superstore_Sales[[#This Row],[TotalSales]]*Superstore_Sales[[#This Row],[Discount]]/100</f>
        <v>0</v>
      </c>
      <c r="AB855" s="2">
        <f>Superstore_Sales[[#This Row],[TotalSales]]-Superstore_Sales[[#This Row],[Dis_amt]]-Superstore_Sales[[#This Row],[Shipping Cost]]</f>
        <v>10437.206</v>
      </c>
    </row>
    <row r="856" spans="1:28" x14ac:dyDescent="0.35">
      <c r="A856">
        <v>14021</v>
      </c>
      <c r="B856" t="s">
        <v>4010</v>
      </c>
      <c r="C856" s="1">
        <v>41340</v>
      </c>
      <c r="D856" s="1">
        <v>41345</v>
      </c>
      <c r="E856">
        <f>Superstore_Sales[[#This Row],[Ship Date]]-Superstore_Sales[[#This Row],[Order Date]]</f>
        <v>5</v>
      </c>
      <c r="F856" t="s">
        <v>40</v>
      </c>
      <c r="G856" t="s">
        <v>4011</v>
      </c>
      <c r="H856" t="s">
        <v>907</v>
      </c>
      <c r="I856" t="s">
        <v>65</v>
      </c>
      <c r="K856" t="s">
        <v>4012</v>
      </c>
      <c r="L856" t="s">
        <v>310</v>
      </c>
      <c r="M856" t="s">
        <v>210</v>
      </c>
      <c r="N856" t="s">
        <v>211</v>
      </c>
      <c r="O856" t="s">
        <v>69</v>
      </c>
      <c r="P856" t="s">
        <v>555</v>
      </c>
      <c r="Q856" t="s">
        <v>35</v>
      </c>
      <c r="R856" t="s">
        <v>81</v>
      </c>
      <c r="S856" t="s">
        <v>556</v>
      </c>
      <c r="T856">
        <v>1893.3</v>
      </c>
      <c r="U856">
        <v>5</v>
      </c>
      <c r="V856">
        <v>0</v>
      </c>
      <c r="W856">
        <v>927.6</v>
      </c>
      <c r="X856">
        <v>205.01</v>
      </c>
      <c r="Y856" t="s">
        <v>61</v>
      </c>
      <c r="Z856">
        <f>Superstore_Sales[[#This Row],[Sales]]*Superstore_Sales[[#This Row],[Quantity]]</f>
        <v>9466.5</v>
      </c>
      <c r="AA856" s="3">
        <f>Superstore_Sales[[#This Row],[TotalSales]]*Superstore_Sales[[#This Row],[Discount]]/100</f>
        <v>0</v>
      </c>
      <c r="AB856" s="2">
        <f>Superstore_Sales[[#This Row],[TotalSales]]-Superstore_Sales[[#This Row],[Dis_amt]]-Superstore_Sales[[#This Row],[Shipping Cost]]</f>
        <v>9261.49</v>
      </c>
    </row>
    <row r="857" spans="1:28" x14ac:dyDescent="0.35">
      <c r="A857">
        <v>27983</v>
      </c>
      <c r="B857" t="s">
        <v>4013</v>
      </c>
      <c r="C857" s="1">
        <v>41443</v>
      </c>
      <c r="D857" s="1">
        <v>41445</v>
      </c>
      <c r="E857">
        <f>Superstore_Sales[[#This Row],[Ship Date]]-Superstore_Sales[[#This Row],[Order Date]]</f>
        <v>2</v>
      </c>
      <c r="F857" t="s">
        <v>40</v>
      </c>
      <c r="G857" t="s">
        <v>4014</v>
      </c>
      <c r="H857" t="s">
        <v>4015</v>
      </c>
      <c r="I857" t="s">
        <v>28</v>
      </c>
      <c r="K857" t="s">
        <v>741</v>
      </c>
      <c r="L857" t="s">
        <v>742</v>
      </c>
      <c r="M857" t="s">
        <v>46</v>
      </c>
      <c r="N857" t="s">
        <v>47</v>
      </c>
      <c r="O857" t="s">
        <v>48</v>
      </c>
      <c r="P857" t="s">
        <v>4016</v>
      </c>
      <c r="Q857" t="s">
        <v>147</v>
      </c>
      <c r="R857" t="s">
        <v>162</v>
      </c>
      <c r="S857" t="s">
        <v>4017</v>
      </c>
      <c r="T857">
        <v>689.09</v>
      </c>
      <c r="U857">
        <v>14</v>
      </c>
      <c r="V857">
        <v>0.1</v>
      </c>
      <c r="W857">
        <v>-53.89</v>
      </c>
      <c r="X857">
        <v>204.72</v>
      </c>
      <c r="Y857" t="s">
        <v>53</v>
      </c>
      <c r="Z857">
        <f>Superstore_Sales[[#This Row],[Sales]]*Superstore_Sales[[#This Row],[Quantity]]</f>
        <v>9647.26</v>
      </c>
      <c r="AA857" s="3">
        <f>Superstore_Sales[[#This Row],[TotalSales]]*Superstore_Sales[[#This Row],[Discount]]/100</f>
        <v>9.6472600000000011</v>
      </c>
      <c r="AB857" s="2">
        <f>Superstore_Sales[[#This Row],[TotalSales]]-Superstore_Sales[[#This Row],[Dis_amt]]-Superstore_Sales[[#This Row],[Shipping Cost]]</f>
        <v>9432.8927400000011</v>
      </c>
    </row>
    <row r="858" spans="1:28" x14ac:dyDescent="0.35">
      <c r="A858">
        <v>13479</v>
      </c>
      <c r="B858" t="s">
        <v>4018</v>
      </c>
      <c r="C858" s="1">
        <v>41789</v>
      </c>
      <c r="D858" s="1">
        <v>41794</v>
      </c>
      <c r="E858">
        <f>Superstore_Sales[[#This Row],[Ship Date]]-Superstore_Sales[[#This Row],[Order Date]]</f>
        <v>5</v>
      </c>
      <c r="F858" t="s">
        <v>98</v>
      </c>
      <c r="G858" t="s">
        <v>4019</v>
      </c>
      <c r="H858" t="s">
        <v>4020</v>
      </c>
      <c r="I858" t="s">
        <v>28</v>
      </c>
      <c r="K858" t="s">
        <v>4021</v>
      </c>
      <c r="L858" t="s">
        <v>4022</v>
      </c>
      <c r="M858" t="s">
        <v>67</v>
      </c>
      <c r="N858" t="s">
        <v>68</v>
      </c>
      <c r="O858" t="s">
        <v>69</v>
      </c>
      <c r="P858" t="s">
        <v>221</v>
      </c>
      <c r="Q858" t="s">
        <v>35</v>
      </c>
      <c r="R858" t="s">
        <v>36</v>
      </c>
      <c r="S858" t="s">
        <v>222</v>
      </c>
      <c r="T858">
        <v>2570.7600000000002</v>
      </c>
      <c r="U858">
        <v>4</v>
      </c>
      <c r="V858">
        <v>0</v>
      </c>
      <c r="W858">
        <v>976.8</v>
      </c>
      <c r="X858">
        <v>204.64</v>
      </c>
      <c r="Y858" t="s">
        <v>61</v>
      </c>
      <c r="Z858">
        <f>Superstore_Sales[[#This Row],[Sales]]*Superstore_Sales[[#This Row],[Quantity]]</f>
        <v>10283.040000000001</v>
      </c>
      <c r="AA858" s="3">
        <f>Superstore_Sales[[#This Row],[TotalSales]]*Superstore_Sales[[#This Row],[Discount]]/100</f>
        <v>0</v>
      </c>
      <c r="AB858" s="2">
        <f>Superstore_Sales[[#This Row],[TotalSales]]-Superstore_Sales[[#This Row],[Dis_amt]]-Superstore_Sales[[#This Row],[Shipping Cost]]</f>
        <v>10078.400000000001</v>
      </c>
    </row>
    <row r="859" spans="1:28" x14ac:dyDescent="0.35">
      <c r="A859">
        <v>16812</v>
      </c>
      <c r="B859" t="s">
        <v>4023</v>
      </c>
      <c r="C859" s="1">
        <v>41807</v>
      </c>
      <c r="D859" s="1">
        <v>41810</v>
      </c>
      <c r="E859">
        <f>Superstore_Sales[[#This Row],[Ship Date]]-Superstore_Sales[[#This Row],[Order Date]]</f>
        <v>3</v>
      </c>
      <c r="F859" t="s">
        <v>40</v>
      </c>
      <c r="G859" t="s">
        <v>4024</v>
      </c>
      <c r="H859" t="s">
        <v>1210</v>
      </c>
      <c r="I859" t="s">
        <v>65</v>
      </c>
      <c r="K859" t="s">
        <v>4025</v>
      </c>
      <c r="L859" t="s">
        <v>310</v>
      </c>
      <c r="M859" t="s">
        <v>210</v>
      </c>
      <c r="N859" t="s">
        <v>211</v>
      </c>
      <c r="O859" t="s">
        <v>69</v>
      </c>
      <c r="P859" t="s">
        <v>3743</v>
      </c>
      <c r="Q859" t="s">
        <v>35</v>
      </c>
      <c r="R859" t="s">
        <v>81</v>
      </c>
      <c r="S859" t="s">
        <v>3744</v>
      </c>
      <c r="T859">
        <v>1199.76</v>
      </c>
      <c r="U859">
        <v>4</v>
      </c>
      <c r="V859">
        <v>0</v>
      </c>
      <c r="W859">
        <v>479.88</v>
      </c>
      <c r="X859">
        <v>204.43</v>
      </c>
      <c r="Y859" t="s">
        <v>61</v>
      </c>
      <c r="Z859">
        <f>Superstore_Sales[[#This Row],[Sales]]*Superstore_Sales[[#This Row],[Quantity]]</f>
        <v>4799.04</v>
      </c>
      <c r="AA859" s="3">
        <f>Superstore_Sales[[#This Row],[TotalSales]]*Superstore_Sales[[#This Row],[Discount]]/100</f>
        <v>0</v>
      </c>
      <c r="AB859" s="2">
        <f>Superstore_Sales[[#This Row],[TotalSales]]-Superstore_Sales[[#This Row],[Dis_amt]]-Superstore_Sales[[#This Row],[Shipping Cost]]</f>
        <v>4594.6099999999997</v>
      </c>
    </row>
    <row r="860" spans="1:28" x14ac:dyDescent="0.35">
      <c r="A860">
        <v>21554</v>
      </c>
      <c r="B860" t="s">
        <v>4026</v>
      </c>
      <c r="C860" s="1">
        <v>42089</v>
      </c>
      <c r="D860" s="1">
        <v>42092</v>
      </c>
      <c r="E860">
        <f>Superstore_Sales[[#This Row],[Ship Date]]-Superstore_Sales[[#This Row],[Order Date]]</f>
        <v>3</v>
      </c>
      <c r="F860" t="s">
        <v>40</v>
      </c>
      <c r="G860" t="s">
        <v>4027</v>
      </c>
      <c r="H860" t="s">
        <v>4028</v>
      </c>
      <c r="I860" t="s">
        <v>28</v>
      </c>
      <c r="K860" t="s">
        <v>1312</v>
      </c>
      <c r="L860" t="s">
        <v>1077</v>
      </c>
      <c r="M860" t="s">
        <v>144</v>
      </c>
      <c r="N860" t="s">
        <v>145</v>
      </c>
      <c r="O860" t="s">
        <v>48</v>
      </c>
      <c r="P860" t="s">
        <v>2145</v>
      </c>
      <c r="Q860" t="s">
        <v>35</v>
      </c>
      <c r="R860" t="s">
        <v>81</v>
      </c>
      <c r="S860" t="s">
        <v>2146</v>
      </c>
      <c r="T860">
        <v>3216.24</v>
      </c>
      <c r="U860">
        <v>9</v>
      </c>
      <c r="V860">
        <v>0</v>
      </c>
      <c r="W860">
        <v>96.39</v>
      </c>
      <c r="X860">
        <v>204.36</v>
      </c>
      <c r="Y860" t="s">
        <v>38</v>
      </c>
      <c r="Z860">
        <f>Superstore_Sales[[#This Row],[Sales]]*Superstore_Sales[[#This Row],[Quantity]]</f>
        <v>28946.159999999996</v>
      </c>
      <c r="AA860" s="3">
        <f>Superstore_Sales[[#This Row],[TotalSales]]*Superstore_Sales[[#This Row],[Discount]]/100</f>
        <v>0</v>
      </c>
      <c r="AB860" s="2">
        <f>Superstore_Sales[[#This Row],[TotalSales]]-Superstore_Sales[[#This Row],[Dis_amt]]-Superstore_Sales[[#This Row],[Shipping Cost]]</f>
        <v>28741.799999999996</v>
      </c>
    </row>
    <row r="861" spans="1:28" x14ac:dyDescent="0.35">
      <c r="A861">
        <v>1702</v>
      </c>
      <c r="B861" t="s">
        <v>4029</v>
      </c>
      <c r="C861" s="1">
        <v>41166</v>
      </c>
      <c r="D861" s="1">
        <v>41168</v>
      </c>
      <c r="E861">
        <f>Superstore_Sales[[#This Row],[Ship Date]]-Superstore_Sales[[#This Row],[Order Date]]</f>
        <v>2</v>
      </c>
      <c r="F861" t="s">
        <v>25</v>
      </c>
      <c r="G861" t="s">
        <v>4030</v>
      </c>
      <c r="H861" t="s">
        <v>3637</v>
      </c>
      <c r="I861" t="s">
        <v>28</v>
      </c>
      <c r="K861" t="s">
        <v>4031</v>
      </c>
      <c r="L861" t="s">
        <v>4032</v>
      </c>
      <c r="M861" t="s">
        <v>134</v>
      </c>
      <c r="N861" t="s">
        <v>135</v>
      </c>
      <c r="O861" t="s">
        <v>136</v>
      </c>
      <c r="P861" t="s">
        <v>3476</v>
      </c>
      <c r="Q861" t="s">
        <v>50</v>
      </c>
      <c r="R861" t="s">
        <v>104</v>
      </c>
      <c r="S861" t="s">
        <v>3477</v>
      </c>
      <c r="T861">
        <v>1274.24</v>
      </c>
      <c r="U861">
        <v>5</v>
      </c>
      <c r="V861">
        <v>0.2</v>
      </c>
      <c r="W861">
        <v>-127.46</v>
      </c>
      <c r="X861">
        <v>204.31299999999999</v>
      </c>
      <c r="Y861" t="s">
        <v>38</v>
      </c>
      <c r="Z861">
        <f>Superstore_Sales[[#This Row],[Sales]]*Superstore_Sales[[#This Row],[Quantity]]</f>
        <v>6371.2</v>
      </c>
      <c r="AA861" s="3">
        <f>Superstore_Sales[[#This Row],[TotalSales]]*Superstore_Sales[[#This Row],[Discount]]/100</f>
        <v>12.7424</v>
      </c>
      <c r="AB861" s="2">
        <f>Superstore_Sales[[#This Row],[TotalSales]]-Superstore_Sales[[#This Row],[Dis_amt]]-Superstore_Sales[[#This Row],[Shipping Cost]]</f>
        <v>6154.1445999999996</v>
      </c>
    </row>
    <row r="862" spans="1:28" x14ac:dyDescent="0.35">
      <c r="A862">
        <v>19853</v>
      </c>
      <c r="B862" t="s">
        <v>4033</v>
      </c>
      <c r="C862" s="1">
        <v>41537</v>
      </c>
      <c r="D862" s="1">
        <v>41542</v>
      </c>
      <c r="E862">
        <f>Superstore_Sales[[#This Row],[Ship Date]]-Superstore_Sales[[#This Row],[Order Date]]</f>
        <v>5</v>
      </c>
      <c r="F862" t="s">
        <v>40</v>
      </c>
      <c r="G862" t="s">
        <v>4034</v>
      </c>
      <c r="H862" t="s">
        <v>3463</v>
      </c>
      <c r="I862" t="s">
        <v>28</v>
      </c>
      <c r="K862" t="s">
        <v>4035</v>
      </c>
      <c r="L862" t="s">
        <v>1779</v>
      </c>
      <c r="M862" t="s">
        <v>1780</v>
      </c>
      <c r="N862" t="s">
        <v>211</v>
      </c>
      <c r="O862" t="s">
        <v>69</v>
      </c>
      <c r="P862" t="s">
        <v>3145</v>
      </c>
      <c r="Q862" t="s">
        <v>147</v>
      </c>
      <c r="R862" t="s">
        <v>148</v>
      </c>
      <c r="S862" t="s">
        <v>3146</v>
      </c>
      <c r="T862">
        <v>2145.7199999999998</v>
      </c>
      <c r="U862">
        <v>4</v>
      </c>
      <c r="V862">
        <v>0</v>
      </c>
      <c r="W862">
        <v>364.68</v>
      </c>
      <c r="X862">
        <v>204.29</v>
      </c>
      <c r="Y862" t="s">
        <v>61</v>
      </c>
      <c r="Z862">
        <f>Superstore_Sales[[#This Row],[Sales]]*Superstore_Sales[[#This Row],[Quantity]]</f>
        <v>8582.8799999999992</v>
      </c>
      <c r="AA862" s="3">
        <f>Superstore_Sales[[#This Row],[TotalSales]]*Superstore_Sales[[#This Row],[Discount]]/100</f>
        <v>0</v>
      </c>
      <c r="AB862" s="2">
        <f>Superstore_Sales[[#This Row],[TotalSales]]-Superstore_Sales[[#This Row],[Dis_amt]]-Superstore_Sales[[#This Row],[Shipping Cost]]</f>
        <v>8378.5899999999983</v>
      </c>
    </row>
    <row r="863" spans="1:28" x14ac:dyDescent="0.35">
      <c r="A863">
        <v>14079</v>
      </c>
      <c r="B863" t="s">
        <v>4036</v>
      </c>
      <c r="C863" s="1">
        <v>41141</v>
      </c>
      <c r="D863" s="1">
        <v>41141</v>
      </c>
      <c r="E863">
        <f>Superstore_Sales[[#This Row],[Ship Date]]-Superstore_Sales[[#This Row],[Order Date]]</f>
        <v>0</v>
      </c>
      <c r="F863" t="s">
        <v>73</v>
      </c>
      <c r="G863" t="s">
        <v>4037</v>
      </c>
      <c r="H863" t="s">
        <v>4038</v>
      </c>
      <c r="I863" t="s">
        <v>28</v>
      </c>
      <c r="K863" t="s">
        <v>4039</v>
      </c>
      <c r="L863" t="s">
        <v>154</v>
      </c>
      <c r="M863" t="s">
        <v>155</v>
      </c>
      <c r="N863" t="s">
        <v>68</v>
      </c>
      <c r="O863" t="s">
        <v>69</v>
      </c>
      <c r="P863" t="s">
        <v>1101</v>
      </c>
      <c r="Q863" t="s">
        <v>147</v>
      </c>
      <c r="R863" t="s">
        <v>162</v>
      </c>
      <c r="S863" t="s">
        <v>1102</v>
      </c>
      <c r="T863">
        <v>895.05</v>
      </c>
      <c r="U863">
        <v>5</v>
      </c>
      <c r="V863">
        <v>0.1</v>
      </c>
      <c r="W863">
        <v>178.95</v>
      </c>
      <c r="X863">
        <v>203.67</v>
      </c>
      <c r="Y863" t="s">
        <v>38</v>
      </c>
      <c r="Z863">
        <f>Superstore_Sales[[#This Row],[Sales]]*Superstore_Sales[[#This Row],[Quantity]]</f>
        <v>4475.25</v>
      </c>
      <c r="AA863" s="3">
        <f>Superstore_Sales[[#This Row],[TotalSales]]*Superstore_Sales[[#This Row],[Discount]]/100</f>
        <v>4.47525</v>
      </c>
      <c r="AB863" s="2">
        <f>Superstore_Sales[[#This Row],[TotalSales]]-Superstore_Sales[[#This Row],[Dis_amt]]-Superstore_Sales[[#This Row],[Shipping Cost]]</f>
        <v>4267.1047499999995</v>
      </c>
    </row>
    <row r="864" spans="1:28" x14ac:dyDescent="0.35">
      <c r="A864">
        <v>47959</v>
      </c>
      <c r="B864" t="s">
        <v>4040</v>
      </c>
      <c r="C864" s="1">
        <v>41541</v>
      </c>
      <c r="D864" s="1">
        <v>41545</v>
      </c>
      <c r="E864">
        <f>Superstore_Sales[[#This Row],[Ship Date]]-Superstore_Sales[[#This Row],[Order Date]]</f>
        <v>4</v>
      </c>
      <c r="F864" t="s">
        <v>98</v>
      </c>
      <c r="G864" t="s">
        <v>4041</v>
      </c>
      <c r="H864" t="s">
        <v>783</v>
      </c>
      <c r="I864" t="s">
        <v>43</v>
      </c>
      <c r="K864" t="s">
        <v>4042</v>
      </c>
      <c r="L864" t="s">
        <v>4043</v>
      </c>
      <c r="M864" t="s">
        <v>4044</v>
      </c>
      <c r="N864" t="s">
        <v>126</v>
      </c>
      <c r="O864" t="s">
        <v>48</v>
      </c>
      <c r="P864" t="s">
        <v>127</v>
      </c>
      <c r="Q864" t="s">
        <v>35</v>
      </c>
      <c r="R864" t="s">
        <v>36</v>
      </c>
      <c r="S864" t="s">
        <v>128</v>
      </c>
      <c r="T864">
        <v>1570.18</v>
      </c>
      <c r="U864">
        <v>4</v>
      </c>
      <c r="V864">
        <v>0.4</v>
      </c>
      <c r="W864">
        <v>104.62</v>
      </c>
      <c r="X864">
        <v>203.61</v>
      </c>
      <c r="Y864" t="s">
        <v>38</v>
      </c>
      <c r="Z864">
        <f>Superstore_Sales[[#This Row],[Sales]]*Superstore_Sales[[#This Row],[Quantity]]</f>
        <v>6280.72</v>
      </c>
      <c r="AA864" s="3">
        <f>Superstore_Sales[[#This Row],[TotalSales]]*Superstore_Sales[[#This Row],[Discount]]/100</f>
        <v>25.122880000000006</v>
      </c>
      <c r="AB864" s="2">
        <f>Superstore_Sales[[#This Row],[TotalSales]]-Superstore_Sales[[#This Row],[Dis_amt]]-Superstore_Sales[[#This Row],[Shipping Cost]]</f>
        <v>6051.9871200000007</v>
      </c>
    </row>
    <row r="865" spans="1:28" x14ac:dyDescent="0.35">
      <c r="A865">
        <v>24278</v>
      </c>
      <c r="B865" t="s">
        <v>4045</v>
      </c>
      <c r="C865" s="1">
        <v>42095</v>
      </c>
      <c r="D865" s="1">
        <v>42099</v>
      </c>
      <c r="E865">
        <f>Superstore_Sales[[#This Row],[Ship Date]]-Superstore_Sales[[#This Row],[Order Date]]</f>
        <v>4</v>
      </c>
      <c r="F865" t="s">
        <v>98</v>
      </c>
      <c r="G865" t="s">
        <v>4046</v>
      </c>
      <c r="H865" t="s">
        <v>2922</v>
      </c>
      <c r="I865" t="s">
        <v>28</v>
      </c>
      <c r="K865" t="s">
        <v>4047</v>
      </c>
      <c r="L865" t="s">
        <v>856</v>
      </c>
      <c r="M865" t="s">
        <v>144</v>
      </c>
      <c r="N865" t="s">
        <v>145</v>
      </c>
      <c r="O865" t="s">
        <v>48</v>
      </c>
      <c r="P865" t="s">
        <v>1977</v>
      </c>
      <c r="Q865" t="s">
        <v>50</v>
      </c>
      <c r="R865" t="s">
        <v>104</v>
      </c>
      <c r="S865" t="s">
        <v>1978</v>
      </c>
      <c r="T865">
        <v>2614.69</v>
      </c>
      <c r="U865">
        <v>7</v>
      </c>
      <c r="V865">
        <v>0.3</v>
      </c>
      <c r="W865">
        <v>-821.96</v>
      </c>
      <c r="X865">
        <v>203.26</v>
      </c>
      <c r="Y865" t="s">
        <v>61</v>
      </c>
      <c r="Z865">
        <f>Superstore_Sales[[#This Row],[Sales]]*Superstore_Sales[[#This Row],[Quantity]]</f>
        <v>18302.830000000002</v>
      </c>
      <c r="AA865" s="3">
        <f>Superstore_Sales[[#This Row],[TotalSales]]*Superstore_Sales[[#This Row],[Discount]]/100</f>
        <v>54.90849</v>
      </c>
      <c r="AB865" s="2">
        <f>Superstore_Sales[[#This Row],[TotalSales]]-Superstore_Sales[[#This Row],[Dis_amt]]-Superstore_Sales[[#This Row],[Shipping Cost]]</f>
        <v>18044.661510000002</v>
      </c>
    </row>
    <row r="866" spans="1:28" x14ac:dyDescent="0.35">
      <c r="A866">
        <v>36249</v>
      </c>
      <c r="B866" t="s">
        <v>4048</v>
      </c>
      <c r="C866" s="1">
        <v>42347</v>
      </c>
      <c r="D866" s="1">
        <v>42351</v>
      </c>
      <c r="E866">
        <f>Superstore_Sales[[#This Row],[Ship Date]]-Superstore_Sales[[#This Row],[Order Date]]</f>
        <v>4</v>
      </c>
      <c r="F866" t="s">
        <v>40</v>
      </c>
      <c r="G866" t="s">
        <v>3981</v>
      </c>
      <c r="H866" t="s">
        <v>485</v>
      </c>
      <c r="I866" t="s">
        <v>43</v>
      </c>
      <c r="J866">
        <v>94109</v>
      </c>
      <c r="K866" t="s">
        <v>279</v>
      </c>
      <c r="L866" t="s">
        <v>280</v>
      </c>
      <c r="M866" t="s">
        <v>31</v>
      </c>
      <c r="N866" t="s">
        <v>110</v>
      </c>
      <c r="O866" t="s">
        <v>33</v>
      </c>
      <c r="P866" t="s">
        <v>4049</v>
      </c>
      <c r="Q866" t="s">
        <v>147</v>
      </c>
      <c r="R866" t="s">
        <v>148</v>
      </c>
      <c r="S866" t="s">
        <v>4050</v>
      </c>
      <c r="T866">
        <v>69.48</v>
      </c>
      <c r="U866">
        <v>1</v>
      </c>
      <c r="V866">
        <v>0</v>
      </c>
      <c r="W866">
        <v>20.84</v>
      </c>
      <c r="X866">
        <v>12.04</v>
      </c>
      <c r="Y866" t="s">
        <v>38</v>
      </c>
      <c r="Z866">
        <f>Superstore_Sales[[#This Row],[Sales]]*Superstore_Sales[[#This Row],[Quantity]]</f>
        <v>69.48</v>
      </c>
      <c r="AA866" s="3">
        <f>Superstore_Sales[[#This Row],[TotalSales]]*Superstore_Sales[[#This Row],[Discount]]/100</f>
        <v>0</v>
      </c>
      <c r="AB866" s="2">
        <f>Superstore_Sales[[#This Row],[TotalSales]]-Superstore_Sales[[#This Row],[Dis_amt]]-Superstore_Sales[[#This Row],[Shipping Cost]]</f>
        <v>57.440000000000005</v>
      </c>
    </row>
    <row r="867" spans="1:28" x14ac:dyDescent="0.35">
      <c r="A867">
        <v>1408</v>
      </c>
      <c r="B867" t="s">
        <v>4051</v>
      </c>
      <c r="C867" s="1">
        <v>41658</v>
      </c>
      <c r="D867" s="1">
        <v>41665</v>
      </c>
      <c r="E867">
        <f>Superstore_Sales[[#This Row],[Ship Date]]-Superstore_Sales[[#This Row],[Order Date]]</f>
        <v>7</v>
      </c>
      <c r="F867" t="s">
        <v>98</v>
      </c>
      <c r="G867" t="s">
        <v>4052</v>
      </c>
      <c r="H867" t="s">
        <v>2373</v>
      </c>
      <c r="I867" t="s">
        <v>43</v>
      </c>
      <c r="K867" t="s">
        <v>4053</v>
      </c>
      <c r="L867" t="s">
        <v>4054</v>
      </c>
      <c r="M867" t="s">
        <v>134</v>
      </c>
      <c r="N867" t="s">
        <v>135</v>
      </c>
      <c r="O867" t="s">
        <v>136</v>
      </c>
      <c r="P867" t="s">
        <v>1361</v>
      </c>
      <c r="Q867" t="s">
        <v>50</v>
      </c>
      <c r="R867" t="s">
        <v>336</v>
      </c>
      <c r="S867" t="s">
        <v>1362</v>
      </c>
      <c r="T867">
        <v>2751.2</v>
      </c>
      <c r="U867">
        <v>10</v>
      </c>
      <c r="V867">
        <v>0</v>
      </c>
      <c r="W867">
        <v>110</v>
      </c>
      <c r="X867">
        <v>203.13200000000001</v>
      </c>
      <c r="Y867" t="s">
        <v>61</v>
      </c>
      <c r="Z867">
        <f>Superstore_Sales[[#This Row],[Sales]]*Superstore_Sales[[#This Row],[Quantity]]</f>
        <v>27512</v>
      </c>
      <c r="AA867" s="3">
        <f>Superstore_Sales[[#This Row],[TotalSales]]*Superstore_Sales[[#This Row],[Discount]]/100</f>
        <v>0</v>
      </c>
      <c r="AB867" s="2">
        <f>Superstore_Sales[[#This Row],[TotalSales]]-Superstore_Sales[[#This Row],[Dis_amt]]-Superstore_Sales[[#This Row],[Shipping Cost]]</f>
        <v>27308.867999999999</v>
      </c>
    </row>
    <row r="868" spans="1:28" x14ac:dyDescent="0.35">
      <c r="A868">
        <v>20944</v>
      </c>
      <c r="B868" t="s">
        <v>4055</v>
      </c>
      <c r="C868" s="1">
        <v>42348</v>
      </c>
      <c r="D868" s="1">
        <v>42352</v>
      </c>
      <c r="E868">
        <f>Superstore_Sales[[#This Row],[Ship Date]]-Superstore_Sales[[#This Row],[Order Date]]</f>
        <v>4</v>
      </c>
      <c r="F868" t="s">
        <v>98</v>
      </c>
      <c r="G868" t="s">
        <v>4056</v>
      </c>
      <c r="H868" t="s">
        <v>2993</v>
      </c>
      <c r="I868" t="s">
        <v>43</v>
      </c>
      <c r="K868" t="s">
        <v>801</v>
      </c>
      <c r="L868" t="s">
        <v>801</v>
      </c>
      <c r="M868" t="s">
        <v>802</v>
      </c>
      <c r="N868" t="s">
        <v>322</v>
      </c>
      <c r="O868" t="s">
        <v>48</v>
      </c>
      <c r="P868" t="s">
        <v>510</v>
      </c>
      <c r="Q868" t="s">
        <v>35</v>
      </c>
      <c r="R868" t="s">
        <v>36</v>
      </c>
      <c r="S868" t="s">
        <v>511</v>
      </c>
      <c r="T868">
        <v>1587</v>
      </c>
      <c r="U868">
        <v>3</v>
      </c>
      <c r="V868">
        <v>0.17</v>
      </c>
      <c r="W868">
        <v>-76.56</v>
      </c>
      <c r="X868">
        <v>203.08</v>
      </c>
      <c r="Y868" t="s">
        <v>61</v>
      </c>
      <c r="Z868">
        <f>Superstore_Sales[[#This Row],[Sales]]*Superstore_Sales[[#This Row],[Quantity]]</f>
        <v>4761</v>
      </c>
      <c r="AA868" s="3">
        <f>Superstore_Sales[[#This Row],[TotalSales]]*Superstore_Sales[[#This Row],[Discount]]/100</f>
        <v>8.0937000000000001</v>
      </c>
      <c r="AB868" s="2">
        <f>Superstore_Sales[[#This Row],[TotalSales]]-Superstore_Sales[[#This Row],[Dis_amt]]-Superstore_Sales[[#This Row],[Shipping Cost]]</f>
        <v>4549.8262999999997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43A6-8993-4407-8319-7CEE0625A4DD}">
  <dimension ref="A2:K26"/>
  <sheetViews>
    <sheetView tabSelected="1" workbookViewId="0">
      <selection activeCell="J10" sqref="J10"/>
    </sheetView>
  </sheetViews>
  <sheetFormatPr defaultRowHeight="14.5" x14ac:dyDescent="0.35"/>
  <cols>
    <col min="1" max="1" width="13" bestFit="1" customWidth="1"/>
    <col min="2" max="2" width="11.81640625" bestFit="1" customWidth="1"/>
    <col min="4" max="4" width="12.453125" bestFit="1" customWidth="1"/>
    <col min="5" max="5" width="11.81640625" bestFit="1" customWidth="1"/>
    <col min="7" max="7" width="15.54296875" bestFit="1" customWidth="1"/>
    <col min="8" max="8" width="11.81640625" bestFit="1" customWidth="1"/>
    <col min="10" max="10" width="13.08984375" bestFit="1" customWidth="1"/>
    <col min="11" max="11" width="21.90625" bestFit="1" customWidth="1"/>
  </cols>
  <sheetData>
    <row r="2" spans="1:11" x14ac:dyDescent="0.35">
      <c r="A2" s="6" t="s">
        <v>4063</v>
      </c>
      <c r="B2" s="6"/>
      <c r="D2" s="6" t="s">
        <v>4064</v>
      </c>
      <c r="E2" s="6"/>
      <c r="G2" s="6" t="s">
        <v>4065</v>
      </c>
      <c r="H2" s="6"/>
      <c r="J2" s="6" t="s">
        <v>4068</v>
      </c>
      <c r="K2" s="6"/>
    </row>
    <row r="3" spans="1:11" x14ac:dyDescent="0.35">
      <c r="A3" s="4" t="s">
        <v>4061</v>
      </c>
      <c r="B3" t="s">
        <v>4060</v>
      </c>
      <c r="D3" s="4" t="s">
        <v>4061</v>
      </c>
      <c r="E3" t="s">
        <v>4060</v>
      </c>
      <c r="G3" s="4" t="s">
        <v>4061</v>
      </c>
      <c r="H3" t="s">
        <v>4060</v>
      </c>
      <c r="J3" s="4" t="s">
        <v>4061</v>
      </c>
      <c r="K3" s="2" t="s">
        <v>4067</v>
      </c>
    </row>
    <row r="4" spans="1:11" x14ac:dyDescent="0.35">
      <c r="A4" s="5" t="s">
        <v>50</v>
      </c>
      <c r="B4">
        <v>3637373.9328999985</v>
      </c>
      <c r="D4" s="5" t="s">
        <v>28</v>
      </c>
      <c r="E4">
        <v>5347820.1281260028</v>
      </c>
      <c r="G4" s="5" t="s">
        <v>1134</v>
      </c>
      <c r="H4">
        <v>5041.7299999999996</v>
      </c>
      <c r="J4" s="5" t="s">
        <v>25</v>
      </c>
      <c r="K4" s="2">
        <v>2.0751879699248121</v>
      </c>
    </row>
    <row r="5" spans="1:11" x14ac:dyDescent="0.35">
      <c r="A5" s="5" t="s">
        <v>147</v>
      </c>
      <c r="B5">
        <v>2392222.1173539981</v>
      </c>
      <c r="D5" s="5" t="s">
        <v>43</v>
      </c>
      <c r="E5">
        <v>3439179.6141196</v>
      </c>
      <c r="G5" s="5" t="s">
        <v>266</v>
      </c>
      <c r="H5">
        <v>180524.7517624</v>
      </c>
      <c r="J5" s="5" t="s">
        <v>73</v>
      </c>
      <c r="K5" s="2">
        <v>2.247191011235955E-2</v>
      </c>
    </row>
    <row r="6" spans="1:11" x14ac:dyDescent="0.35">
      <c r="A6" s="5" t="s">
        <v>35</v>
      </c>
      <c r="B6">
        <v>4780221.1943792021</v>
      </c>
      <c r="D6" s="5" t="s">
        <v>65</v>
      </c>
      <c r="E6">
        <v>2022817.5023875998</v>
      </c>
      <c r="G6" s="5" t="s">
        <v>294</v>
      </c>
      <c r="H6">
        <v>196974.70000000004</v>
      </c>
      <c r="J6" s="5" t="s">
        <v>40</v>
      </c>
      <c r="K6" s="2">
        <v>2.8450704225352115</v>
      </c>
    </row>
    <row r="7" spans="1:11" x14ac:dyDescent="0.35">
      <c r="A7" s="5" t="s">
        <v>4062</v>
      </c>
      <c r="B7">
        <v>10809817.244633198</v>
      </c>
      <c r="D7" s="5" t="s">
        <v>4062</v>
      </c>
      <c r="E7">
        <v>10809817.244633203</v>
      </c>
      <c r="G7" s="5" t="s">
        <v>220</v>
      </c>
      <c r="H7">
        <v>868369.93958579993</v>
      </c>
      <c r="J7" s="5" t="s">
        <v>98</v>
      </c>
      <c r="K7" s="2">
        <v>4.8795986622073579</v>
      </c>
    </row>
    <row r="8" spans="1:11" x14ac:dyDescent="0.35">
      <c r="G8" s="5" t="s">
        <v>32</v>
      </c>
      <c r="H8">
        <v>151561.42406000002</v>
      </c>
      <c r="J8" s="5" t="s">
        <v>4062</v>
      </c>
      <c r="K8" s="2">
        <v>3.0207612456747404</v>
      </c>
    </row>
    <row r="9" spans="1:11" x14ac:dyDescent="0.35">
      <c r="G9" s="5" t="s">
        <v>186</v>
      </c>
      <c r="H9">
        <v>93092.76</v>
      </c>
    </row>
    <row r="10" spans="1:11" x14ac:dyDescent="0.35">
      <c r="G10" s="5" t="s">
        <v>145</v>
      </c>
      <c r="H10">
        <v>1192601.63671</v>
      </c>
    </row>
    <row r="11" spans="1:11" x14ac:dyDescent="0.35">
      <c r="G11" s="5" t="s">
        <v>195</v>
      </c>
      <c r="H11">
        <v>305785.19</v>
      </c>
    </row>
    <row r="12" spans="1:11" x14ac:dyDescent="0.35">
      <c r="G12" s="5" t="s">
        <v>249</v>
      </c>
      <c r="H12">
        <v>38749.748140000011</v>
      </c>
    </row>
    <row r="13" spans="1:11" x14ac:dyDescent="0.35">
      <c r="G13" s="5" t="s">
        <v>554</v>
      </c>
      <c r="H13">
        <v>163474.44</v>
      </c>
    </row>
    <row r="14" spans="1:11" x14ac:dyDescent="0.35">
      <c r="G14" s="5" t="s">
        <v>211</v>
      </c>
      <c r="H14">
        <v>634860.17806999979</v>
      </c>
    </row>
    <row r="15" spans="1:11" x14ac:dyDescent="0.35">
      <c r="G15" s="5" t="s">
        <v>47</v>
      </c>
      <c r="H15">
        <v>1455681.7576199993</v>
      </c>
    </row>
    <row r="16" spans="1:11" x14ac:dyDescent="0.35">
      <c r="G16" s="5" t="s">
        <v>135</v>
      </c>
      <c r="H16">
        <v>445619.46611200011</v>
      </c>
    </row>
    <row r="17" spans="7:8" x14ac:dyDescent="0.35">
      <c r="G17" s="5" t="s">
        <v>322</v>
      </c>
      <c r="H17">
        <v>951235.1769829999</v>
      </c>
    </row>
    <row r="18" spans="7:8" x14ac:dyDescent="0.35">
      <c r="G18" s="5" t="s">
        <v>1100</v>
      </c>
      <c r="H18">
        <v>158168.15</v>
      </c>
    </row>
    <row r="19" spans="7:8" x14ac:dyDescent="0.35">
      <c r="G19" s="5" t="s">
        <v>118</v>
      </c>
      <c r="H19">
        <v>1276663.2666599995</v>
      </c>
    </row>
    <row r="20" spans="7:8" x14ac:dyDescent="0.35">
      <c r="G20" s="5" t="s">
        <v>171</v>
      </c>
      <c r="H20">
        <v>667901.5856999997</v>
      </c>
    </row>
    <row r="21" spans="7:8" x14ac:dyDescent="0.35">
      <c r="G21" s="5" t="s">
        <v>351</v>
      </c>
      <c r="H21">
        <v>28398.636500000001</v>
      </c>
    </row>
    <row r="22" spans="7:8" x14ac:dyDescent="0.35">
      <c r="G22" s="5" t="s">
        <v>78</v>
      </c>
      <c r="H22">
        <v>113877.49299999999</v>
      </c>
    </row>
    <row r="23" spans="7:8" x14ac:dyDescent="0.35">
      <c r="G23" s="5" t="s">
        <v>126</v>
      </c>
      <c r="H23">
        <v>166889.69532</v>
      </c>
    </row>
    <row r="24" spans="7:8" x14ac:dyDescent="0.35">
      <c r="G24" s="5" t="s">
        <v>68</v>
      </c>
      <c r="H24">
        <v>1653788.4992099998</v>
      </c>
    </row>
    <row r="25" spans="7:8" x14ac:dyDescent="0.35">
      <c r="G25" s="5" t="s">
        <v>110</v>
      </c>
      <c r="H25">
        <v>60557.019199999988</v>
      </c>
    </row>
    <row r="26" spans="7:8" x14ac:dyDescent="0.35">
      <c r="G26" s="5" t="s">
        <v>4062</v>
      </c>
      <c r="H26">
        <v>10809817.2446332</v>
      </c>
    </row>
  </sheetData>
  <mergeCells count="4">
    <mergeCell ref="A2:B2"/>
    <mergeCell ref="D2:E2"/>
    <mergeCell ref="G2:H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B214A8-4182-4C34-B731-842ACFB2C3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Superstore_Sales</vt:lpstr>
      <vt:lpstr>PivotTables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mishra</dc:creator>
  <cp:lastModifiedBy>suyash mishra</cp:lastModifiedBy>
  <dcterms:created xsi:type="dcterms:W3CDTF">2026-06-30T10:23:46Z</dcterms:created>
  <dcterms:modified xsi:type="dcterms:W3CDTF">2026-06-30T12:11:39Z</dcterms:modified>
</cp:coreProperties>
</file>